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mis\Desktop\Masters Project\Economics Code\AspenPlus-Python-Interface\Project\Aspen\Aspen\"/>
    </mc:Choice>
  </mc:AlternateContent>
  <xr:revisionPtr revIDLastSave="0" documentId="13_ncr:1_{ED932542-D609-4B01-B35D-A70B570DF3CC}" xr6:coauthVersionLast="47" xr6:coauthVersionMax="47" xr10:uidLastSave="{00000000-0000-0000-0000-000000000000}"/>
  <bookViews>
    <workbookView xWindow="-120" yWindow="-120" windowWidth="29040" windowHeight="15720" activeTab="1" xr2:uid="{7B515793-712E-2E47-913B-AE04468B403F}"/>
  </bookViews>
  <sheets>
    <sheet name="Inlet" sheetId="7" r:id="rId1"/>
    <sheet name="Primary" sheetId="1" r:id="rId2"/>
    <sheet name="Secondary" sheetId="3" r:id="rId3"/>
    <sheet name="Outlet" sheetId="8" r:id="rId4"/>
    <sheet name="Pivot" sheetId="9" r:id="rId5"/>
  </sheets>
  <definedNames>
    <definedName name="solver_adj" localSheetId="4" hidden="1">Pivot!$F$19</definedName>
    <definedName name="solver_cvg" localSheetId="4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0,0001""""""""""""""""""""""""""""""""""""""""""""""""""""""""""""""""""""""""""""""""""""""""""""""""""""""""""""""""""""""""""""""""""""""""""""""""""""""""""""""""""""""""""""""""""""""""""""""""""""""""""""""""""""""""""""""""""""""""""""""""""""","""""""""""")</definedName>
    <definedName name="solver_drv" localSheetId="4" hidden="1">1</definedName>
    <definedName name="solver_eng" localSheetId="4" hidden="1">1</definedName>
    <definedName name="solver_itr" localSheetId="4" hidden="1">2147483647</definedName>
    <definedName name="solver_lin" localSheetId="4" hidden="1">2</definedName>
    <definedName name="solver_mip" localSheetId="4" hidden="1">2147483647</definedName>
    <definedName name="solver_mni" localSheetId="4" hidden="1">30</definedName>
    <definedName name="solver_mrt" localSheetId="4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0,075""""""""""""""""""""""""""""""""""""""""""""""""""""""""""""""""""""""""""""""""""""""""""""""""""""""""""""""""""""""""""""""""""""""""""""""""""""""""""""""""""""""""""""""""""""""""""""""""""""""""""""""""""""""""""""""""""""""""""""""""""""""","""""""""")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0</definedName>
    <definedName name="solver_opt" localSheetId="4" hidden="1">Pivot!$AF$75</definedName>
    <definedName name="solver_pre" localSheetId="4" hidden="1">0.000001</definedName>
    <definedName name="solver_rbv" localSheetId="4" hidden="1">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1</definedName>
    <definedName name="solver_typ" localSheetId="4" hidden="1">3</definedName>
    <definedName name="solver_val" localSheetId="4" hidden="1">0</definedName>
    <definedName name="solver_ver" localSheetId="4" hidden="1">2</definedName>
  </definedNames>
  <calcPr calcId="191029" iterate="1" iterateDelta="1.0000000000000001E-5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" l="1"/>
  <c r="E26" i="1"/>
  <c r="D25" i="1"/>
  <c r="E10" i="1"/>
  <c r="C25" i="1"/>
  <c r="D69" i="1"/>
  <c r="N27" i="1"/>
  <c r="O26" i="1"/>
  <c r="H2" i="1"/>
  <c r="H96" i="1"/>
  <c r="L62" i="1"/>
  <c r="C27" i="1"/>
  <c r="L26" i="1"/>
  <c r="F6" i="7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G7" i="7" l="1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6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3" i="7"/>
  <c r="F4" i="7"/>
  <c r="F5" i="7"/>
  <c r="F7" i="7"/>
  <c r="F8" i="7"/>
  <c r="F9" i="7"/>
  <c r="F10" i="7"/>
  <c r="F11" i="7"/>
  <c r="F12" i="7"/>
  <c r="F13" i="7"/>
  <c r="F14" i="7"/>
  <c r="F15" i="7"/>
  <c r="F16" i="7"/>
  <c r="F2" i="7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E5" i="9"/>
  <c r="AF5" i="9" s="1"/>
  <c r="E6" i="9"/>
  <c r="AF6" i="9" s="1"/>
  <c r="E7" i="9"/>
  <c r="AF7" i="9" s="1"/>
  <c r="E8" i="9"/>
  <c r="AF8" i="9" s="1"/>
  <c r="E9" i="9"/>
  <c r="AF9" i="9" s="1"/>
  <c r="E10" i="9"/>
  <c r="AF10" i="9" s="1"/>
  <c r="E11" i="9"/>
  <c r="AF11" i="9" s="1"/>
  <c r="E12" i="9"/>
  <c r="AF12" i="9" s="1"/>
  <c r="E13" i="9"/>
  <c r="AF13" i="9" s="1"/>
  <c r="E14" i="9"/>
  <c r="AF14" i="9" s="1"/>
  <c r="E15" i="9"/>
  <c r="AF15" i="9" s="1"/>
  <c r="E16" i="9"/>
  <c r="AF16" i="9" s="1"/>
  <c r="E17" i="9"/>
  <c r="AF17" i="9" s="1"/>
  <c r="E18" i="9"/>
  <c r="AF18" i="9" s="1"/>
  <c r="E19" i="9"/>
  <c r="AF19" i="9" s="1"/>
  <c r="E20" i="9"/>
  <c r="AF20" i="9" s="1"/>
  <c r="E21" i="9"/>
  <c r="AF21" i="9" s="1"/>
  <c r="E22" i="9"/>
  <c r="AF22" i="9" s="1"/>
  <c r="E23" i="9"/>
  <c r="AF23" i="9" s="1"/>
  <c r="E24" i="9"/>
  <c r="AF24" i="9" s="1"/>
  <c r="E25" i="9"/>
  <c r="AF25" i="9" s="1"/>
  <c r="E26" i="9"/>
  <c r="AF26" i="9" s="1"/>
  <c r="E27" i="9"/>
  <c r="AF27" i="9" s="1"/>
  <c r="E28" i="9"/>
  <c r="AF28" i="9" s="1"/>
  <c r="E29" i="9"/>
  <c r="AF29" i="9" s="1"/>
  <c r="E30" i="9"/>
  <c r="AF30" i="9" s="1"/>
  <c r="E31" i="9"/>
  <c r="AF31" i="9" s="1"/>
  <c r="E32" i="9"/>
  <c r="AF32" i="9" s="1"/>
  <c r="E33" i="9"/>
  <c r="AF33" i="9" s="1"/>
  <c r="E34" i="9"/>
  <c r="AF34" i="9" s="1"/>
  <c r="E35" i="9"/>
  <c r="AF35" i="9" s="1"/>
  <c r="E36" i="9"/>
  <c r="AF36" i="9" s="1"/>
  <c r="E37" i="9"/>
  <c r="AF37" i="9" s="1"/>
  <c r="E38" i="9"/>
  <c r="AF38" i="9" s="1"/>
  <c r="E39" i="9"/>
  <c r="AF39" i="9" s="1"/>
  <c r="E40" i="9"/>
  <c r="AF40" i="9" s="1"/>
  <c r="E41" i="9"/>
  <c r="AF41" i="9" s="1"/>
  <c r="E42" i="9"/>
  <c r="AF42" i="9" s="1"/>
  <c r="E43" i="9"/>
  <c r="AF43" i="9" s="1"/>
  <c r="E44" i="9"/>
  <c r="AF44" i="9" s="1"/>
  <c r="E45" i="9"/>
  <c r="AF45" i="9" s="1"/>
  <c r="E46" i="9"/>
  <c r="AF46" i="9" s="1"/>
  <c r="E47" i="9"/>
  <c r="AF47" i="9" s="1"/>
  <c r="E48" i="9"/>
  <c r="AF48" i="9" s="1"/>
  <c r="E49" i="9"/>
  <c r="AF49" i="9" s="1"/>
  <c r="E50" i="9"/>
  <c r="AF50" i="9" s="1"/>
  <c r="E51" i="9"/>
  <c r="AF51" i="9" s="1"/>
  <c r="E52" i="9"/>
  <c r="AF52" i="9" s="1"/>
  <c r="E53" i="9"/>
  <c r="AF53" i="9" s="1"/>
  <c r="E54" i="9"/>
  <c r="AF54" i="9" s="1"/>
  <c r="E55" i="9"/>
  <c r="AF55" i="9" s="1"/>
  <c r="E56" i="9"/>
  <c r="AF56" i="9" s="1"/>
  <c r="E57" i="9"/>
  <c r="AF57" i="9" s="1"/>
  <c r="E58" i="9"/>
  <c r="AF58" i="9" s="1"/>
  <c r="E59" i="9"/>
  <c r="AF59" i="9" s="1"/>
  <c r="E60" i="9"/>
  <c r="AF60" i="9" s="1"/>
  <c r="E61" i="9"/>
  <c r="AF61" i="9" s="1"/>
  <c r="E62" i="9"/>
  <c r="AF62" i="9" s="1"/>
  <c r="E63" i="9"/>
  <c r="AF63" i="9" s="1"/>
  <c r="E64" i="9"/>
  <c r="AF64" i="9" s="1"/>
  <c r="E65" i="9"/>
  <c r="AF65" i="9" s="1"/>
  <c r="E66" i="9"/>
  <c r="AF66" i="9" s="1"/>
  <c r="E67" i="9"/>
  <c r="AF67" i="9" s="1"/>
  <c r="E68" i="9"/>
  <c r="AF68" i="9" s="1"/>
  <c r="E69" i="9"/>
  <c r="AF69" i="9" s="1"/>
  <c r="E70" i="9"/>
  <c r="AF70" i="9" s="1"/>
  <c r="E71" i="9"/>
  <c r="AF71" i="9" s="1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4" i="9"/>
  <c r="AF4" i="9" s="1"/>
  <c r="E2" i="1"/>
  <c r="D3" i="8"/>
  <c r="D5" i="8"/>
  <c r="D2" i="8"/>
  <c r="E25" i="1" l="1"/>
  <c r="AF74" i="9"/>
  <c r="CY48" i="3"/>
  <c r="CY47" i="3"/>
  <c r="CY39" i="3"/>
  <c r="CY38" i="3"/>
  <c r="CY34" i="3"/>
  <c r="CY33" i="3"/>
  <c r="CY29" i="3"/>
  <c r="CY28" i="3"/>
  <c r="CY24" i="3"/>
  <c r="CY23" i="3"/>
  <c r="CY22" i="3"/>
  <c r="CY21" i="3"/>
  <c r="CY20" i="3"/>
  <c r="CY19" i="3"/>
  <c r="CY18" i="3"/>
  <c r="CY17" i="3"/>
  <c r="CY19" i="1"/>
  <c r="CY17" i="1"/>
  <c r="CY18" i="1"/>
  <c r="CY20" i="1"/>
  <c r="CY21" i="1"/>
  <c r="CY22" i="1"/>
  <c r="CY23" i="1"/>
  <c r="CY24" i="1"/>
  <c r="CY28" i="1"/>
  <c r="CY29" i="1"/>
  <c r="CY33" i="1"/>
  <c r="CY34" i="1"/>
  <c r="CY38" i="1"/>
  <c r="CY39" i="1"/>
  <c r="CY42" i="1"/>
  <c r="CY47" i="1"/>
  <c r="CY48" i="1"/>
  <c r="D48" i="3"/>
  <c r="BB48" i="1"/>
  <c r="BB96" i="1" s="1"/>
  <c r="E48" i="1"/>
  <c r="D48" i="1"/>
  <c r="D43" i="3"/>
  <c r="C43" i="1"/>
  <c r="E43" i="1" s="1"/>
  <c r="D24" i="3"/>
  <c r="E24" i="1"/>
  <c r="C24" i="1"/>
  <c r="D24" i="1" s="1"/>
  <c r="Y19" i="1"/>
  <c r="Y96" i="1" s="1"/>
  <c r="E19" i="1"/>
  <c r="X18" i="1"/>
  <c r="X96" i="1" s="1"/>
  <c r="E18" i="1"/>
  <c r="T14" i="1"/>
  <c r="T96" i="1" s="1"/>
  <c r="E14" i="1"/>
  <c r="Q11" i="1"/>
  <c r="R12" i="1"/>
  <c r="R96" i="1" s="1"/>
  <c r="E12" i="1"/>
  <c r="C5" i="3"/>
  <c r="I3" i="1"/>
  <c r="J4" i="1"/>
  <c r="K5" i="1"/>
  <c r="L6" i="1"/>
  <c r="M7" i="1"/>
  <c r="N8" i="1"/>
  <c r="O9" i="1"/>
  <c r="P10" i="1"/>
  <c r="S13" i="1"/>
  <c r="U15" i="1"/>
  <c r="V16" i="1"/>
  <c r="W17" i="1"/>
  <c r="CU96" i="3"/>
  <c r="CT96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C59" i="3"/>
  <c r="C58" i="3"/>
  <c r="D58" i="3" s="1"/>
  <c r="C57" i="3"/>
  <c r="D57" i="3" s="1"/>
  <c r="C56" i="3"/>
  <c r="D56" i="3" s="1"/>
  <c r="C55" i="3"/>
  <c r="C54" i="3"/>
  <c r="C53" i="3"/>
  <c r="D53" i="3" s="1"/>
  <c r="C52" i="3"/>
  <c r="D52" i="3" s="1"/>
  <c r="C51" i="3"/>
  <c r="C50" i="3"/>
  <c r="C49" i="3"/>
  <c r="C46" i="3"/>
  <c r="C45" i="3"/>
  <c r="D45" i="3" s="1"/>
  <c r="C44" i="3"/>
  <c r="D42" i="3"/>
  <c r="C41" i="3"/>
  <c r="C40" i="3"/>
  <c r="D39" i="3"/>
  <c r="D38" i="3"/>
  <c r="C37" i="3"/>
  <c r="D37" i="3" s="1"/>
  <c r="C36" i="3"/>
  <c r="D36" i="3" s="1"/>
  <c r="C35" i="3"/>
  <c r="D35" i="3" s="1"/>
  <c r="D34" i="3"/>
  <c r="C32" i="3"/>
  <c r="D32" i="3" s="1"/>
  <c r="C31" i="3"/>
  <c r="D31" i="3" s="1"/>
  <c r="C30" i="3"/>
  <c r="C27" i="3"/>
  <c r="C26" i="3"/>
  <c r="D26" i="3" s="1"/>
  <c r="C25" i="3"/>
  <c r="C22" i="3"/>
  <c r="D22" i="3" s="1"/>
  <c r="C21" i="3"/>
  <c r="D21" i="3" s="1"/>
  <c r="C20" i="3"/>
  <c r="E3" i="1"/>
  <c r="E4" i="1"/>
  <c r="E5" i="1"/>
  <c r="E6" i="1"/>
  <c r="E7" i="1"/>
  <c r="E8" i="1"/>
  <c r="E9" i="1"/>
  <c r="E11" i="1"/>
  <c r="E13" i="1"/>
  <c r="E15" i="1"/>
  <c r="E16" i="1"/>
  <c r="E17" i="1"/>
  <c r="E20" i="1"/>
  <c r="E21" i="1"/>
  <c r="E22" i="1"/>
  <c r="E23" i="1"/>
  <c r="D60" i="1"/>
  <c r="D61" i="1"/>
  <c r="D62" i="1"/>
  <c r="D63" i="1"/>
  <c r="D64" i="1"/>
  <c r="D65" i="1"/>
  <c r="D66" i="1"/>
  <c r="D67" i="1"/>
  <c r="D68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E60" i="1"/>
  <c r="E61" i="1"/>
  <c r="E62" i="1"/>
  <c r="E63" i="1"/>
  <c r="E64" i="1"/>
  <c r="BO64" i="1" s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C21" i="1"/>
  <c r="D21" i="1" s="1"/>
  <c r="C22" i="1"/>
  <c r="D22" i="1" s="1"/>
  <c r="C23" i="1"/>
  <c r="D23" i="1" s="1"/>
  <c r="C26" i="1"/>
  <c r="E27" i="1"/>
  <c r="E28" i="1"/>
  <c r="E29" i="1"/>
  <c r="C30" i="1"/>
  <c r="D30" i="1" s="1"/>
  <c r="C31" i="1"/>
  <c r="E31" i="1" s="1"/>
  <c r="C32" i="1"/>
  <c r="E32" i="1" s="1"/>
  <c r="E33" i="1"/>
  <c r="E34" i="1"/>
  <c r="C35" i="1"/>
  <c r="E35" i="1" s="1"/>
  <c r="L35" i="1" s="1"/>
  <c r="C36" i="1"/>
  <c r="E36" i="1" s="1"/>
  <c r="L36" i="1" s="1"/>
  <c r="C37" i="1"/>
  <c r="E37" i="1" s="1"/>
  <c r="D38" i="1"/>
  <c r="E39" i="1"/>
  <c r="C40" i="1"/>
  <c r="E40" i="1" s="1"/>
  <c r="C41" i="1"/>
  <c r="E41" i="1" s="1"/>
  <c r="E42" i="1"/>
  <c r="C44" i="1"/>
  <c r="E44" i="1" s="1"/>
  <c r="C45" i="1"/>
  <c r="E45" i="1" s="1"/>
  <c r="C46" i="1"/>
  <c r="D46" i="1" s="1"/>
  <c r="E47" i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D55" i="1" s="1"/>
  <c r="C56" i="1"/>
  <c r="E56" i="1" s="1"/>
  <c r="C57" i="1"/>
  <c r="E57" i="1" s="1"/>
  <c r="C58" i="1"/>
  <c r="E58" i="1" s="1"/>
  <c r="C59" i="1"/>
  <c r="E59" i="1" s="1"/>
  <c r="C20" i="1"/>
  <c r="D20" i="1" s="1"/>
  <c r="CT96" i="1"/>
  <c r="CU96" i="1"/>
  <c r="L25" i="1" l="1"/>
  <c r="Q25" i="1"/>
  <c r="BP81" i="1"/>
  <c r="BR81" i="1"/>
  <c r="BS81" i="1"/>
  <c r="BQ81" i="1"/>
  <c r="BU81" i="1"/>
  <c r="BO81" i="1"/>
  <c r="BT81" i="1"/>
  <c r="BU88" i="1"/>
  <c r="BP88" i="1"/>
  <c r="BO88" i="1"/>
  <c r="BQ88" i="1"/>
  <c r="BR88" i="1"/>
  <c r="BT88" i="1"/>
  <c r="BS88" i="1"/>
  <c r="BP89" i="1"/>
  <c r="BQ89" i="1"/>
  <c r="BR89" i="1"/>
  <c r="BS89" i="1"/>
  <c r="BU89" i="1"/>
  <c r="BT89" i="1"/>
  <c r="BO89" i="1"/>
  <c r="BU73" i="1"/>
  <c r="BP73" i="1"/>
  <c r="BR73" i="1"/>
  <c r="BS73" i="1"/>
  <c r="BQ73" i="1"/>
  <c r="BT73" i="1"/>
  <c r="BO73" i="1"/>
  <c r="BU80" i="1"/>
  <c r="BV80" i="1" s="1"/>
  <c r="BW80" i="1" s="1"/>
  <c r="BX80" i="1" s="1"/>
  <c r="BY80" i="1" s="1"/>
  <c r="BZ80" i="1" s="1"/>
  <c r="CA80" i="1" s="1"/>
  <c r="CB80" i="1" s="1"/>
  <c r="CC80" i="1" s="1"/>
  <c r="CD80" i="1" s="1"/>
  <c r="CE80" i="1" s="1"/>
  <c r="BP80" i="1"/>
  <c r="BQ80" i="1"/>
  <c r="BR80" i="1"/>
  <c r="BS80" i="1"/>
  <c r="BO80" i="1"/>
  <c r="BT80" i="1"/>
  <c r="BP87" i="1"/>
  <c r="BR87" i="1"/>
  <c r="BU87" i="1"/>
  <c r="BS87" i="1"/>
  <c r="BT87" i="1"/>
  <c r="BQ87" i="1"/>
  <c r="BO87" i="1"/>
  <c r="BU84" i="1"/>
  <c r="BO84" i="1"/>
  <c r="BP84" i="1"/>
  <c r="BT84" i="1"/>
  <c r="BS84" i="1"/>
  <c r="BQ84" i="1"/>
  <c r="BR84" i="1"/>
  <c r="BT91" i="1"/>
  <c r="BP91" i="1"/>
  <c r="BQ91" i="1"/>
  <c r="BO91" i="1"/>
  <c r="BR91" i="1"/>
  <c r="BS91" i="1"/>
  <c r="BU91" i="1"/>
  <c r="BT83" i="1"/>
  <c r="BP83" i="1"/>
  <c r="BO83" i="1"/>
  <c r="BR83" i="1"/>
  <c r="BS83" i="1"/>
  <c r="BQ83" i="1"/>
  <c r="BU83" i="1"/>
  <c r="BU75" i="1"/>
  <c r="BT75" i="1"/>
  <c r="BP75" i="1"/>
  <c r="BO75" i="1"/>
  <c r="BR75" i="1"/>
  <c r="BS75" i="1"/>
  <c r="BQ75" i="1"/>
  <c r="BU72" i="1"/>
  <c r="BP72" i="1"/>
  <c r="BT72" i="1"/>
  <c r="BQ72" i="1"/>
  <c r="BS72" i="1"/>
  <c r="BR72" i="1"/>
  <c r="BO72" i="1"/>
  <c r="BU79" i="1"/>
  <c r="BP79" i="1"/>
  <c r="BR79" i="1"/>
  <c r="BS79" i="1"/>
  <c r="BT79" i="1"/>
  <c r="BQ79" i="1"/>
  <c r="BO79" i="1"/>
  <c r="BP71" i="1"/>
  <c r="BU71" i="1"/>
  <c r="BR71" i="1"/>
  <c r="BS71" i="1"/>
  <c r="BT71" i="1"/>
  <c r="BQ71" i="1"/>
  <c r="BO71" i="1"/>
  <c r="BU86" i="1"/>
  <c r="BV86" i="1" s="1"/>
  <c r="BW86" i="1" s="1"/>
  <c r="BX86" i="1" s="1"/>
  <c r="BY86" i="1" s="1"/>
  <c r="BZ86" i="1" s="1"/>
  <c r="CA86" i="1" s="1"/>
  <c r="CB86" i="1" s="1"/>
  <c r="CC86" i="1" s="1"/>
  <c r="CD86" i="1" s="1"/>
  <c r="CE86" i="1" s="1"/>
  <c r="CF86" i="1" s="1"/>
  <c r="CG86" i="1" s="1"/>
  <c r="CH86" i="1" s="1"/>
  <c r="CI86" i="1" s="1"/>
  <c r="CJ86" i="1" s="1"/>
  <c r="CK86" i="1" s="1"/>
  <c r="BT86" i="1"/>
  <c r="BP86" i="1"/>
  <c r="BQ86" i="1"/>
  <c r="BR86" i="1"/>
  <c r="BS86" i="1"/>
  <c r="BO86" i="1"/>
  <c r="BU78" i="1"/>
  <c r="BT78" i="1"/>
  <c r="BP78" i="1"/>
  <c r="BO78" i="1"/>
  <c r="BQ78" i="1"/>
  <c r="BR78" i="1"/>
  <c r="BS78" i="1"/>
  <c r="BU70" i="1"/>
  <c r="BT70" i="1"/>
  <c r="BP70" i="1"/>
  <c r="BO70" i="1"/>
  <c r="BQ70" i="1"/>
  <c r="BR70" i="1"/>
  <c r="BS70" i="1"/>
  <c r="BP93" i="1"/>
  <c r="BQ93" i="1"/>
  <c r="BT93" i="1"/>
  <c r="BR93" i="1"/>
  <c r="BS93" i="1"/>
  <c r="BO93" i="1"/>
  <c r="BU93" i="1"/>
  <c r="BV93" i="1" s="1"/>
  <c r="BW93" i="1" s="1"/>
  <c r="BX93" i="1" s="1"/>
  <c r="BY93" i="1" s="1"/>
  <c r="BZ93" i="1" s="1"/>
  <c r="CA93" i="1" s="1"/>
  <c r="CB93" i="1" s="1"/>
  <c r="CC93" i="1" s="1"/>
  <c r="CD93" i="1" s="1"/>
  <c r="CE93" i="1" s="1"/>
  <c r="CF93" i="1" s="1"/>
  <c r="CG93" i="1" s="1"/>
  <c r="CH93" i="1" s="1"/>
  <c r="CI93" i="1" s="1"/>
  <c r="CJ93" i="1" s="1"/>
  <c r="CK93" i="1" s="1"/>
  <c r="CL93" i="1" s="1"/>
  <c r="CM93" i="1" s="1"/>
  <c r="CN93" i="1" s="1"/>
  <c r="CO93" i="1" s="1"/>
  <c r="CP93" i="1" s="1"/>
  <c r="BP85" i="1"/>
  <c r="BT85" i="1"/>
  <c r="BR85" i="1"/>
  <c r="BS85" i="1"/>
  <c r="BO85" i="1"/>
  <c r="BU85" i="1"/>
  <c r="BV85" i="1" s="1"/>
  <c r="BW85" i="1" s="1"/>
  <c r="BX85" i="1" s="1"/>
  <c r="BY85" i="1" s="1"/>
  <c r="BZ85" i="1" s="1"/>
  <c r="CA85" i="1" s="1"/>
  <c r="CB85" i="1" s="1"/>
  <c r="CC85" i="1" s="1"/>
  <c r="CD85" i="1" s="1"/>
  <c r="CE85" i="1" s="1"/>
  <c r="CF85" i="1" s="1"/>
  <c r="CG85" i="1" s="1"/>
  <c r="CH85" i="1" s="1"/>
  <c r="CI85" i="1" s="1"/>
  <c r="CJ85" i="1" s="1"/>
  <c r="BQ85" i="1"/>
  <c r="BP77" i="1"/>
  <c r="BT77" i="1"/>
  <c r="BR77" i="1"/>
  <c r="BS77" i="1"/>
  <c r="BO77" i="1"/>
  <c r="BU77" i="1"/>
  <c r="BQ77" i="1"/>
  <c r="BU92" i="1"/>
  <c r="BO92" i="1"/>
  <c r="BP92" i="1"/>
  <c r="BT92" i="1"/>
  <c r="BQ92" i="1"/>
  <c r="BR92" i="1"/>
  <c r="BS92" i="1"/>
  <c r="BU76" i="1"/>
  <c r="BO76" i="1"/>
  <c r="BP76" i="1"/>
  <c r="BT76" i="1"/>
  <c r="BQ76" i="1"/>
  <c r="BR76" i="1"/>
  <c r="BS76" i="1"/>
  <c r="BO90" i="1"/>
  <c r="BP90" i="1"/>
  <c r="BT90" i="1"/>
  <c r="BR90" i="1"/>
  <c r="BS90" i="1"/>
  <c r="BU90" i="1"/>
  <c r="BQ90" i="1"/>
  <c r="BO82" i="1"/>
  <c r="BP82" i="1"/>
  <c r="BU82" i="1"/>
  <c r="BQ82" i="1"/>
  <c r="BR82" i="1"/>
  <c r="BT82" i="1"/>
  <c r="BS82" i="1"/>
  <c r="BU74" i="1"/>
  <c r="BO74" i="1"/>
  <c r="BP74" i="1"/>
  <c r="BR74" i="1"/>
  <c r="BS74" i="1"/>
  <c r="BQ74" i="1"/>
  <c r="BT74" i="1"/>
  <c r="BT69" i="1"/>
  <c r="BS69" i="1"/>
  <c r="BQ69" i="1"/>
  <c r="BR69" i="1"/>
  <c r="BP69" i="1"/>
  <c r="BO69" i="1"/>
  <c r="BS68" i="1"/>
  <c r="BR68" i="1"/>
  <c r="BQ68" i="1"/>
  <c r="BP68" i="1"/>
  <c r="BO68" i="1"/>
  <c r="BP67" i="1"/>
  <c r="BO67" i="1"/>
  <c r="BQ67" i="1"/>
  <c r="BR67" i="1"/>
  <c r="BQ66" i="1"/>
  <c r="BP66" i="1"/>
  <c r="BO66" i="1"/>
  <c r="BN66" i="1"/>
  <c r="BP65" i="1"/>
  <c r="BO65" i="1"/>
  <c r="L71" i="1"/>
  <c r="N71" i="1"/>
  <c r="AT71" i="1"/>
  <c r="BM71" i="1"/>
  <c r="BI71" i="1"/>
  <c r="AE71" i="1"/>
  <c r="BN71" i="1"/>
  <c r="AO71" i="1"/>
  <c r="BK71" i="1"/>
  <c r="Z71" i="1"/>
  <c r="AJ71" i="1"/>
  <c r="BG71" i="1"/>
  <c r="AY71" i="1"/>
  <c r="Q71" i="1"/>
  <c r="BE71" i="1"/>
  <c r="V71" i="1"/>
  <c r="L86" i="1"/>
  <c r="BN86" i="1"/>
  <c r="BK86" i="1"/>
  <c r="AJ86" i="1"/>
  <c r="V86" i="1"/>
  <c r="AT86" i="1"/>
  <c r="N86" i="1"/>
  <c r="BI86" i="1"/>
  <c r="AE86" i="1"/>
  <c r="BE86" i="1"/>
  <c r="AY86" i="1"/>
  <c r="Q86" i="1"/>
  <c r="BG86" i="1"/>
  <c r="Z86" i="1"/>
  <c r="BM86" i="1"/>
  <c r="AO86" i="1"/>
  <c r="BM85" i="1"/>
  <c r="BN85" i="1"/>
  <c r="BI85" i="1"/>
  <c r="AE85" i="1"/>
  <c r="BG85" i="1"/>
  <c r="Z85" i="1"/>
  <c r="Q85" i="1"/>
  <c r="AO85" i="1"/>
  <c r="BE85" i="1"/>
  <c r="V85" i="1"/>
  <c r="AY85" i="1"/>
  <c r="AT85" i="1"/>
  <c r="N85" i="1"/>
  <c r="BK85" i="1"/>
  <c r="AJ85" i="1"/>
  <c r="L85" i="1"/>
  <c r="N88" i="1"/>
  <c r="L88" i="1"/>
  <c r="BN88" i="1"/>
  <c r="BM88" i="1"/>
  <c r="BK88" i="1"/>
  <c r="BI88" i="1"/>
  <c r="BG88" i="1"/>
  <c r="BE88" i="1"/>
  <c r="AY88" i="1"/>
  <c r="AT88" i="1"/>
  <c r="AO88" i="1"/>
  <c r="AJ88" i="1"/>
  <c r="AE88" i="1"/>
  <c r="Z88" i="1"/>
  <c r="V88" i="1"/>
  <c r="Q88" i="1"/>
  <c r="N80" i="1"/>
  <c r="L80" i="1"/>
  <c r="BN80" i="1"/>
  <c r="BM80" i="1"/>
  <c r="BK80" i="1"/>
  <c r="BI80" i="1"/>
  <c r="BG80" i="1"/>
  <c r="BE80" i="1"/>
  <c r="AY80" i="1"/>
  <c r="AT80" i="1"/>
  <c r="AO80" i="1"/>
  <c r="AJ80" i="1"/>
  <c r="AE80" i="1"/>
  <c r="Z80" i="1"/>
  <c r="V80" i="1"/>
  <c r="Q80" i="1"/>
  <c r="N72" i="1"/>
  <c r="L72" i="1"/>
  <c r="BN72" i="1"/>
  <c r="BM72" i="1"/>
  <c r="BK72" i="1"/>
  <c r="BI72" i="1"/>
  <c r="BG72" i="1"/>
  <c r="BE72" i="1"/>
  <c r="AY72" i="1"/>
  <c r="AT72" i="1"/>
  <c r="AO72" i="1"/>
  <c r="AJ72" i="1"/>
  <c r="AE72" i="1"/>
  <c r="Z72" i="1"/>
  <c r="V72" i="1"/>
  <c r="Q72" i="1"/>
  <c r="L87" i="1"/>
  <c r="N87" i="1"/>
  <c r="BM87" i="1"/>
  <c r="BG87" i="1"/>
  <c r="BE87" i="1"/>
  <c r="V87" i="1"/>
  <c r="AT87" i="1"/>
  <c r="BN87" i="1"/>
  <c r="BV87" i="1" s="1"/>
  <c r="BW87" i="1" s="1"/>
  <c r="BX87" i="1" s="1"/>
  <c r="BY87" i="1" s="1"/>
  <c r="BZ87" i="1" s="1"/>
  <c r="CA87" i="1" s="1"/>
  <c r="CB87" i="1" s="1"/>
  <c r="CC87" i="1" s="1"/>
  <c r="CD87" i="1" s="1"/>
  <c r="CE87" i="1" s="1"/>
  <c r="CF87" i="1" s="1"/>
  <c r="CG87" i="1" s="1"/>
  <c r="CH87" i="1" s="1"/>
  <c r="CI87" i="1" s="1"/>
  <c r="CJ87" i="1" s="1"/>
  <c r="CK87" i="1" s="1"/>
  <c r="CL87" i="1" s="1"/>
  <c r="BK87" i="1"/>
  <c r="AJ87" i="1"/>
  <c r="Q87" i="1"/>
  <c r="BI87" i="1"/>
  <c r="AE87" i="1"/>
  <c r="Z87" i="1"/>
  <c r="AY87" i="1"/>
  <c r="AO87" i="1"/>
  <c r="BN78" i="1"/>
  <c r="L78" i="1"/>
  <c r="BE78" i="1"/>
  <c r="V78" i="1"/>
  <c r="BK78" i="1"/>
  <c r="AY78" i="1"/>
  <c r="Q78" i="1"/>
  <c r="AO78" i="1"/>
  <c r="AT78" i="1"/>
  <c r="N78" i="1"/>
  <c r="BM78" i="1"/>
  <c r="AJ78" i="1"/>
  <c r="BI78" i="1"/>
  <c r="AE78" i="1"/>
  <c r="BG78" i="1"/>
  <c r="Z78" i="1"/>
  <c r="BN93" i="1"/>
  <c r="N93" i="1"/>
  <c r="V93" i="1"/>
  <c r="BM93" i="1"/>
  <c r="AO93" i="1"/>
  <c r="AE93" i="1"/>
  <c r="Z93" i="1"/>
  <c r="BE93" i="1"/>
  <c r="Q93" i="1"/>
  <c r="BK93" i="1"/>
  <c r="AJ93" i="1"/>
  <c r="L93" i="1"/>
  <c r="BI93" i="1"/>
  <c r="BG93" i="1"/>
  <c r="AY93" i="1"/>
  <c r="AT93" i="1"/>
  <c r="BI84" i="1"/>
  <c r="Q84" i="1"/>
  <c r="AY84" i="1"/>
  <c r="AE84" i="1"/>
  <c r="Z84" i="1"/>
  <c r="BK84" i="1"/>
  <c r="AT84" i="1"/>
  <c r="AJ84" i="1"/>
  <c r="V84" i="1"/>
  <c r="BN84" i="1"/>
  <c r="BM84" i="1"/>
  <c r="BG84" i="1"/>
  <c r="BE84" i="1"/>
  <c r="AO84" i="1"/>
  <c r="N84" i="1"/>
  <c r="L84" i="1"/>
  <c r="N91" i="1"/>
  <c r="BN91" i="1"/>
  <c r="BV91" i="1" s="1"/>
  <c r="BW91" i="1" s="1"/>
  <c r="BX91" i="1" s="1"/>
  <c r="BY91" i="1" s="1"/>
  <c r="BZ91" i="1" s="1"/>
  <c r="CA91" i="1" s="1"/>
  <c r="CB91" i="1" s="1"/>
  <c r="CC91" i="1" s="1"/>
  <c r="CD91" i="1" s="1"/>
  <c r="CE91" i="1" s="1"/>
  <c r="CF91" i="1" s="1"/>
  <c r="CG91" i="1" s="1"/>
  <c r="CH91" i="1" s="1"/>
  <c r="CI91" i="1" s="1"/>
  <c r="CJ91" i="1" s="1"/>
  <c r="CK91" i="1" s="1"/>
  <c r="CL91" i="1" s="1"/>
  <c r="CM91" i="1" s="1"/>
  <c r="CN91" i="1" s="1"/>
  <c r="CO91" i="1" s="1"/>
  <c r="CQ91" i="1" s="1"/>
  <c r="BM91" i="1"/>
  <c r="BK91" i="1"/>
  <c r="BI91" i="1"/>
  <c r="BG91" i="1"/>
  <c r="BE91" i="1"/>
  <c r="AY91" i="1"/>
  <c r="AT91" i="1"/>
  <c r="AO91" i="1"/>
  <c r="AJ91" i="1"/>
  <c r="AE91" i="1"/>
  <c r="Z91" i="1"/>
  <c r="V91" i="1"/>
  <c r="Q91" i="1"/>
  <c r="L91" i="1"/>
  <c r="BN83" i="1"/>
  <c r="BV83" i="1" s="1"/>
  <c r="BW83" i="1" s="1"/>
  <c r="BX83" i="1" s="1"/>
  <c r="BY83" i="1" s="1"/>
  <c r="BZ83" i="1" s="1"/>
  <c r="CA83" i="1" s="1"/>
  <c r="CB83" i="1" s="1"/>
  <c r="CC83" i="1" s="1"/>
  <c r="CD83" i="1" s="1"/>
  <c r="CE83" i="1" s="1"/>
  <c r="CF83" i="1" s="1"/>
  <c r="CG83" i="1" s="1"/>
  <c r="CH83" i="1" s="1"/>
  <c r="BM83" i="1"/>
  <c r="BK83" i="1"/>
  <c r="BI83" i="1"/>
  <c r="BG83" i="1"/>
  <c r="BE83" i="1"/>
  <c r="AY83" i="1"/>
  <c r="AT83" i="1"/>
  <c r="AO83" i="1"/>
  <c r="AJ83" i="1"/>
  <c r="AE83" i="1"/>
  <c r="Z83" i="1"/>
  <c r="V83" i="1"/>
  <c r="Q83" i="1"/>
  <c r="N83" i="1"/>
  <c r="L83" i="1"/>
  <c r="N75" i="1"/>
  <c r="BN75" i="1"/>
  <c r="BV75" i="1" s="1"/>
  <c r="BW75" i="1" s="1"/>
  <c r="BX75" i="1" s="1"/>
  <c r="BY75" i="1" s="1"/>
  <c r="BZ75" i="1" s="1"/>
  <c r="BM75" i="1"/>
  <c r="BK75" i="1"/>
  <c r="BI75" i="1"/>
  <c r="BG75" i="1"/>
  <c r="BE75" i="1"/>
  <c r="AY75" i="1"/>
  <c r="AT75" i="1"/>
  <c r="AO75" i="1"/>
  <c r="AJ75" i="1"/>
  <c r="AE75" i="1"/>
  <c r="Z75" i="1"/>
  <c r="V75" i="1"/>
  <c r="Q75" i="1"/>
  <c r="L75" i="1"/>
  <c r="L79" i="1"/>
  <c r="N79" i="1"/>
  <c r="BG79" i="1"/>
  <c r="Z79" i="1"/>
  <c r="AT79" i="1"/>
  <c r="AO79" i="1"/>
  <c r="BE79" i="1"/>
  <c r="V79" i="1"/>
  <c r="BK79" i="1"/>
  <c r="AJ79" i="1"/>
  <c r="AY79" i="1"/>
  <c r="Q79" i="1"/>
  <c r="BN79" i="1"/>
  <c r="BI79" i="1"/>
  <c r="AE79" i="1"/>
  <c r="BM79" i="1"/>
  <c r="BN70" i="1"/>
  <c r="L70" i="1"/>
  <c r="AO70" i="1"/>
  <c r="N70" i="1"/>
  <c r="AE70" i="1"/>
  <c r="BE70" i="1"/>
  <c r="BG70" i="1"/>
  <c r="AY70" i="1"/>
  <c r="BM70" i="1"/>
  <c r="BK70" i="1"/>
  <c r="AJ70" i="1"/>
  <c r="BI70" i="1"/>
  <c r="Z70" i="1"/>
  <c r="V70" i="1"/>
  <c r="Q70" i="1"/>
  <c r="AT70" i="1"/>
  <c r="BN77" i="1"/>
  <c r="AY77" i="1"/>
  <c r="Q77" i="1"/>
  <c r="L77" i="1"/>
  <c r="AE77" i="1"/>
  <c r="BG77" i="1"/>
  <c r="Z77" i="1"/>
  <c r="AT77" i="1"/>
  <c r="BM77" i="1"/>
  <c r="AJ77" i="1"/>
  <c r="BI77" i="1"/>
  <c r="AO77" i="1"/>
  <c r="N77" i="1"/>
  <c r="BK77" i="1"/>
  <c r="BE77" i="1"/>
  <c r="V77" i="1"/>
  <c r="BN90" i="1"/>
  <c r="BV90" i="1" s="1"/>
  <c r="BW90" i="1" s="1"/>
  <c r="BX90" i="1" s="1"/>
  <c r="BY90" i="1" s="1"/>
  <c r="BZ90" i="1" s="1"/>
  <c r="CA90" i="1" s="1"/>
  <c r="CB90" i="1" s="1"/>
  <c r="CC90" i="1" s="1"/>
  <c r="CD90" i="1" s="1"/>
  <c r="CE90" i="1" s="1"/>
  <c r="CF90" i="1" s="1"/>
  <c r="CG90" i="1" s="1"/>
  <c r="CH90" i="1" s="1"/>
  <c r="CI90" i="1" s="1"/>
  <c r="CJ90" i="1" s="1"/>
  <c r="CK90" i="1" s="1"/>
  <c r="CL90" i="1" s="1"/>
  <c r="CM90" i="1" s="1"/>
  <c r="CN90" i="1" s="1"/>
  <c r="CO90" i="1" s="1"/>
  <c r="CQ90" i="1" s="1"/>
  <c r="BM90" i="1"/>
  <c r="BK90" i="1"/>
  <c r="BI90" i="1"/>
  <c r="BG90" i="1"/>
  <c r="BE90" i="1"/>
  <c r="AY90" i="1"/>
  <c r="AT90" i="1"/>
  <c r="AO90" i="1"/>
  <c r="AJ90" i="1"/>
  <c r="AE90" i="1"/>
  <c r="Z90" i="1"/>
  <c r="V90" i="1"/>
  <c r="Q90" i="1"/>
  <c r="N90" i="1"/>
  <c r="L90" i="1"/>
  <c r="L82" i="1"/>
  <c r="BN82" i="1"/>
  <c r="BM82" i="1"/>
  <c r="BK82" i="1"/>
  <c r="BI82" i="1"/>
  <c r="BG82" i="1"/>
  <c r="BE82" i="1"/>
  <c r="AY82" i="1"/>
  <c r="AT82" i="1"/>
  <c r="AO82" i="1"/>
  <c r="AJ82" i="1"/>
  <c r="AE82" i="1"/>
  <c r="Z82" i="1"/>
  <c r="V82" i="1"/>
  <c r="Q82" i="1"/>
  <c r="N82" i="1"/>
  <c r="BN74" i="1"/>
  <c r="BV74" i="1" s="1"/>
  <c r="BW74" i="1" s="1"/>
  <c r="BX74" i="1" s="1"/>
  <c r="BY74" i="1" s="1"/>
  <c r="BM74" i="1"/>
  <c r="BK74" i="1"/>
  <c r="BI74" i="1"/>
  <c r="BG74" i="1"/>
  <c r="BE74" i="1"/>
  <c r="AY74" i="1"/>
  <c r="AT74" i="1"/>
  <c r="AO74" i="1"/>
  <c r="AJ74" i="1"/>
  <c r="AE74" i="1"/>
  <c r="Z74" i="1"/>
  <c r="V74" i="1"/>
  <c r="Q74" i="1"/>
  <c r="N74" i="1"/>
  <c r="L74" i="1"/>
  <c r="BG92" i="1"/>
  <c r="AJ92" i="1"/>
  <c r="AE92" i="1"/>
  <c r="BM92" i="1"/>
  <c r="BI92" i="1"/>
  <c r="AT92" i="1"/>
  <c r="BN92" i="1"/>
  <c r="BE92" i="1"/>
  <c r="BK92" i="1"/>
  <c r="AY92" i="1"/>
  <c r="Z92" i="1"/>
  <c r="V92" i="1"/>
  <c r="Q92" i="1"/>
  <c r="AO92" i="1"/>
  <c r="L92" i="1"/>
  <c r="N92" i="1"/>
  <c r="BM76" i="1"/>
  <c r="BK76" i="1"/>
  <c r="AY76" i="1"/>
  <c r="AT76" i="1"/>
  <c r="AO76" i="1"/>
  <c r="V76" i="1"/>
  <c r="BN76" i="1"/>
  <c r="BV76" i="1" s="1"/>
  <c r="BW76" i="1" s="1"/>
  <c r="BX76" i="1" s="1"/>
  <c r="BY76" i="1" s="1"/>
  <c r="BZ76" i="1" s="1"/>
  <c r="CA76" i="1" s="1"/>
  <c r="BI76" i="1"/>
  <c r="BE76" i="1"/>
  <c r="AJ76" i="1"/>
  <c r="Q76" i="1"/>
  <c r="BG76" i="1"/>
  <c r="Z76" i="1"/>
  <c r="AE76" i="1"/>
  <c r="L76" i="1"/>
  <c r="N76" i="1"/>
  <c r="BN89" i="1"/>
  <c r="BV89" i="1" s="1"/>
  <c r="BW89" i="1" s="1"/>
  <c r="BX89" i="1" s="1"/>
  <c r="BY89" i="1" s="1"/>
  <c r="BZ89" i="1" s="1"/>
  <c r="CA89" i="1" s="1"/>
  <c r="CB89" i="1" s="1"/>
  <c r="CC89" i="1" s="1"/>
  <c r="CD89" i="1" s="1"/>
  <c r="CE89" i="1" s="1"/>
  <c r="CF89" i="1" s="1"/>
  <c r="CG89" i="1" s="1"/>
  <c r="CH89" i="1" s="1"/>
  <c r="CI89" i="1" s="1"/>
  <c r="CJ89" i="1" s="1"/>
  <c r="CK89" i="1" s="1"/>
  <c r="CL89" i="1" s="1"/>
  <c r="CM89" i="1" s="1"/>
  <c r="CN89" i="1" s="1"/>
  <c r="CO89" i="1" s="1"/>
  <c r="BM89" i="1"/>
  <c r="BK89" i="1"/>
  <c r="BI89" i="1"/>
  <c r="BG89" i="1"/>
  <c r="BE89" i="1"/>
  <c r="AY89" i="1"/>
  <c r="AT89" i="1"/>
  <c r="AO89" i="1"/>
  <c r="AJ89" i="1"/>
  <c r="AE89" i="1"/>
  <c r="Z89" i="1"/>
  <c r="V89" i="1"/>
  <c r="Q89" i="1"/>
  <c r="N89" i="1"/>
  <c r="L89" i="1"/>
  <c r="BN81" i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CF81" i="1" s="1"/>
  <c r="BM81" i="1"/>
  <c r="BK81" i="1"/>
  <c r="BI81" i="1"/>
  <c r="BG81" i="1"/>
  <c r="BE81" i="1"/>
  <c r="AY81" i="1"/>
  <c r="AT81" i="1"/>
  <c r="AO81" i="1"/>
  <c r="AJ81" i="1"/>
  <c r="AE81" i="1"/>
  <c r="Z81" i="1"/>
  <c r="V81" i="1"/>
  <c r="Q81" i="1"/>
  <c r="N81" i="1"/>
  <c r="L81" i="1"/>
  <c r="BN73" i="1"/>
  <c r="BM73" i="1"/>
  <c r="BK73" i="1"/>
  <c r="BI73" i="1"/>
  <c r="BG73" i="1"/>
  <c r="BE73" i="1"/>
  <c r="AY73" i="1"/>
  <c r="AT73" i="1"/>
  <c r="AO73" i="1"/>
  <c r="AJ73" i="1"/>
  <c r="AE73" i="1"/>
  <c r="Z73" i="1"/>
  <c r="V73" i="1"/>
  <c r="Q73" i="1"/>
  <c r="N73" i="1"/>
  <c r="L73" i="1"/>
  <c r="AE43" i="1"/>
  <c r="M43" i="1"/>
  <c r="V43" i="1"/>
  <c r="Q43" i="1"/>
  <c r="O43" i="1"/>
  <c r="Z43" i="1"/>
  <c r="N59" i="1"/>
  <c r="BG59" i="1"/>
  <c r="AO59" i="1"/>
  <c r="AJ59" i="1"/>
  <c r="AE59" i="1"/>
  <c r="V59" i="1"/>
  <c r="L59" i="1"/>
  <c r="BE59" i="1"/>
  <c r="AY59" i="1"/>
  <c r="Q59" i="1"/>
  <c r="Z59" i="1"/>
  <c r="AT59" i="1"/>
  <c r="AJ51" i="1"/>
  <c r="AE51" i="1"/>
  <c r="V51" i="1"/>
  <c r="Q51" i="1"/>
  <c r="Z51" i="1"/>
  <c r="N51" i="1"/>
  <c r="AO51" i="1"/>
  <c r="L51" i="1"/>
  <c r="AE41" i="1"/>
  <c r="L41" i="1"/>
  <c r="V41" i="1"/>
  <c r="Q41" i="1"/>
  <c r="O41" i="1"/>
  <c r="Z41" i="1"/>
  <c r="BE64" i="1"/>
  <c r="AY64" i="1"/>
  <c r="Q64" i="1"/>
  <c r="Z64" i="1"/>
  <c r="BN64" i="1"/>
  <c r="BG64" i="1"/>
  <c r="AT64" i="1"/>
  <c r="N64" i="1"/>
  <c r="BM64" i="1"/>
  <c r="BK64" i="1"/>
  <c r="AO64" i="1"/>
  <c r="AJ64" i="1"/>
  <c r="AE64" i="1"/>
  <c r="BI64" i="1"/>
  <c r="V64" i="1"/>
  <c r="L64" i="1"/>
  <c r="AO58" i="1"/>
  <c r="AJ58" i="1"/>
  <c r="AE58" i="1"/>
  <c r="V58" i="1"/>
  <c r="L58" i="1"/>
  <c r="BG58" i="1"/>
  <c r="AY58" i="1"/>
  <c r="Q58" i="1"/>
  <c r="Z58" i="1"/>
  <c r="AT58" i="1"/>
  <c r="O58" i="1"/>
  <c r="BE58" i="1"/>
  <c r="N40" i="1"/>
  <c r="AE40" i="1"/>
  <c r="L40" i="1"/>
  <c r="V40" i="1"/>
  <c r="Q40" i="1"/>
  <c r="Z40" i="1"/>
  <c r="Z63" i="1"/>
  <c r="BG63" i="1"/>
  <c r="AT63" i="1"/>
  <c r="N63" i="1"/>
  <c r="BM63" i="1"/>
  <c r="BN63" i="1"/>
  <c r="BK63" i="1"/>
  <c r="AO63" i="1"/>
  <c r="AJ63" i="1"/>
  <c r="AE63" i="1"/>
  <c r="BI63" i="1"/>
  <c r="V63" i="1"/>
  <c r="L63" i="1"/>
  <c r="BE63" i="1"/>
  <c r="AY63" i="1"/>
  <c r="Q63" i="1"/>
  <c r="O49" i="1"/>
  <c r="AJ49" i="1"/>
  <c r="AE49" i="1"/>
  <c r="V49" i="1"/>
  <c r="Q49" i="1"/>
  <c r="L49" i="1"/>
  <c r="AO49" i="1"/>
  <c r="Z49" i="1"/>
  <c r="V31" i="1"/>
  <c r="Q31" i="1"/>
  <c r="L31" i="1"/>
  <c r="O31" i="1"/>
  <c r="BG62" i="1"/>
  <c r="AT62" i="1"/>
  <c r="N62" i="1"/>
  <c r="BM62" i="1"/>
  <c r="BK62" i="1"/>
  <c r="AO62" i="1"/>
  <c r="AJ62" i="1"/>
  <c r="AE62" i="1"/>
  <c r="BI62" i="1"/>
  <c r="V62" i="1"/>
  <c r="BE62" i="1"/>
  <c r="AY62" i="1"/>
  <c r="Q62" i="1"/>
  <c r="Z62" i="1"/>
  <c r="BN68" i="1"/>
  <c r="BM68" i="1"/>
  <c r="BK68" i="1"/>
  <c r="AO68" i="1"/>
  <c r="AJ68" i="1"/>
  <c r="AE68" i="1"/>
  <c r="BI68" i="1"/>
  <c r="V68" i="1"/>
  <c r="L68" i="1"/>
  <c r="BE68" i="1"/>
  <c r="AY68" i="1"/>
  <c r="Q68" i="1"/>
  <c r="Z68" i="1"/>
  <c r="BG68" i="1"/>
  <c r="AT68" i="1"/>
  <c r="N68" i="1"/>
  <c r="AT52" i="1"/>
  <c r="AJ52" i="1"/>
  <c r="AE52" i="1"/>
  <c r="V52" i="1"/>
  <c r="L52" i="1"/>
  <c r="AO52" i="1"/>
  <c r="Q52" i="1"/>
  <c r="Z52" i="1"/>
  <c r="O52" i="1"/>
  <c r="BI65" i="1"/>
  <c r="V65" i="1"/>
  <c r="L65" i="1"/>
  <c r="BE65" i="1"/>
  <c r="AY65" i="1"/>
  <c r="Q65" i="1"/>
  <c r="Z65" i="1"/>
  <c r="BG65" i="1"/>
  <c r="AT65" i="1"/>
  <c r="N65" i="1"/>
  <c r="BN65" i="1"/>
  <c r="BM65" i="1"/>
  <c r="BK65" i="1"/>
  <c r="AO65" i="1"/>
  <c r="AJ65" i="1"/>
  <c r="AE65" i="1"/>
  <c r="AJ50" i="1"/>
  <c r="AE50" i="1"/>
  <c r="V50" i="1"/>
  <c r="Q50" i="1"/>
  <c r="Z50" i="1"/>
  <c r="N50" i="1"/>
  <c r="AO50" i="1"/>
  <c r="M50" i="1"/>
  <c r="Q32" i="1"/>
  <c r="M32" i="1"/>
  <c r="N32" i="1"/>
  <c r="V32" i="1"/>
  <c r="V57" i="1"/>
  <c r="L57" i="1"/>
  <c r="AY57" i="1"/>
  <c r="Q57" i="1"/>
  <c r="N57" i="1"/>
  <c r="Z57" i="1"/>
  <c r="AT57" i="1"/>
  <c r="BE57" i="1"/>
  <c r="AO57" i="1"/>
  <c r="AJ57" i="1"/>
  <c r="AE57" i="1"/>
  <c r="BE56" i="1"/>
  <c r="Q56" i="1"/>
  <c r="Z56" i="1"/>
  <c r="AT56" i="1"/>
  <c r="O56" i="1"/>
  <c r="AY56" i="1"/>
  <c r="AO56" i="1"/>
  <c r="AJ56" i="1"/>
  <c r="AE56" i="1"/>
  <c r="V56" i="1"/>
  <c r="L56" i="1"/>
  <c r="BN69" i="1"/>
  <c r="BM69" i="1"/>
  <c r="BK69" i="1"/>
  <c r="AO69" i="1"/>
  <c r="AJ69" i="1"/>
  <c r="AE69" i="1"/>
  <c r="BI69" i="1"/>
  <c r="V69" i="1"/>
  <c r="L69" i="1"/>
  <c r="BE69" i="1"/>
  <c r="AY69" i="1"/>
  <c r="Q69" i="1"/>
  <c r="Z69" i="1"/>
  <c r="BG69" i="1"/>
  <c r="AT69" i="1"/>
  <c r="N69" i="1"/>
  <c r="AO61" i="1"/>
  <c r="AJ61" i="1"/>
  <c r="AE61" i="1"/>
  <c r="BK61" i="1"/>
  <c r="V61" i="1"/>
  <c r="L61" i="1"/>
  <c r="BI61" i="1"/>
  <c r="BE61" i="1"/>
  <c r="AY61" i="1"/>
  <c r="Q61" i="1"/>
  <c r="Z61" i="1"/>
  <c r="BG61" i="1"/>
  <c r="AT61" i="1"/>
  <c r="N61" i="1"/>
  <c r="N37" i="1"/>
  <c r="M37" i="1"/>
  <c r="V37" i="1"/>
  <c r="Q37" i="1"/>
  <c r="Z37" i="1"/>
  <c r="BG60" i="1"/>
  <c r="AO60" i="1"/>
  <c r="AJ60" i="1"/>
  <c r="AE60" i="1"/>
  <c r="V60" i="1"/>
  <c r="L60" i="1"/>
  <c r="BE60" i="1"/>
  <c r="AY60" i="1"/>
  <c r="Q60" i="1"/>
  <c r="Z60" i="1"/>
  <c r="BI60" i="1"/>
  <c r="AT60" i="1"/>
  <c r="N60" i="1"/>
  <c r="AY54" i="1"/>
  <c r="AT54" i="1"/>
  <c r="AO54" i="1"/>
  <c r="AJ54" i="1"/>
  <c r="AE54" i="1"/>
  <c r="V54" i="1"/>
  <c r="L54" i="1"/>
  <c r="Q54" i="1"/>
  <c r="O54" i="1"/>
  <c r="Z54" i="1"/>
  <c r="Q45" i="1"/>
  <c r="Z45" i="1"/>
  <c r="AJ45" i="1"/>
  <c r="AE45" i="1"/>
  <c r="V45" i="1"/>
  <c r="N45" i="1"/>
  <c r="L45" i="1"/>
  <c r="O36" i="1"/>
  <c r="V36" i="1"/>
  <c r="Q36" i="1"/>
  <c r="Z36" i="1"/>
  <c r="BK67" i="1"/>
  <c r="AO67" i="1"/>
  <c r="AJ67" i="1"/>
  <c r="AE67" i="1"/>
  <c r="BI67" i="1"/>
  <c r="V67" i="1"/>
  <c r="L67" i="1"/>
  <c r="BE67" i="1"/>
  <c r="AY67" i="1"/>
  <c r="Q67" i="1"/>
  <c r="Z67" i="1"/>
  <c r="BG67" i="1"/>
  <c r="AT67" i="1"/>
  <c r="N67" i="1"/>
  <c r="BN67" i="1"/>
  <c r="BM67" i="1"/>
  <c r="AT53" i="1"/>
  <c r="AO53" i="1"/>
  <c r="AJ53" i="1"/>
  <c r="AE53" i="1"/>
  <c r="N53" i="1"/>
  <c r="V53" i="1"/>
  <c r="L53" i="1"/>
  <c r="Q53" i="1"/>
  <c r="Z53" i="1"/>
  <c r="V44" i="1"/>
  <c r="L44" i="1"/>
  <c r="Q44" i="1"/>
  <c r="O44" i="1"/>
  <c r="Z44" i="1"/>
  <c r="AJ44" i="1"/>
  <c r="AE44" i="1"/>
  <c r="Z35" i="1"/>
  <c r="N35" i="1"/>
  <c r="V35" i="1"/>
  <c r="Q35" i="1"/>
  <c r="AO66" i="1"/>
  <c r="AJ66" i="1"/>
  <c r="AE66" i="1"/>
  <c r="BI66" i="1"/>
  <c r="V66" i="1"/>
  <c r="L66" i="1"/>
  <c r="BE66" i="1"/>
  <c r="AY66" i="1"/>
  <c r="Q66" i="1"/>
  <c r="Z66" i="1"/>
  <c r="BG66" i="1"/>
  <c r="AT66" i="1"/>
  <c r="N66" i="1"/>
  <c r="BM66" i="1"/>
  <c r="BK66" i="1"/>
  <c r="Q27" i="1"/>
  <c r="M27" i="1"/>
  <c r="Q26" i="1"/>
  <c r="AW43" i="1"/>
  <c r="AW96" i="1" s="1"/>
  <c r="AD24" i="1"/>
  <c r="AD96" i="1" s="1"/>
  <c r="D43" i="1"/>
  <c r="U96" i="1"/>
  <c r="K96" i="1"/>
  <c r="I96" i="1"/>
  <c r="BH54" i="1"/>
  <c r="BG53" i="1"/>
  <c r="AY45" i="1"/>
  <c r="AX44" i="1"/>
  <c r="AX96" i="1" s="1"/>
  <c r="AQ37" i="1"/>
  <c r="AP36" i="1"/>
  <c r="AI29" i="1"/>
  <c r="AH28" i="1"/>
  <c r="AH96" i="1" s="1"/>
  <c r="Z20" i="1"/>
  <c r="BM59" i="1"/>
  <c r="BE51" i="1"/>
  <c r="AN34" i="1"/>
  <c r="AF26" i="1"/>
  <c r="D59" i="1"/>
  <c r="AO35" i="1"/>
  <c r="BL58" i="1"/>
  <c r="BL96" i="1" s="1"/>
  <c r="BD50" i="1"/>
  <c r="AU41" i="1"/>
  <c r="AM33" i="1"/>
  <c r="AM96" i="1" s="1"/>
  <c r="AE25" i="1"/>
  <c r="BF52" i="1"/>
  <c r="AG27" i="1"/>
  <c r="BC49" i="1"/>
  <c r="AC23" i="1"/>
  <c r="AC96" i="1" s="1"/>
  <c r="AV42" i="1"/>
  <c r="BJ56" i="1"/>
  <c r="BA47" i="1"/>
  <c r="BA96" i="1" s="1"/>
  <c r="AS39" i="1"/>
  <c r="AK31" i="1"/>
  <c r="AB22" i="1"/>
  <c r="BK57" i="1"/>
  <c r="AT40" i="1"/>
  <c r="AL32" i="1"/>
  <c r="BI55" i="1"/>
  <c r="AZ46" i="1"/>
  <c r="AR38" i="1"/>
  <c r="AR96" i="1" s="1"/>
  <c r="AJ30" i="1"/>
  <c r="AA21" i="1"/>
  <c r="D20" i="3"/>
  <c r="D47" i="3"/>
  <c r="D27" i="3"/>
  <c r="D51" i="3"/>
  <c r="D23" i="3"/>
  <c r="D30" i="3"/>
  <c r="J96" i="1"/>
  <c r="D33" i="3"/>
  <c r="D41" i="3"/>
  <c r="D46" i="3"/>
  <c r="D28" i="3"/>
  <c r="D50" i="3"/>
  <c r="D40" i="3"/>
  <c r="D44" i="3"/>
  <c r="D25" i="3"/>
  <c r="D29" i="3"/>
  <c r="D49" i="3"/>
  <c r="D54" i="3"/>
  <c r="D55" i="3"/>
  <c r="D59" i="3"/>
  <c r="E55" i="1"/>
  <c r="E46" i="1"/>
  <c r="E38" i="1"/>
  <c r="E30" i="1"/>
  <c r="D54" i="1"/>
  <c r="D45" i="1"/>
  <c r="D37" i="1"/>
  <c r="D29" i="1"/>
  <c r="D53" i="1"/>
  <c r="D44" i="1"/>
  <c r="D36" i="1"/>
  <c r="D28" i="1"/>
  <c r="D52" i="1"/>
  <c r="D42" i="1"/>
  <c r="D35" i="1"/>
  <c r="D27" i="1"/>
  <c r="D51" i="1"/>
  <c r="D34" i="1"/>
  <c r="D26" i="1"/>
  <c r="D58" i="1"/>
  <c r="D50" i="1"/>
  <c r="D41" i="1"/>
  <c r="D33" i="1"/>
  <c r="D57" i="1"/>
  <c r="D49" i="1"/>
  <c r="D40" i="1"/>
  <c r="D32" i="1"/>
  <c r="D56" i="1"/>
  <c r="D47" i="1"/>
  <c r="D39" i="1"/>
  <c r="D31" i="1"/>
  <c r="BV84" i="1"/>
  <c r="BW84" i="1" s="1"/>
  <c r="BX84" i="1" s="1"/>
  <c r="BY84" i="1" s="1"/>
  <c r="BZ84" i="1" s="1"/>
  <c r="CA84" i="1" s="1"/>
  <c r="CB84" i="1" s="1"/>
  <c r="CC84" i="1" s="1"/>
  <c r="CD84" i="1" s="1"/>
  <c r="CE84" i="1" s="1"/>
  <c r="CF84" i="1" s="1"/>
  <c r="CG84" i="1" s="1"/>
  <c r="CH84" i="1" s="1"/>
  <c r="CI84" i="1" s="1"/>
  <c r="BV82" i="1"/>
  <c r="BW82" i="1" s="1"/>
  <c r="BX82" i="1" s="1"/>
  <c r="BY82" i="1" s="1"/>
  <c r="BZ82" i="1" s="1"/>
  <c r="CA82" i="1" s="1"/>
  <c r="CB82" i="1" s="1"/>
  <c r="CC82" i="1" s="1"/>
  <c r="CD82" i="1" s="1"/>
  <c r="CE82" i="1" s="1"/>
  <c r="CF82" i="1" s="1"/>
  <c r="CG82" i="1" s="1"/>
  <c r="P96" i="1"/>
  <c r="BV73" i="1" l="1"/>
  <c r="BW73" i="1" s="1"/>
  <c r="BX73" i="1" s="1"/>
  <c r="BV77" i="1"/>
  <c r="BW77" i="1" s="1"/>
  <c r="BX77" i="1" s="1"/>
  <c r="BY77" i="1" s="1"/>
  <c r="BZ77" i="1" s="1"/>
  <c r="CA77" i="1" s="1"/>
  <c r="CB77" i="1" s="1"/>
  <c r="BV78" i="1"/>
  <c r="BW78" i="1" s="1"/>
  <c r="BX78" i="1" s="1"/>
  <c r="BY78" i="1" s="1"/>
  <c r="BZ78" i="1" s="1"/>
  <c r="CA78" i="1" s="1"/>
  <c r="CB78" i="1" s="1"/>
  <c r="CC78" i="1" s="1"/>
  <c r="BV71" i="1"/>
  <c r="CY71" i="1" s="1"/>
  <c r="BV92" i="1"/>
  <c r="BW92" i="1" s="1"/>
  <c r="BX92" i="1" s="1"/>
  <c r="BY92" i="1" s="1"/>
  <c r="BZ92" i="1" s="1"/>
  <c r="CA92" i="1" s="1"/>
  <c r="CB92" i="1" s="1"/>
  <c r="CC92" i="1" s="1"/>
  <c r="CD92" i="1" s="1"/>
  <c r="CE92" i="1" s="1"/>
  <c r="CF92" i="1" s="1"/>
  <c r="CG92" i="1" s="1"/>
  <c r="CH92" i="1" s="1"/>
  <c r="CI92" i="1" s="1"/>
  <c r="CJ92" i="1" s="1"/>
  <c r="CK92" i="1" s="1"/>
  <c r="CL92" i="1" s="1"/>
  <c r="CM92" i="1" s="1"/>
  <c r="CN92" i="1" s="1"/>
  <c r="CO92" i="1" s="1"/>
  <c r="CP92" i="1" s="1"/>
  <c r="CQ92" i="1" s="1"/>
  <c r="CQ96" i="1" s="1"/>
  <c r="BV79" i="1"/>
  <c r="BW79" i="1" s="1"/>
  <c r="BX79" i="1" s="1"/>
  <c r="BY79" i="1" s="1"/>
  <c r="BZ79" i="1" s="1"/>
  <c r="CA79" i="1" s="1"/>
  <c r="CB79" i="1" s="1"/>
  <c r="CC79" i="1" s="1"/>
  <c r="CD79" i="1" s="1"/>
  <c r="CD96" i="1" s="1"/>
  <c r="BV72" i="1"/>
  <c r="BW72" i="1" s="1"/>
  <c r="BW96" i="1" s="1"/>
  <c r="BV88" i="1"/>
  <c r="BW88" i="1" s="1"/>
  <c r="BX88" i="1" s="1"/>
  <c r="BY88" i="1" s="1"/>
  <c r="BZ88" i="1" s="1"/>
  <c r="CA88" i="1" s="1"/>
  <c r="CB88" i="1" s="1"/>
  <c r="CC88" i="1" s="1"/>
  <c r="CD88" i="1" s="1"/>
  <c r="CE88" i="1" s="1"/>
  <c r="CF88" i="1" s="1"/>
  <c r="CG88" i="1" s="1"/>
  <c r="CH88" i="1" s="1"/>
  <c r="CI88" i="1" s="1"/>
  <c r="CJ88" i="1" s="1"/>
  <c r="CK88" i="1" s="1"/>
  <c r="CL88" i="1" s="1"/>
  <c r="CM88" i="1" s="1"/>
  <c r="CM96" i="1" s="1"/>
  <c r="CQ93" i="1"/>
  <c r="CS93" i="1"/>
  <c r="CS96" i="1" s="1"/>
  <c r="CY27" i="1"/>
  <c r="CP91" i="1"/>
  <c r="CY91" i="1" s="1"/>
  <c r="CY40" i="1"/>
  <c r="CY36" i="1"/>
  <c r="CY53" i="1"/>
  <c r="V30" i="1"/>
  <c r="Q30" i="1"/>
  <c r="N30" i="1"/>
  <c r="L30" i="1"/>
  <c r="Z46" i="1"/>
  <c r="AJ46" i="1"/>
  <c r="AE46" i="1"/>
  <c r="V46" i="1"/>
  <c r="N46" i="1"/>
  <c r="Q46" i="1"/>
  <c r="M46" i="1"/>
  <c r="Z55" i="1"/>
  <c r="AT55" i="1"/>
  <c r="AT96" i="1" s="1"/>
  <c r="N55" i="1"/>
  <c r="AO55" i="1"/>
  <c r="AJ55" i="1"/>
  <c r="AE55" i="1"/>
  <c r="V55" i="1"/>
  <c r="L55" i="1"/>
  <c r="AY55" i="1"/>
  <c r="AY96" i="1" s="1"/>
  <c r="Q55" i="1"/>
  <c r="CY75" i="1"/>
  <c r="CY89" i="1"/>
  <c r="CY87" i="1"/>
  <c r="CY86" i="1"/>
  <c r="CY73" i="1"/>
  <c r="CY76" i="1"/>
  <c r="CY81" i="1"/>
  <c r="CY85" i="1"/>
  <c r="CY84" i="1"/>
  <c r="CY80" i="1"/>
  <c r="CY74" i="1"/>
  <c r="CY83" i="1"/>
  <c r="CY70" i="1"/>
  <c r="CY82" i="1"/>
  <c r="CY78" i="1"/>
  <c r="CY77" i="1"/>
  <c r="CY26" i="1"/>
  <c r="CY51" i="1"/>
  <c r="CY58" i="1"/>
  <c r="CY60" i="1"/>
  <c r="CY35" i="1"/>
  <c r="CY50" i="1"/>
  <c r="CY44" i="1"/>
  <c r="CY32" i="1"/>
  <c r="CY54" i="1"/>
  <c r="CY57" i="1"/>
  <c r="CY59" i="1"/>
  <c r="CY31" i="1"/>
  <c r="CY49" i="1"/>
  <c r="CY37" i="1"/>
  <c r="CY45" i="1"/>
  <c r="CY41" i="1"/>
  <c r="CY52" i="1"/>
  <c r="CY61" i="1"/>
  <c r="CY56" i="1"/>
  <c r="CY43" i="1"/>
  <c r="CY68" i="1"/>
  <c r="CY67" i="1"/>
  <c r="CY65" i="1"/>
  <c r="CY66" i="1"/>
  <c r="CY62" i="1"/>
  <c r="CY64" i="1"/>
  <c r="CY69" i="1"/>
  <c r="CY63" i="1"/>
  <c r="CY25" i="1"/>
  <c r="AL96" i="1"/>
  <c r="AV96" i="1"/>
  <c r="BD96" i="1"/>
  <c r="BC96" i="1"/>
  <c r="AA96" i="1"/>
  <c r="AB96" i="1"/>
  <c r="AG96" i="1"/>
  <c r="BF96" i="1"/>
  <c r="AF96" i="1"/>
  <c r="AK96" i="1"/>
  <c r="AS96" i="1"/>
  <c r="AN96" i="1"/>
  <c r="AI96" i="1"/>
  <c r="BH96" i="1"/>
  <c r="BJ96" i="1"/>
  <c r="AU96" i="1"/>
  <c r="AQ96" i="1"/>
  <c r="W96" i="1"/>
  <c r="S96" i="1"/>
  <c r="AP96" i="1"/>
  <c r="CP90" i="1"/>
  <c r="BI96" i="1"/>
  <c r="BK96" i="1"/>
  <c r="CR93" i="1"/>
  <c r="BQ96" i="1"/>
  <c r="BU96" i="1"/>
  <c r="BR96" i="1"/>
  <c r="BT96" i="1"/>
  <c r="BO96" i="1"/>
  <c r="BM96" i="1"/>
  <c r="BP96" i="1"/>
  <c r="BS96" i="1"/>
  <c r="BN96" i="1"/>
  <c r="BE96" i="1"/>
  <c r="BG96" i="1"/>
  <c r="O96" i="1"/>
  <c r="CH96" i="1" l="1"/>
  <c r="CI96" i="1"/>
  <c r="CE96" i="1"/>
  <c r="CK96" i="1"/>
  <c r="BV96" i="1"/>
  <c r="CY88" i="1"/>
  <c r="CF96" i="1"/>
  <c r="CC96" i="1"/>
  <c r="BX96" i="1"/>
  <c r="BZ96" i="1"/>
  <c r="CN96" i="1"/>
  <c r="CY72" i="1"/>
  <c r="CR92" i="1"/>
  <c r="CY92" i="1" s="1"/>
  <c r="CL96" i="1"/>
  <c r="CA96" i="1"/>
  <c r="CG96" i="1"/>
  <c r="BY96" i="1"/>
  <c r="CO96" i="1"/>
  <c r="CJ96" i="1"/>
  <c r="CB96" i="1"/>
  <c r="CY79" i="1"/>
  <c r="Z96" i="1"/>
  <c r="AJ96" i="1"/>
  <c r="CP96" i="1"/>
  <c r="CY93" i="1"/>
  <c r="CY30" i="1"/>
  <c r="CY90" i="1"/>
  <c r="CY55" i="1"/>
  <c r="AE96" i="1"/>
  <c r="M96" i="1"/>
  <c r="CY46" i="1"/>
  <c r="L96" i="1"/>
  <c r="Q96" i="1"/>
  <c r="V96" i="1"/>
  <c r="AO96" i="1"/>
  <c r="AZ96" i="1"/>
  <c r="CR96" i="1"/>
  <c r="N96" i="1"/>
  <c r="CY96" i="1" l="1"/>
  <c r="CV2" i="1" a="1"/>
  <c r="B43" i="3" s="1"/>
  <c r="AW43" i="3" s="1"/>
  <c r="B94" i="3"/>
  <c r="B56" i="3" l="1"/>
  <c r="BJ56" i="3" s="1"/>
  <c r="B62" i="3"/>
  <c r="B45" i="3"/>
  <c r="AY45" i="3" s="1"/>
  <c r="B35" i="3"/>
  <c r="AO35" i="3" s="1"/>
  <c r="B64" i="3"/>
  <c r="B50" i="3"/>
  <c r="BD50" i="3" s="1"/>
  <c r="B55" i="3"/>
  <c r="BI55" i="3" s="1"/>
  <c r="B53" i="3"/>
  <c r="BG53" i="3" s="1"/>
  <c r="B27" i="3"/>
  <c r="AG27" i="3" s="1"/>
  <c r="B39" i="3"/>
  <c r="AS39" i="3" s="1"/>
  <c r="B30" i="3"/>
  <c r="AJ30" i="3" s="1"/>
  <c r="B29" i="3"/>
  <c r="AI29" i="3" s="1"/>
  <c r="B23" i="3"/>
  <c r="AC23" i="3" s="1"/>
  <c r="B31" i="3"/>
  <c r="AK31" i="3" s="1"/>
  <c r="B20" i="3"/>
  <c r="Z20" i="3" s="1"/>
  <c r="B82" i="3"/>
  <c r="B22" i="3"/>
  <c r="AB22" i="3" s="1"/>
  <c r="B9" i="3"/>
  <c r="O9" i="3" s="1"/>
  <c r="B74" i="3"/>
  <c r="B3" i="3"/>
  <c r="I3" i="3" s="1"/>
  <c r="B10" i="3"/>
  <c r="P10" i="3" s="1"/>
  <c r="B93" i="3"/>
  <c r="B92" i="3"/>
  <c r="B15" i="3"/>
  <c r="U15" i="3" s="1"/>
  <c r="B78" i="3"/>
  <c r="B84" i="3"/>
  <c r="B83" i="3"/>
  <c r="B5" i="3"/>
  <c r="K5" i="3" s="1"/>
  <c r="B18" i="3"/>
  <c r="X18" i="3" s="1"/>
  <c r="B58" i="3"/>
  <c r="BL58" i="3" s="1"/>
  <c r="B68" i="3"/>
  <c r="B47" i="3"/>
  <c r="BA47" i="3" s="1"/>
  <c r="B37" i="3"/>
  <c r="AQ37" i="3" s="1"/>
  <c r="B57" i="3"/>
  <c r="BK57" i="3" s="1"/>
  <c r="B41" i="3"/>
  <c r="AU41" i="3" s="1"/>
  <c r="B44" i="3"/>
  <c r="AX44" i="3" s="1"/>
  <c r="B16" i="3"/>
  <c r="V16" i="3" s="1"/>
  <c r="B33" i="3"/>
  <c r="AM33" i="3" s="1"/>
  <c r="B21" i="3"/>
  <c r="AA21" i="3" s="1"/>
  <c r="B17" i="3"/>
  <c r="W17" i="3" s="1"/>
  <c r="B11" i="3"/>
  <c r="Q11" i="3" s="1"/>
  <c r="B4" i="3"/>
  <c r="J4" i="3" s="1"/>
  <c r="B8" i="3"/>
  <c r="N8" i="3" s="1"/>
  <c r="B7" i="3"/>
  <c r="M7" i="3" s="1"/>
  <c r="B12" i="3"/>
  <c r="R12" i="3" s="1"/>
  <c r="B86" i="3"/>
  <c r="B91" i="3"/>
  <c r="B87" i="3"/>
  <c r="B73" i="3"/>
  <c r="B85" i="3"/>
  <c r="B71" i="3"/>
  <c r="B65" i="3"/>
  <c r="B70" i="3"/>
  <c r="B54" i="3"/>
  <c r="BH54" i="3" s="1"/>
  <c r="B76" i="3"/>
  <c r="B75" i="3"/>
  <c r="B88" i="3"/>
  <c r="B14" i="3"/>
  <c r="T14" i="3" s="1"/>
  <c r="E43" i="3"/>
  <c r="F45" i="9"/>
  <c r="AG45" i="9" s="1"/>
  <c r="B24" i="3"/>
  <c r="AD24" i="3" s="1"/>
  <c r="B79" i="3"/>
  <c r="B77" i="3"/>
  <c r="B67" i="3"/>
  <c r="B51" i="3"/>
  <c r="BE51" i="3" s="1"/>
  <c r="B49" i="3"/>
  <c r="BC49" i="3" s="1"/>
  <c r="B89" i="3"/>
  <c r="B25" i="3"/>
  <c r="AE25" i="3" s="1"/>
  <c r="B46" i="3"/>
  <c r="AZ46" i="3" s="1"/>
  <c r="B69" i="3"/>
  <c r="B60" i="3"/>
  <c r="B36" i="3"/>
  <c r="AP36" i="3" s="1"/>
  <c r="B52" i="3"/>
  <c r="BF52" i="3" s="1"/>
  <c r="B34" i="3"/>
  <c r="AN34" i="3" s="1"/>
  <c r="B40" i="3"/>
  <c r="AT40" i="3" s="1"/>
  <c r="B63" i="3"/>
  <c r="B81" i="3"/>
  <c r="B13" i="3"/>
  <c r="S13" i="3" s="1"/>
  <c r="B38" i="3"/>
  <c r="AR38" i="3" s="1"/>
  <c r="B61" i="3"/>
  <c r="B6" i="3"/>
  <c r="L6" i="3" s="1"/>
  <c r="B28" i="3"/>
  <c r="AH28" i="3" s="1"/>
  <c r="B42" i="3"/>
  <c r="AV42" i="3" s="1"/>
  <c r="B26" i="3"/>
  <c r="AF26" i="3" s="1"/>
  <c r="B32" i="3"/>
  <c r="AL32" i="3" s="1"/>
  <c r="B19" i="3"/>
  <c r="Y19" i="3" s="1"/>
  <c r="B90" i="3"/>
  <c r="B66" i="3"/>
  <c r="B80" i="3"/>
  <c r="B48" i="3"/>
  <c r="BB48" i="3" s="1"/>
  <c r="B59" i="3"/>
  <c r="BM59" i="3" s="1"/>
  <c r="B72" i="3"/>
  <c r="CV2" i="1"/>
  <c r="B2" i="3" s="1"/>
  <c r="H2" i="3" s="1"/>
  <c r="AW96" i="3"/>
  <c r="O43" i="3" l="1"/>
  <c r="M43" i="3"/>
  <c r="Z43" i="3"/>
  <c r="V43" i="3"/>
  <c r="Q43" i="3"/>
  <c r="AE43" i="3"/>
  <c r="F17" i="9"/>
  <c r="AG17" i="9" s="1"/>
  <c r="F60" i="9"/>
  <c r="AG60" i="9" s="1"/>
  <c r="F49" i="9"/>
  <c r="AG49" i="9" s="1"/>
  <c r="F57" i="9"/>
  <c r="AG57" i="9" s="1"/>
  <c r="F4" i="9"/>
  <c r="AG4" i="9" s="1"/>
  <c r="F26" i="9"/>
  <c r="AG26" i="9" s="1"/>
  <c r="AD96" i="3"/>
  <c r="F14" i="9"/>
  <c r="AG14" i="9" s="1"/>
  <c r="F18" i="9"/>
  <c r="AG18" i="9" s="1"/>
  <c r="F12" i="9"/>
  <c r="AG12" i="9" s="1"/>
  <c r="F25" i="9"/>
  <c r="AG25" i="9" s="1"/>
  <c r="AC96" i="3"/>
  <c r="F5" i="9"/>
  <c r="AG5" i="9" s="1"/>
  <c r="I96" i="3"/>
  <c r="F10" i="9"/>
  <c r="AG10" i="9" s="1"/>
  <c r="F43" i="9"/>
  <c r="AG43" i="9" s="1"/>
  <c r="F32" i="9"/>
  <c r="AG32" i="9" s="1"/>
  <c r="F47" i="9"/>
  <c r="AG47" i="9" s="1"/>
  <c r="Y96" i="3"/>
  <c r="F15" i="9"/>
  <c r="AG15" i="9" s="1"/>
  <c r="S96" i="3"/>
  <c r="F56" i="9"/>
  <c r="AG56" i="9" s="1"/>
  <c r="BH96" i="3"/>
  <c r="F35" i="9"/>
  <c r="AG35" i="9" s="1"/>
  <c r="AM96" i="3"/>
  <c r="F52" i="9"/>
  <c r="AG52" i="9" s="1"/>
  <c r="BD96" i="3"/>
  <c r="F34" i="9"/>
  <c r="AG34" i="9" s="1"/>
  <c r="AL96" i="3"/>
  <c r="F48" i="9"/>
  <c r="AG48" i="9" s="1"/>
  <c r="AZ96" i="3"/>
  <c r="F20" i="9"/>
  <c r="AG20" i="9" s="1"/>
  <c r="X96" i="3"/>
  <c r="F31" i="9"/>
  <c r="AG31" i="9" s="1"/>
  <c r="AI96" i="3"/>
  <c r="T96" i="3"/>
  <c r="F6" i="9"/>
  <c r="AG6" i="9" s="1"/>
  <c r="J96" i="3"/>
  <c r="F59" i="9"/>
  <c r="AG59" i="9" s="1"/>
  <c r="F11" i="9"/>
  <c r="AG11" i="9" s="1"/>
  <c r="F41" i="9"/>
  <c r="AG41" i="9" s="1"/>
  <c r="AS96" i="3"/>
  <c r="F38" i="9"/>
  <c r="AG38" i="9" s="1"/>
  <c r="F19" i="9"/>
  <c r="AG19" i="9" s="1"/>
  <c r="W96" i="3"/>
  <c r="F55" i="9"/>
  <c r="AG55" i="9" s="1"/>
  <c r="F33" i="9"/>
  <c r="AG33" i="9" s="1"/>
  <c r="F7" i="9"/>
  <c r="AG7" i="9" s="1"/>
  <c r="K96" i="3"/>
  <c r="F37" i="9"/>
  <c r="AG37" i="9" s="1"/>
  <c r="F44" i="9"/>
  <c r="AG44" i="9" s="1"/>
  <c r="AV96" i="3"/>
  <c r="F36" i="9"/>
  <c r="AG36" i="9" s="1"/>
  <c r="AN96" i="3"/>
  <c r="F13" i="9"/>
  <c r="AG13" i="9" s="1"/>
  <c r="F39" i="9"/>
  <c r="AG39" i="9" s="1"/>
  <c r="AQ96" i="3"/>
  <c r="F24" i="9"/>
  <c r="AG24" i="9" s="1"/>
  <c r="AB96" i="3"/>
  <c r="F29" i="9"/>
  <c r="AG29" i="9" s="1"/>
  <c r="AG96" i="3"/>
  <c r="F58" i="9"/>
  <c r="AG58" i="9" s="1"/>
  <c r="E56" i="3"/>
  <c r="E27" i="3"/>
  <c r="E39" i="3"/>
  <c r="E45" i="3"/>
  <c r="E42" i="3"/>
  <c r="E30" i="3"/>
  <c r="E57" i="3"/>
  <c r="E9" i="3"/>
  <c r="E10" i="3"/>
  <c r="P96" i="3"/>
  <c r="E22" i="3"/>
  <c r="E23" i="3"/>
  <c r="E11" i="3"/>
  <c r="E15" i="3"/>
  <c r="U96" i="3"/>
  <c r="E47" i="3"/>
  <c r="E13" i="3"/>
  <c r="E35" i="3"/>
  <c r="E53" i="3"/>
  <c r="E50" i="3"/>
  <c r="E29" i="3"/>
  <c r="E18" i="3"/>
  <c r="E16" i="3"/>
  <c r="E5" i="3"/>
  <c r="E3" i="3"/>
  <c r="E41" i="3"/>
  <c r="E58" i="3"/>
  <c r="E46" i="3"/>
  <c r="E24" i="3"/>
  <c r="E54" i="3"/>
  <c r="E37" i="3"/>
  <c r="E4" i="3"/>
  <c r="E8" i="3"/>
  <c r="E12" i="3"/>
  <c r="E33" i="3"/>
  <c r="F40" i="9"/>
  <c r="AG40" i="9" s="1"/>
  <c r="E38" i="3"/>
  <c r="AR96" i="3"/>
  <c r="E76" i="3"/>
  <c r="F78" i="9"/>
  <c r="E92" i="3"/>
  <c r="F94" i="9"/>
  <c r="E66" i="3"/>
  <c r="F68" i="9"/>
  <c r="AG68" i="9" s="1"/>
  <c r="E61" i="3"/>
  <c r="F63" i="9"/>
  <c r="AG63" i="9" s="1"/>
  <c r="E77" i="3"/>
  <c r="F79" i="9"/>
  <c r="F23" i="9"/>
  <c r="AG23" i="9" s="1"/>
  <c r="E21" i="3"/>
  <c r="E68" i="3"/>
  <c r="F70" i="9"/>
  <c r="AG70" i="9" s="1"/>
  <c r="E26" i="3"/>
  <c r="F28" i="9"/>
  <c r="AG28" i="9" s="1"/>
  <c r="E25" i="3"/>
  <c r="F27" i="9"/>
  <c r="AG27" i="9" s="1"/>
  <c r="E65" i="3"/>
  <c r="F67" i="9"/>
  <c r="AG67" i="9" s="1"/>
  <c r="F46" i="9"/>
  <c r="AG46" i="9" s="1"/>
  <c r="E44" i="3"/>
  <c r="AX96" i="3"/>
  <c r="E59" i="3"/>
  <c r="F61" i="9"/>
  <c r="AG61" i="9" s="1"/>
  <c r="F42" i="9"/>
  <c r="AG42" i="9" s="1"/>
  <c r="E40" i="3"/>
  <c r="E89" i="3"/>
  <c r="F91" i="9"/>
  <c r="E71" i="3"/>
  <c r="F73" i="9"/>
  <c r="E83" i="3"/>
  <c r="F85" i="9"/>
  <c r="E74" i="3"/>
  <c r="F76" i="9"/>
  <c r="E90" i="3"/>
  <c r="F92" i="9"/>
  <c r="E91" i="3"/>
  <c r="F93" i="9"/>
  <c r="F22" i="9"/>
  <c r="AG22" i="9" s="1"/>
  <c r="E20" i="3"/>
  <c r="E72" i="3"/>
  <c r="F74" i="9"/>
  <c r="E63" i="3"/>
  <c r="F65" i="9"/>
  <c r="AG65" i="9" s="1"/>
  <c r="F9" i="9"/>
  <c r="AG9" i="9" s="1"/>
  <c r="E7" i="3"/>
  <c r="E60" i="3"/>
  <c r="F62" i="9"/>
  <c r="AG62" i="9" s="1"/>
  <c r="E67" i="3"/>
  <c r="F69" i="9"/>
  <c r="AG69" i="9" s="1"/>
  <c r="E75" i="3"/>
  <c r="F77" i="9"/>
  <c r="E87" i="3"/>
  <c r="F89" i="9"/>
  <c r="E82" i="3"/>
  <c r="F84" i="9"/>
  <c r="E19" i="3"/>
  <c r="F21" i="9"/>
  <c r="AG21" i="9" s="1"/>
  <c r="E69" i="3"/>
  <c r="F71" i="9"/>
  <c r="AG71" i="9" s="1"/>
  <c r="E79" i="3"/>
  <c r="F81" i="9"/>
  <c r="E86" i="3"/>
  <c r="F88" i="9"/>
  <c r="E93" i="3"/>
  <c r="F95" i="9"/>
  <c r="E36" i="3"/>
  <c r="E81" i="3"/>
  <c r="F83" i="9"/>
  <c r="E70" i="3"/>
  <c r="F72" i="9"/>
  <c r="E64" i="3"/>
  <c r="F66" i="9"/>
  <c r="AG66" i="9" s="1"/>
  <c r="E85" i="3"/>
  <c r="F87" i="9"/>
  <c r="E84" i="3"/>
  <c r="F86" i="9"/>
  <c r="E62" i="3"/>
  <c r="F64" i="9"/>
  <c r="AG64" i="9" s="1"/>
  <c r="E48" i="3"/>
  <c r="F50" i="9"/>
  <c r="AG50" i="9" s="1"/>
  <c r="E28" i="3"/>
  <c r="F30" i="9"/>
  <c r="AG30" i="9" s="1"/>
  <c r="E49" i="3"/>
  <c r="F51" i="9"/>
  <c r="AG51" i="9" s="1"/>
  <c r="E14" i="3"/>
  <c r="F16" i="9"/>
  <c r="AG16" i="9" s="1"/>
  <c r="E17" i="3"/>
  <c r="E32" i="3"/>
  <c r="E55" i="3"/>
  <c r="E34" i="3"/>
  <c r="E31" i="3"/>
  <c r="E80" i="3"/>
  <c r="F82" i="9"/>
  <c r="E6" i="3"/>
  <c r="F8" i="9"/>
  <c r="AG8" i="9" s="1"/>
  <c r="E52" i="3"/>
  <c r="F54" i="9"/>
  <c r="AG54" i="9" s="1"/>
  <c r="E51" i="3"/>
  <c r="F53" i="9"/>
  <c r="AG53" i="9" s="1"/>
  <c r="E88" i="3"/>
  <c r="F90" i="9"/>
  <c r="E73" i="3"/>
  <c r="F75" i="9"/>
  <c r="E78" i="3"/>
  <c r="F80" i="9"/>
  <c r="AH96" i="3"/>
  <c r="BF96" i="3"/>
  <c r="E2" i="3"/>
  <c r="BB96" i="3"/>
  <c r="V51" i="3" l="1"/>
  <c r="N51" i="3"/>
  <c r="L51" i="3"/>
  <c r="AO51" i="3"/>
  <c r="AE51" i="3"/>
  <c r="AJ51" i="3"/>
  <c r="Z51" i="3"/>
  <c r="Q51" i="3"/>
  <c r="V36" i="3"/>
  <c r="Z36" i="3"/>
  <c r="O36" i="3"/>
  <c r="Q36" i="3"/>
  <c r="L36" i="3"/>
  <c r="BT75" i="3"/>
  <c r="BK75" i="3"/>
  <c r="AE75" i="3"/>
  <c r="BS75" i="3"/>
  <c r="BI75" i="3"/>
  <c r="Z75" i="3"/>
  <c r="BQ75" i="3"/>
  <c r="BE75" i="3"/>
  <c r="Q75" i="3"/>
  <c r="BM75" i="3"/>
  <c r="L75" i="3"/>
  <c r="BG75" i="3"/>
  <c r="BP75" i="3"/>
  <c r="N75" i="3"/>
  <c r="BO75" i="3"/>
  <c r="BN75" i="3"/>
  <c r="AY75" i="3"/>
  <c r="AO75" i="3"/>
  <c r="BU75" i="3"/>
  <c r="BV75" i="3" s="1"/>
  <c r="BW75" i="3" s="1"/>
  <c r="BX75" i="3" s="1"/>
  <c r="BY75" i="3" s="1"/>
  <c r="BZ75" i="3" s="1"/>
  <c r="BR75" i="3"/>
  <c r="AT75" i="3"/>
  <c r="AJ75" i="3"/>
  <c r="V75" i="3"/>
  <c r="BS90" i="3"/>
  <c r="BI90" i="3"/>
  <c r="Z90" i="3"/>
  <c r="BR90" i="3"/>
  <c r="BG90" i="3"/>
  <c r="V90" i="3"/>
  <c r="BP90" i="3"/>
  <c r="AY90" i="3"/>
  <c r="N90" i="3"/>
  <c r="BQ90" i="3"/>
  <c r="AJ90" i="3"/>
  <c r="BO90" i="3"/>
  <c r="AE90" i="3"/>
  <c r="AO90" i="3"/>
  <c r="BU90" i="3"/>
  <c r="BV90" i="3" s="1"/>
  <c r="BW90" i="3" s="1"/>
  <c r="BX90" i="3" s="1"/>
  <c r="BY90" i="3" s="1"/>
  <c r="BZ90" i="3" s="1"/>
  <c r="CA90" i="3" s="1"/>
  <c r="CB90" i="3" s="1"/>
  <c r="CC90" i="3" s="1"/>
  <c r="CD90" i="3" s="1"/>
  <c r="CE90" i="3" s="1"/>
  <c r="CF90" i="3" s="1"/>
  <c r="CG90" i="3" s="1"/>
  <c r="CH90" i="3" s="1"/>
  <c r="CI90" i="3" s="1"/>
  <c r="CJ90" i="3" s="1"/>
  <c r="CK90" i="3" s="1"/>
  <c r="CL90" i="3" s="1"/>
  <c r="CM90" i="3" s="1"/>
  <c r="CN90" i="3" s="1"/>
  <c r="CO90" i="3" s="1"/>
  <c r="Q90" i="3"/>
  <c r="BT90" i="3"/>
  <c r="L90" i="3"/>
  <c r="BN90" i="3"/>
  <c r="BK90" i="3"/>
  <c r="BE90" i="3"/>
  <c r="BM90" i="3"/>
  <c r="AT90" i="3"/>
  <c r="Q52" i="3"/>
  <c r="O52" i="3"/>
  <c r="L52" i="3"/>
  <c r="AT52" i="3"/>
  <c r="AO52" i="3"/>
  <c r="AE52" i="3"/>
  <c r="AJ52" i="3"/>
  <c r="Z52" i="3"/>
  <c r="V52" i="3"/>
  <c r="BR88" i="3"/>
  <c r="BG88" i="3"/>
  <c r="V88" i="3"/>
  <c r="BQ88" i="3"/>
  <c r="BE88" i="3"/>
  <c r="Q88" i="3"/>
  <c r="BO88" i="3"/>
  <c r="AT88" i="3"/>
  <c r="L88" i="3"/>
  <c r="BM88" i="3"/>
  <c r="N88" i="3"/>
  <c r="BK88" i="3"/>
  <c r="BS88" i="3"/>
  <c r="Z88" i="3"/>
  <c r="BP88" i="3"/>
  <c r="BN88" i="3"/>
  <c r="BI88" i="3"/>
  <c r="AO88" i="3"/>
  <c r="BU88" i="3"/>
  <c r="BV88" i="3" s="1"/>
  <c r="BW88" i="3" s="1"/>
  <c r="BX88" i="3" s="1"/>
  <c r="BY88" i="3" s="1"/>
  <c r="BZ88" i="3" s="1"/>
  <c r="CA88" i="3" s="1"/>
  <c r="CB88" i="3" s="1"/>
  <c r="CC88" i="3" s="1"/>
  <c r="CD88" i="3" s="1"/>
  <c r="CE88" i="3" s="1"/>
  <c r="CF88" i="3" s="1"/>
  <c r="CG88" i="3" s="1"/>
  <c r="CH88" i="3" s="1"/>
  <c r="CI88" i="3" s="1"/>
  <c r="CJ88" i="3" s="1"/>
  <c r="CK88" i="3" s="1"/>
  <c r="CL88" i="3" s="1"/>
  <c r="CM88" i="3" s="1"/>
  <c r="AJ88" i="3"/>
  <c r="AY88" i="3"/>
  <c r="BT88" i="3"/>
  <c r="AE88" i="3"/>
  <c r="BO80" i="3"/>
  <c r="AT80" i="3"/>
  <c r="L80" i="3"/>
  <c r="BN80" i="3"/>
  <c r="AO80" i="3"/>
  <c r="BT80" i="3"/>
  <c r="BK80" i="3"/>
  <c r="AE80" i="3"/>
  <c r="BG80" i="3"/>
  <c r="BU80" i="3"/>
  <c r="BV80" i="3" s="1"/>
  <c r="BW80" i="3" s="1"/>
  <c r="BX80" i="3" s="1"/>
  <c r="BY80" i="3" s="1"/>
  <c r="BZ80" i="3" s="1"/>
  <c r="CA80" i="3" s="1"/>
  <c r="CB80" i="3" s="1"/>
  <c r="CC80" i="3" s="1"/>
  <c r="CD80" i="3" s="1"/>
  <c r="CE80" i="3" s="1"/>
  <c r="BE80" i="3"/>
  <c r="BR80" i="3"/>
  <c r="V80" i="3"/>
  <c r="BQ80" i="3"/>
  <c r="Q80" i="3"/>
  <c r="BP80" i="3"/>
  <c r="N80" i="3"/>
  <c r="BM80" i="3"/>
  <c r="AY80" i="3"/>
  <c r="AJ80" i="3"/>
  <c r="BS80" i="3"/>
  <c r="BI80" i="3"/>
  <c r="Z80" i="3"/>
  <c r="BO79" i="3"/>
  <c r="AT79" i="3"/>
  <c r="L79" i="3"/>
  <c r="BN79" i="3"/>
  <c r="AO79" i="3"/>
  <c r="BT79" i="3"/>
  <c r="BK79" i="3"/>
  <c r="AE79" i="3"/>
  <c r="BU79" i="3"/>
  <c r="BV79" i="3" s="1"/>
  <c r="BW79" i="3" s="1"/>
  <c r="BX79" i="3" s="1"/>
  <c r="BY79" i="3" s="1"/>
  <c r="BZ79" i="3" s="1"/>
  <c r="CA79" i="3" s="1"/>
  <c r="CB79" i="3" s="1"/>
  <c r="CC79" i="3" s="1"/>
  <c r="CD79" i="3" s="1"/>
  <c r="BE79" i="3"/>
  <c r="BS79" i="3"/>
  <c r="AY79" i="3"/>
  <c r="BG79" i="3"/>
  <c r="AJ79" i="3"/>
  <c r="Z79" i="3"/>
  <c r="BR79" i="3"/>
  <c r="V79" i="3"/>
  <c r="BP79" i="3"/>
  <c r="N79" i="3"/>
  <c r="BM79" i="3"/>
  <c r="BQ79" i="3"/>
  <c r="BI79" i="3"/>
  <c r="Q79" i="3"/>
  <c r="BR87" i="3"/>
  <c r="BG87" i="3"/>
  <c r="V87" i="3"/>
  <c r="BQ87" i="3"/>
  <c r="BE87" i="3"/>
  <c r="Q87" i="3"/>
  <c r="BO87" i="3"/>
  <c r="AT87" i="3"/>
  <c r="L87" i="3"/>
  <c r="BK87" i="3"/>
  <c r="BI87" i="3"/>
  <c r="AO87" i="3"/>
  <c r="BU87" i="3"/>
  <c r="BV87" i="3" s="1"/>
  <c r="BW87" i="3" s="1"/>
  <c r="BX87" i="3" s="1"/>
  <c r="BY87" i="3" s="1"/>
  <c r="BZ87" i="3" s="1"/>
  <c r="CA87" i="3" s="1"/>
  <c r="CB87" i="3" s="1"/>
  <c r="CC87" i="3" s="1"/>
  <c r="CD87" i="3" s="1"/>
  <c r="CE87" i="3" s="1"/>
  <c r="CF87" i="3" s="1"/>
  <c r="CG87" i="3" s="1"/>
  <c r="CH87" i="3" s="1"/>
  <c r="CI87" i="3" s="1"/>
  <c r="CJ87" i="3" s="1"/>
  <c r="CK87" i="3" s="1"/>
  <c r="CL87" i="3" s="1"/>
  <c r="AJ87" i="3"/>
  <c r="BT87" i="3"/>
  <c r="AE87" i="3"/>
  <c r="BS87" i="3"/>
  <c r="Z87" i="3"/>
  <c r="BN87" i="3"/>
  <c r="BM87" i="3"/>
  <c r="N87" i="3"/>
  <c r="BP87" i="3"/>
  <c r="AY87" i="3"/>
  <c r="BS91" i="3"/>
  <c r="BI91" i="3"/>
  <c r="Z91" i="3"/>
  <c r="BR91" i="3"/>
  <c r="BG91" i="3"/>
  <c r="V91" i="3"/>
  <c r="BP91" i="3"/>
  <c r="AY91" i="3"/>
  <c r="N91" i="3"/>
  <c r="BT91" i="3"/>
  <c r="AO91" i="3"/>
  <c r="BQ91" i="3"/>
  <c r="AJ91" i="3"/>
  <c r="BN91" i="3"/>
  <c r="BM91" i="3"/>
  <c r="BK91" i="3"/>
  <c r="BE91" i="3"/>
  <c r="AE91" i="3"/>
  <c r="BU91" i="3"/>
  <c r="BV91" i="3" s="1"/>
  <c r="BW91" i="3" s="1"/>
  <c r="BX91" i="3" s="1"/>
  <c r="BY91" i="3" s="1"/>
  <c r="BZ91" i="3" s="1"/>
  <c r="CA91" i="3" s="1"/>
  <c r="CB91" i="3" s="1"/>
  <c r="CC91" i="3" s="1"/>
  <c r="CD91" i="3" s="1"/>
  <c r="CE91" i="3" s="1"/>
  <c r="CF91" i="3" s="1"/>
  <c r="CG91" i="3" s="1"/>
  <c r="CH91" i="3" s="1"/>
  <c r="CI91" i="3" s="1"/>
  <c r="CJ91" i="3" s="1"/>
  <c r="CK91" i="3" s="1"/>
  <c r="CL91" i="3" s="1"/>
  <c r="CM91" i="3" s="1"/>
  <c r="CN91" i="3" s="1"/>
  <c r="CO91" i="3" s="1"/>
  <c r="Q91" i="3"/>
  <c r="BO91" i="3"/>
  <c r="AT91" i="3"/>
  <c r="L91" i="3"/>
  <c r="BS71" i="3"/>
  <c r="BI71" i="3"/>
  <c r="Z71" i="3"/>
  <c r="BR71" i="3"/>
  <c r="BE71" i="3"/>
  <c r="N71" i="3"/>
  <c r="BQ71" i="3"/>
  <c r="AY71" i="3"/>
  <c r="L71" i="3"/>
  <c r="BT71" i="3"/>
  <c r="AO71" i="3"/>
  <c r="BP71" i="3"/>
  <c r="AJ71" i="3"/>
  <c r="BN71" i="3"/>
  <c r="V71" i="3"/>
  <c r="BO71" i="3"/>
  <c r="AE71" i="3"/>
  <c r="BK71" i="3"/>
  <c r="BG71" i="3"/>
  <c r="AT71" i="3"/>
  <c r="Q71" i="3"/>
  <c r="BM71" i="3"/>
  <c r="BU71" i="3"/>
  <c r="BV71" i="3" s="1"/>
  <c r="Q44" i="3"/>
  <c r="O44" i="3"/>
  <c r="L44" i="3"/>
  <c r="AE44" i="3"/>
  <c r="AJ44" i="3"/>
  <c r="Z44" i="3"/>
  <c r="V44" i="3"/>
  <c r="Q46" i="3"/>
  <c r="N46" i="3"/>
  <c r="M46" i="3"/>
  <c r="AE46" i="3"/>
  <c r="AJ46" i="3"/>
  <c r="V46" i="3"/>
  <c r="Z46" i="3"/>
  <c r="Z50" i="3"/>
  <c r="N50" i="3"/>
  <c r="AO50" i="3"/>
  <c r="M50" i="3"/>
  <c r="AE50" i="3"/>
  <c r="Q50" i="3"/>
  <c r="AJ50" i="3"/>
  <c r="V50" i="3"/>
  <c r="Q45" i="3"/>
  <c r="N45" i="3"/>
  <c r="L45" i="3"/>
  <c r="AE45" i="3"/>
  <c r="Z45" i="3"/>
  <c r="V45" i="3"/>
  <c r="AJ45" i="3"/>
  <c r="L31" i="3"/>
  <c r="V31" i="3"/>
  <c r="Q31" i="3"/>
  <c r="O31" i="3"/>
  <c r="AE49" i="3"/>
  <c r="O49" i="3"/>
  <c r="AO49" i="3"/>
  <c r="L49" i="3"/>
  <c r="Z49" i="3"/>
  <c r="AJ49" i="3"/>
  <c r="V49" i="3"/>
  <c r="Q49" i="3"/>
  <c r="BR84" i="3"/>
  <c r="BG84" i="3"/>
  <c r="V84" i="3"/>
  <c r="BQ84" i="3"/>
  <c r="BE84" i="3"/>
  <c r="Q84" i="3"/>
  <c r="BO84" i="3"/>
  <c r="AT84" i="3"/>
  <c r="L84" i="3"/>
  <c r="BT84" i="3"/>
  <c r="AO84" i="3"/>
  <c r="BS84" i="3"/>
  <c r="AJ84" i="3"/>
  <c r="BK84" i="3"/>
  <c r="BI84" i="3"/>
  <c r="AY84" i="3"/>
  <c r="AE84" i="3"/>
  <c r="BP84" i="3"/>
  <c r="N84" i="3"/>
  <c r="BN84" i="3"/>
  <c r="Z84" i="3"/>
  <c r="BU84" i="3"/>
  <c r="BV84" i="3" s="1"/>
  <c r="BW84" i="3" s="1"/>
  <c r="BX84" i="3" s="1"/>
  <c r="BY84" i="3" s="1"/>
  <c r="BZ84" i="3" s="1"/>
  <c r="CA84" i="3" s="1"/>
  <c r="CB84" i="3" s="1"/>
  <c r="CC84" i="3" s="1"/>
  <c r="CD84" i="3" s="1"/>
  <c r="CE84" i="3" s="1"/>
  <c r="CF84" i="3" s="1"/>
  <c r="CG84" i="3" s="1"/>
  <c r="CH84" i="3" s="1"/>
  <c r="CI84" i="3" s="1"/>
  <c r="BM84" i="3"/>
  <c r="BO81" i="3"/>
  <c r="AT81" i="3"/>
  <c r="L81" i="3"/>
  <c r="BN81" i="3"/>
  <c r="AO81" i="3"/>
  <c r="BT81" i="3"/>
  <c r="BK81" i="3"/>
  <c r="AE81" i="3"/>
  <c r="BI81" i="3"/>
  <c r="N81" i="3"/>
  <c r="BG81" i="3"/>
  <c r="BM81" i="3"/>
  <c r="BE81" i="3"/>
  <c r="AY81" i="3"/>
  <c r="BU81" i="3"/>
  <c r="BV81" i="3" s="1"/>
  <c r="BW81" i="3" s="1"/>
  <c r="BX81" i="3" s="1"/>
  <c r="BY81" i="3" s="1"/>
  <c r="BZ81" i="3" s="1"/>
  <c r="CA81" i="3" s="1"/>
  <c r="CB81" i="3" s="1"/>
  <c r="CC81" i="3" s="1"/>
  <c r="CD81" i="3" s="1"/>
  <c r="CE81" i="3" s="1"/>
  <c r="CF81" i="3" s="1"/>
  <c r="AJ81" i="3"/>
  <c r="BR81" i="3"/>
  <c r="V81" i="3"/>
  <c r="BQ81" i="3"/>
  <c r="Q81" i="3"/>
  <c r="Z81" i="3"/>
  <c r="BP81" i="3"/>
  <c r="BS81" i="3"/>
  <c r="BM68" i="3"/>
  <c r="AJ68" i="3"/>
  <c r="BI68" i="3"/>
  <c r="V68" i="3"/>
  <c r="BS68" i="3"/>
  <c r="BG68" i="3"/>
  <c r="Q68" i="3"/>
  <c r="BK68" i="3"/>
  <c r="L68" i="3"/>
  <c r="BE68" i="3"/>
  <c r="BR68" i="3"/>
  <c r="AT68" i="3"/>
  <c r="AY68" i="3"/>
  <c r="BP68" i="3"/>
  <c r="AE68" i="3"/>
  <c r="BN68" i="3"/>
  <c r="BO68" i="3"/>
  <c r="AO68" i="3"/>
  <c r="Z68" i="3"/>
  <c r="N68" i="3"/>
  <c r="BQ68" i="3"/>
  <c r="BQ66" i="3"/>
  <c r="BE66" i="3"/>
  <c r="Q66" i="3"/>
  <c r="BP66" i="3"/>
  <c r="AY66" i="3"/>
  <c r="N66" i="3"/>
  <c r="AO66" i="3"/>
  <c r="Z66" i="3"/>
  <c r="BO66" i="3"/>
  <c r="AJ66" i="3"/>
  <c r="BM66" i="3"/>
  <c r="BN66" i="3"/>
  <c r="AE66" i="3"/>
  <c r="BI66" i="3"/>
  <c r="L66" i="3"/>
  <c r="BK66" i="3"/>
  <c r="BG66" i="3"/>
  <c r="AT66" i="3"/>
  <c r="V66" i="3"/>
  <c r="AY58" i="3"/>
  <c r="O58" i="3"/>
  <c r="AT58" i="3"/>
  <c r="L58" i="3"/>
  <c r="BE58" i="3"/>
  <c r="AE58" i="3"/>
  <c r="AO58" i="3"/>
  <c r="AJ58" i="3"/>
  <c r="V58" i="3"/>
  <c r="Q58" i="3"/>
  <c r="BG58" i="3"/>
  <c r="Z58" i="3"/>
  <c r="N53" i="3"/>
  <c r="AT53" i="3"/>
  <c r="L53" i="3"/>
  <c r="Q53" i="3"/>
  <c r="AO53" i="3"/>
  <c r="AE53" i="3"/>
  <c r="Z53" i="3"/>
  <c r="AJ53" i="3"/>
  <c r="V53" i="3"/>
  <c r="BK63" i="3"/>
  <c r="AE63" i="3"/>
  <c r="BI63" i="3"/>
  <c r="Z63" i="3"/>
  <c r="AJ63" i="3"/>
  <c r="BN63" i="3"/>
  <c r="V63" i="3"/>
  <c r="BG63" i="3"/>
  <c r="N63" i="3"/>
  <c r="BM63" i="3"/>
  <c r="Q63" i="3"/>
  <c r="AY63" i="3"/>
  <c r="BE63" i="3"/>
  <c r="AT63" i="3"/>
  <c r="AO63" i="3"/>
  <c r="L63" i="3"/>
  <c r="Q27" i="3"/>
  <c r="N27" i="3"/>
  <c r="M27" i="3"/>
  <c r="O41" i="3"/>
  <c r="L41" i="3"/>
  <c r="Z41" i="3"/>
  <c r="AE41" i="3"/>
  <c r="Q41" i="3"/>
  <c r="V41" i="3"/>
  <c r="AY56" i="3"/>
  <c r="O56" i="3"/>
  <c r="AT56" i="3"/>
  <c r="L56" i="3"/>
  <c r="Q56" i="3"/>
  <c r="AO56" i="3"/>
  <c r="BE56" i="3"/>
  <c r="AE56" i="3"/>
  <c r="V56" i="3"/>
  <c r="AJ56" i="3"/>
  <c r="Z56" i="3"/>
  <c r="BI65" i="3"/>
  <c r="Z65" i="3"/>
  <c r="BG65" i="3"/>
  <c r="V65" i="3"/>
  <c r="BN65" i="3"/>
  <c r="AE65" i="3"/>
  <c r="BM65" i="3"/>
  <c r="Q65" i="3"/>
  <c r="BE65" i="3"/>
  <c r="L65" i="3"/>
  <c r="BK65" i="3"/>
  <c r="N65" i="3"/>
  <c r="AT65" i="3"/>
  <c r="AY65" i="3"/>
  <c r="AO65" i="3"/>
  <c r="AJ65" i="3"/>
  <c r="BP65" i="3"/>
  <c r="BO65" i="3"/>
  <c r="BK64" i="3"/>
  <c r="AE64" i="3"/>
  <c r="BI64" i="3"/>
  <c r="Z64" i="3"/>
  <c r="BE64" i="3"/>
  <c r="L64" i="3"/>
  <c r="AY64" i="3"/>
  <c r="AT64" i="3"/>
  <c r="AO64" i="3"/>
  <c r="BN64" i="3"/>
  <c r="V64" i="3"/>
  <c r="N64" i="3"/>
  <c r="BO64" i="3"/>
  <c r="Q64" i="3"/>
  <c r="BM64" i="3"/>
  <c r="AJ64" i="3"/>
  <c r="BG64" i="3"/>
  <c r="L25" i="3"/>
  <c r="Q25" i="3"/>
  <c r="N25" i="3"/>
  <c r="BU77" i="3"/>
  <c r="BV77" i="3" s="1"/>
  <c r="BW77" i="3" s="1"/>
  <c r="BX77" i="3" s="1"/>
  <c r="BY77" i="3" s="1"/>
  <c r="BZ77" i="3" s="1"/>
  <c r="CA77" i="3" s="1"/>
  <c r="CB77" i="3" s="1"/>
  <c r="BM77" i="3"/>
  <c r="AJ77" i="3"/>
  <c r="BT77" i="3"/>
  <c r="BK77" i="3"/>
  <c r="AE77" i="3"/>
  <c r="BR77" i="3"/>
  <c r="BG77" i="3"/>
  <c r="V77" i="3"/>
  <c r="BP77" i="3"/>
  <c r="Z77" i="3"/>
  <c r="BO77" i="3"/>
  <c r="Q77" i="3"/>
  <c r="AO77" i="3"/>
  <c r="BS77" i="3"/>
  <c r="N77" i="3"/>
  <c r="BQ77" i="3"/>
  <c r="L77" i="3"/>
  <c r="BN77" i="3"/>
  <c r="BE77" i="3"/>
  <c r="AY77" i="3"/>
  <c r="BI77" i="3"/>
  <c r="AT77" i="3"/>
  <c r="BT76" i="3"/>
  <c r="BK76" i="3"/>
  <c r="AE76" i="3"/>
  <c r="BS76" i="3"/>
  <c r="BI76" i="3"/>
  <c r="Z76" i="3"/>
  <c r="BQ76" i="3"/>
  <c r="BE76" i="3"/>
  <c r="Q76" i="3"/>
  <c r="BN76" i="3"/>
  <c r="N76" i="3"/>
  <c r="BM76" i="3"/>
  <c r="L76" i="3"/>
  <c r="AY76" i="3"/>
  <c r="BU76" i="3"/>
  <c r="BV76" i="3" s="1"/>
  <c r="BW76" i="3" s="1"/>
  <c r="BX76" i="3" s="1"/>
  <c r="BY76" i="3" s="1"/>
  <c r="BZ76" i="3" s="1"/>
  <c r="CA76" i="3" s="1"/>
  <c r="AT76" i="3"/>
  <c r="AJ76" i="3"/>
  <c r="AO76" i="3"/>
  <c r="BP76" i="3"/>
  <c r="BR76" i="3"/>
  <c r="BG76" i="3"/>
  <c r="V76" i="3"/>
  <c r="BO76" i="3"/>
  <c r="M37" i="3"/>
  <c r="V37" i="3"/>
  <c r="N37" i="3"/>
  <c r="Q37" i="3"/>
  <c r="Z37" i="3"/>
  <c r="AE57" i="3"/>
  <c r="Z57" i="3"/>
  <c r="BE57" i="3"/>
  <c r="L57" i="3"/>
  <c r="AY57" i="3"/>
  <c r="AT57" i="3"/>
  <c r="AO57" i="3"/>
  <c r="V57" i="3"/>
  <c r="AJ57" i="3"/>
  <c r="Q57" i="3"/>
  <c r="N57" i="3"/>
  <c r="Z35" i="3"/>
  <c r="N35" i="3"/>
  <c r="V35" i="3"/>
  <c r="Q35" i="3"/>
  <c r="L35" i="3"/>
  <c r="Z55" i="3"/>
  <c r="V55" i="3"/>
  <c r="N55" i="3"/>
  <c r="AT55" i="3"/>
  <c r="L55" i="3"/>
  <c r="AY55" i="3"/>
  <c r="AJ55" i="3"/>
  <c r="AE55" i="3"/>
  <c r="AO55" i="3"/>
  <c r="Q55" i="3"/>
  <c r="BR85" i="3"/>
  <c r="BG85" i="3"/>
  <c r="V85" i="3"/>
  <c r="BQ85" i="3"/>
  <c r="BE85" i="3"/>
  <c r="Q85" i="3"/>
  <c r="BO85" i="3"/>
  <c r="AT85" i="3"/>
  <c r="L85" i="3"/>
  <c r="BU85" i="3"/>
  <c r="BV85" i="3" s="1"/>
  <c r="BW85" i="3" s="1"/>
  <c r="BX85" i="3" s="1"/>
  <c r="BY85" i="3" s="1"/>
  <c r="BZ85" i="3" s="1"/>
  <c r="CA85" i="3" s="1"/>
  <c r="CB85" i="3" s="1"/>
  <c r="CC85" i="3" s="1"/>
  <c r="CD85" i="3" s="1"/>
  <c r="CE85" i="3" s="1"/>
  <c r="CF85" i="3" s="1"/>
  <c r="CG85" i="3" s="1"/>
  <c r="CH85" i="3" s="1"/>
  <c r="CI85" i="3" s="1"/>
  <c r="CJ85" i="3" s="1"/>
  <c r="AY85" i="3"/>
  <c r="BT85" i="3"/>
  <c r="AO85" i="3"/>
  <c r="AE85" i="3"/>
  <c r="BS85" i="3"/>
  <c r="Z85" i="3"/>
  <c r="BN85" i="3"/>
  <c r="BP85" i="3"/>
  <c r="N85" i="3"/>
  <c r="BK85" i="3"/>
  <c r="BI85" i="3"/>
  <c r="BM85" i="3"/>
  <c r="AJ85" i="3"/>
  <c r="L40" i="3"/>
  <c r="AE40" i="3"/>
  <c r="V40" i="3"/>
  <c r="Z40" i="3"/>
  <c r="Q40" i="3"/>
  <c r="N40" i="3"/>
  <c r="BT92" i="3"/>
  <c r="BK92" i="3"/>
  <c r="AE92" i="3"/>
  <c r="BS92" i="3"/>
  <c r="BI92" i="3"/>
  <c r="Z92" i="3"/>
  <c r="BQ92" i="3"/>
  <c r="BE92" i="3"/>
  <c r="Q92" i="3"/>
  <c r="AY92" i="3"/>
  <c r="BU92" i="3"/>
  <c r="BV92" i="3" s="1"/>
  <c r="BW92" i="3" s="1"/>
  <c r="BX92" i="3" s="1"/>
  <c r="BY92" i="3" s="1"/>
  <c r="BZ92" i="3" s="1"/>
  <c r="CA92" i="3" s="1"/>
  <c r="CB92" i="3" s="1"/>
  <c r="CC92" i="3" s="1"/>
  <c r="CD92" i="3" s="1"/>
  <c r="CE92" i="3" s="1"/>
  <c r="CF92" i="3" s="1"/>
  <c r="CG92" i="3" s="1"/>
  <c r="CH92" i="3" s="1"/>
  <c r="CI92" i="3" s="1"/>
  <c r="CJ92" i="3" s="1"/>
  <c r="CK92" i="3" s="1"/>
  <c r="CL92" i="3" s="1"/>
  <c r="CM92" i="3" s="1"/>
  <c r="CN92" i="3" s="1"/>
  <c r="CO92" i="3" s="1"/>
  <c r="CP92" i="3" s="1"/>
  <c r="AT92" i="3"/>
  <c r="BG92" i="3"/>
  <c r="AO92" i="3"/>
  <c r="AJ92" i="3"/>
  <c r="BR92" i="3"/>
  <c r="V92" i="3"/>
  <c r="BO92" i="3"/>
  <c r="L92" i="3"/>
  <c r="BN92" i="3"/>
  <c r="BP92" i="3"/>
  <c r="BM92" i="3"/>
  <c r="N92" i="3"/>
  <c r="BN78" i="3"/>
  <c r="AO78" i="3"/>
  <c r="BU78" i="3"/>
  <c r="BV78" i="3" s="1"/>
  <c r="BW78" i="3" s="1"/>
  <c r="BX78" i="3" s="1"/>
  <c r="BY78" i="3" s="1"/>
  <c r="BZ78" i="3" s="1"/>
  <c r="CA78" i="3" s="1"/>
  <c r="CB78" i="3" s="1"/>
  <c r="CC78" i="3" s="1"/>
  <c r="BM78" i="3"/>
  <c r="AJ78" i="3"/>
  <c r="BS78" i="3"/>
  <c r="BI78" i="3"/>
  <c r="Z78" i="3"/>
  <c r="BR78" i="3"/>
  <c r="AT78" i="3"/>
  <c r="BQ78" i="3"/>
  <c r="AE78" i="3"/>
  <c r="BO78" i="3"/>
  <c r="L78" i="3"/>
  <c r="BK78" i="3"/>
  <c r="BG78" i="3"/>
  <c r="BE78" i="3"/>
  <c r="V78" i="3"/>
  <c r="Q78" i="3"/>
  <c r="BT78" i="3"/>
  <c r="AY78" i="3"/>
  <c r="N78" i="3"/>
  <c r="BP78" i="3"/>
  <c r="V32" i="3"/>
  <c r="Q32" i="3"/>
  <c r="N32" i="3"/>
  <c r="M32" i="3"/>
  <c r="BT93" i="3"/>
  <c r="BK93" i="3"/>
  <c r="AE93" i="3"/>
  <c r="BS93" i="3"/>
  <c r="BI93" i="3"/>
  <c r="Z93" i="3"/>
  <c r="BQ93" i="3"/>
  <c r="BE93" i="3"/>
  <c r="Q93" i="3"/>
  <c r="BG93" i="3"/>
  <c r="AY93" i="3"/>
  <c r="BU93" i="3"/>
  <c r="BV93" i="3" s="1"/>
  <c r="BW93" i="3" s="1"/>
  <c r="BX93" i="3" s="1"/>
  <c r="BY93" i="3" s="1"/>
  <c r="BZ93" i="3" s="1"/>
  <c r="CA93" i="3" s="1"/>
  <c r="CB93" i="3" s="1"/>
  <c r="CC93" i="3" s="1"/>
  <c r="CD93" i="3" s="1"/>
  <c r="CE93" i="3" s="1"/>
  <c r="CF93" i="3" s="1"/>
  <c r="CG93" i="3" s="1"/>
  <c r="CH93" i="3" s="1"/>
  <c r="CI93" i="3" s="1"/>
  <c r="CJ93" i="3" s="1"/>
  <c r="CK93" i="3" s="1"/>
  <c r="CL93" i="3" s="1"/>
  <c r="CM93" i="3" s="1"/>
  <c r="CN93" i="3" s="1"/>
  <c r="CO93" i="3" s="1"/>
  <c r="CP93" i="3" s="1"/>
  <c r="BR93" i="3"/>
  <c r="V93" i="3"/>
  <c r="BP93" i="3"/>
  <c r="N93" i="3"/>
  <c r="BO93" i="3"/>
  <c r="L93" i="3"/>
  <c r="BN93" i="3"/>
  <c r="AT93" i="3"/>
  <c r="AO93" i="3"/>
  <c r="AJ93" i="3"/>
  <c r="BM93" i="3"/>
  <c r="BN67" i="3"/>
  <c r="AO67" i="3"/>
  <c r="BM67" i="3"/>
  <c r="AJ67" i="3"/>
  <c r="BE67" i="3"/>
  <c r="L67" i="3"/>
  <c r="BR67" i="3"/>
  <c r="AY67" i="3"/>
  <c r="AE67" i="3"/>
  <c r="BQ67" i="3"/>
  <c r="AT67" i="3"/>
  <c r="BP67" i="3"/>
  <c r="BK67" i="3"/>
  <c r="V67" i="3"/>
  <c r="Q67" i="3"/>
  <c r="N67" i="3"/>
  <c r="BO67" i="3"/>
  <c r="Z67" i="3"/>
  <c r="BI67" i="3"/>
  <c r="BG67" i="3"/>
  <c r="BS72" i="3"/>
  <c r="BI72" i="3"/>
  <c r="Z72" i="3"/>
  <c r="BM72" i="3"/>
  <c r="AE72" i="3"/>
  <c r="BU72" i="3"/>
  <c r="BV72" i="3" s="1"/>
  <c r="BW72" i="3" s="1"/>
  <c r="BK72" i="3"/>
  <c r="V72" i="3"/>
  <c r="BR72" i="3"/>
  <c r="AT72" i="3"/>
  <c r="BQ72" i="3"/>
  <c r="AO72" i="3"/>
  <c r="Q72" i="3"/>
  <c r="BP72" i="3"/>
  <c r="AJ72" i="3"/>
  <c r="BO72" i="3"/>
  <c r="BG72" i="3"/>
  <c r="L72" i="3"/>
  <c r="BT72" i="3"/>
  <c r="BN72" i="3"/>
  <c r="BE72" i="3"/>
  <c r="N72" i="3"/>
  <c r="AY72" i="3"/>
  <c r="BU74" i="3"/>
  <c r="BV74" i="3" s="1"/>
  <c r="BW74" i="3" s="1"/>
  <c r="BX74" i="3" s="1"/>
  <c r="BY74" i="3" s="1"/>
  <c r="BM74" i="3"/>
  <c r="BT74" i="3"/>
  <c r="BK74" i="3"/>
  <c r="AE74" i="3"/>
  <c r="BR74" i="3"/>
  <c r="BI74" i="3"/>
  <c r="V74" i="3"/>
  <c r="BG74" i="3"/>
  <c r="Q74" i="3"/>
  <c r="AY74" i="3"/>
  <c r="AT74" i="3"/>
  <c r="BQ74" i="3"/>
  <c r="AJ74" i="3"/>
  <c r="BS74" i="3"/>
  <c r="AO74" i="3"/>
  <c r="BO74" i="3"/>
  <c r="N74" i="3"/>
  <c r="Z74" i="3"/>
  <c r="L74" i="3"/>
  <c r="BN74" i="3"/>
  <c r="BP74" i="3"/>
  <c r="BE74" i="3"/>
  <c r="BS73" i="3"/>
  <c r="BI73" i="3"/>
  <c r="Z73" i="3"/>
  <c r="BP73" i="3"/>
  <c r="AT73" i="3"/>
  <c r="BO73" i="3"/>
  <c r="AO73" i="3"/>
  <c r="BT73" i="3"/>
  <c r="AY73" i="3"/>
  <c r="BR73" i="3"/>
  <c r="AJ73" i="3"/>
  <c r="BN73" i="3"/>
  <c r="V73" i="3"/>
  <c r="BQ73" i="3"/>
  <c r="AE73" i="3"/>
  <c r="BK73" i="3"/>
  <c r="N73" i="3"/>
  <c r="BU73" i="3"/>
  <c r="BV73" i="3" s="1"/>
  <c r="BW73" i="3" s="1"/>
  <c r="BX73" i="3" s="1"/>
  <c r="BG73" i="3"/>
  <c r="L73" i="3"/>
  <c r="BM73" i="3"/>
  <c r="Q73" i="3"/>
  <c r="BE73" i="3"/>
  <c r="BQ86" i="3"/>
  <c r="BE86" i="3"/>
  <c r="Q86" i="3"/>
  <c r="BP86" i="3"/>
  <c r="AY86" i="3"/>
  <c r="N86" i="3"/>
  <c r="BN86" i="3"/>
  <c r="AO86" i="3"/>
  <c r="BU86" i="3"/>
  <c r="BV86" i="3" s="1"/>
  <c r="BW86" i="3" s="1"/>
  <c r="BX86" i="3" s="1"/>
  <c r="BY86" i="3" s="1"/>
  <c r="BZ86" i="3" s="1"/>
  <c r="CA86" i="3" s="1"/>
  <c r="CB86" i="3" s="1"/>
  <c r="CC86" i="3" s="1"/>
  <c r="CD86" i="3" s="1"/>
  <c r="CE86" i="3" s="1"/>
  <c r="CF86" i="3" s="1"/>
  <c r="CG86" i="3" s="1"/>
  <c r="CH86" i="3" s="1"/>
  <c r="CI86" i="3" s="1"/>
  <c r="CJ86" i="3" s="1"/>
  <c r="CK86" i="3" s="1"/>
  <c r="BG86" i="3"/>
  <c r="BT86" i="3"/>
  <c r="AT86" i="3"/>
  <c r="BM86" i="3"/>
  <c r="BK86" i="3"/>
  <c r="BI86" i="3"/>
  <c r="AJ86" i="3"/>
  <c r="BS86" i="3"/>
  <c r="Z86" i="3"/>
  <c r="BR86" i="3"/>
  <c r="V86" i="3"/>
  <c r="BO86" i="3"/>
  <c r="AE86" i="3"/>
  <c r="L86" i="3"/>
  <c r="BP82" i="3"/>
  <c r="AY82" i="3"/>
  <c r="N82" i="3"/>
  <c r="BO82" i="3"/>
  <c r="AT82" i="3"/>
  <c r="L82" i="3"/>
  <c r="BU82" i="3"/>
  <c r="BV82" i="3" s="1"/>
  <c r="BW82" i="3" s="1"/>
  <c r="BX82" i="3" s="1"/>
  <c r="BY82" i="3" s="1"/>
  <c r="BZ82" i="3" s="1"/>
  <c r="CA82" i="3" s="1"/>
  <c r="CB82" i="3" s="1"/>
  <c r="CC82" i="3" s="1"/>
  <c r="CD82" i="3" s="1"/>
  <c r="CE82" i="3" s="1"/>
  <c r="CF82" i="3" s="1"/>
  <c r="CG82" i="3" s="1"/>
  <c r="BM82" i="3"/>
  <c r="AJ82" i="3"/>
  <c r="BN82" i="3"/>
  <c r="V82" i="3"/>
  <c r="BK82" i="3"/>
  <c r="Q82" i="3"/>
  <c r="AO82" i="3"/>
  <c r="BT82" i="3"/>
  <c r="AE82" i="3"/>
  <c r="BS82" i="3"/>
  <c r="Z82" i="3"/>
  <c r="BR82" i="3"/>
  <c r="BI82" i="3"/>
  <c r="BG82" i="3"/>
  <c r="BQ82" i="3"/>
  <c r="BE82" i="3"/>
  <c r="AO60" i="3"/>
  <c r="AJ60" i="3"/>
  <c r="Z60" i="3"/>
  <c r="N60" i="3"/>
  <c r="V60" i="3"/>
  <c r="Q60" i="3"/>
  <c r="BG60" i="3"/>
  <c r="BI60" i="3"/>
  <c r="AY60" i="3"/>
  <c r="L60" i="3"/>
  <c r="AT60" i="3"/>
  <c r="AE60" i="3"/>
  <c r="BE60" i="3"/>
  <c r="BQ83" i="3"/>
  <c r="BE83" i="3"/>
  <c r="Q83" i="3"/>
  <c r="BP83" i="3"/>
  <c r="AY83" i="3"/>
  <c r="N83" i="3"/>
  <c r="BN83" i="3"/>
  <c r="AO83" i="3"/>
  <c r="BR83" i="3"/>
  <c r="AE83" i="3"/>
  <c r="BO83" i="3"/>
  <c r="Z83" i="3"/>
  <c r="BS83" i="3"/>
  <c r="L83" i="3"/>
  <c r="BM83" i="3"/>
  <c r="BK83" i="3"/>
  <c r="BI83" i="3"/>
  <c r="AT83" i="3"/>
  <c r="AJ83" i="3"/>
  <c r="BU83" i="3"/>
  <c r="BV83" i="3" s="1"/>
  <c r="BW83" i="3" s="1"/>
  <c r="BX83" i="3" s="1"/>
  <c r="BY83" i="3" s="1"/>
  <c r="BZ83" i="3" s="1"/>
  <c r="CA83" i="3" s="1"/>
  <c r="CB83" i="3" s="1"/>
  <c r="CC83" i="3" s="1"/>
  <c r="CD83" i="3" s="1"/>
  <c r="CE83" i="3" s="1"/>
  <c r="CF83" i="3" s="1"/>
  <c r="CG83" i="3" s="1"/>
  <c r="CH83" i="3" s="1"/>
  <c r="BT83" i="3"/>
  <c r="BG83" i="3"/>
  <c r="V83" i="3"/>
  <c r="Z59" i="3"/>
  <c r="BG59" i="3"/>
  <c r="V59" i="3"/>
  <c r="AO59" i="3"/>
  <c r="AJ59" i="3"/>
  <c r="Q59" i="3"/>
  <c r="AE59" i="3"/>
  <c r="BE59" i="3"/>
  <c r="L59" i="3"/>
  <c r="AY59" i="3"/>
  <c r="AT59" i="3"/>
  <c r="N59" i="3"/>
  <c r="AO54" i="3"/>
  <c r="AJ54" i="3"/>
  <c r="Q54" i="3"/>
  <c r="O54" i="3"/>
  <c r="L54" i="3"/>
  <c r="AY54" i="3"/>
  <c r="AE54" i="3"/>
  <c r="AT54" i="3"/>
  <c r="Z54" i="3"/>
  <c r="V54" i="3"/>
  <c r="Q30" i="3"/>
  <c r="V30" i="3"/>
  <c r="L30" i="3"/>
  <c r="N30" i="3"/>
  <c r="BP69" i="3"/>
  <c r="AY69" i="3"/>
  <c r="N69" i="3"/>
  <c r="BR69" i="3"/>
  <c r="BE69" i="3"/>
  <c r="L69" i="3"/>
  <c r="BQ69" i="3"/>
  <c r="AT69" i="3"/>
  <c r="BN69" i="3"/>
  <c r="Z69" i="3"/>
  <c r="BM69" i="3"/>
  <c r="V69" i="3"/>
  <c r="BI69" i="3"/>
  <c r="BK69" i="3"/>
  <c r="Q69" i="3"/>
  <c r="BT69" i="3"/>
  <c r="AO69" i="3"/>
  <c r="AJ69" i="3"/>
  <c r="BS69" i="3"/>
  <c r="BO69" i="3"/>
  <c r="BG69" i="3"/>
  <c r="AE69" i="3"/>
  <c r="BR89" i="3"/>
  <c r="BG89" i="3"/>
  <c r="V89" i="3"/>
  <c r="BQ89" i="3"/>
  <c r="BE89" i="3"/>
  <c r="Q89" i="3"/>
  <c r="BO89" i="3"/>
  <c r="AT89" i="3"/>
  <c r="L89" i="3"/>
  <c r="BN89" i="3"/>
  <c r="Z89" i="3"/>
  <c r="BM89" i="3"/>
  <c r="N89" i="3"/>
  <c r="BI89" i="3"/>
  <c r="AY89" i="3"/>
  <c r="AO89" i="3"/>
  <c r="BU89" i="3"/>
  <c r="BV89" i="3" s="1"/>
  <c r="BW89" i="3" s="1"/>
  <c r="BX89" i="3" s="1"/>
  <c r="BY89" i="3" s="1"/>
  <c r="BZ89" i="3" s="1"/>
  <c r="CA89" i="3" s="1"/>
  <c r="CB89" i="3" s="1"/>
  <c r="CC89" i="3" s="1"/>
  <c r="CD89" i="3" s="1"/>
  <c r="CE89" i="3" s="1"/>
  <c r="CF89" i="3" s="1"/>
  <c r="CG89" i="3" s="1"/>
  <c r="CH89" i="3" s="1"/>
  <c r="CI89" i="3" s="1"/>
  <c r="CJ89" i="3" s="1"/>
  <c r="CK89" i="3" s="1"/>
  <c r="CL89" i="3" s="1"/>
  <c r="CM89" i="3" s="1"/>
  <c r="CN89" i="3" s="1"/>
  <c r="CO89" i="3" s="1"/>
  <c r="AJ89" i="3"/>
  <c r="BS89" i="3"/>
  <c r="BP89" i="3"/>
  <c r="BT89" i="3"/>
  <c r="BK89" i="3"/>
  <c r="AE89" i="3"/>
  <c r="BI62" i="3"/>
  <c r="Z62" i="3"/>
  <c r="BG62" i="3"/>
  <c r="V62" i="3"/>
  <c r="AY62" i="3"/>
  <c r="AJ62" i="3"/>
  <c r="AT62" i="3"/>
  <c r="AO62" i="3"/>
  <c r="BM62" i="3"/>
  <c r="Q62" i="3"/>
  <c r="N62" i="3"/>
  <c r="AE62" i="3"/>
  <c r="L62" i="3"/>
  <c r="BE62" i="3"/>
  <c r="BK62" i="3"/>
  <c r="BR70" i="3"/>
  <c r="BG70" i="3"/>
  <c r="V70" i="3"/>
  <c r="BN70" i="3"/>
  <c r="AJ70" i="3"/>
  <c r="BM70" i="3"/>
  <c r="AE70" i="3"/>
  <c r="BQ70" i="3"/>
  <c r="AO70" i="3"/>
  <c r="BP70" i="3"/>
  <c r="Z70" i="3"/>
  <c r="BK70" i="3"/>
  <c r="N70" i="3"/>
  <c r="BO70" i="3"/>
  <c r="Q70" i="3"/>
  <c r="BU70" i="3"/>
  <c r="BE70" i="3"/>
  <c r="L70" i="3"/>
  <c r="AY70" i="3"/>
  <c r="BT70" i="3"/>
  <c r="AT70" i="3"/>
  <c r="BS70" i="3"/>
  <c r="BI70" i="3"/>
  <c r="Q26" i="3"/>
  <c r="O26" i="3"/>
  <c r="L26" i="3"/>
  <c r="BE61" i="3"/>
  <c r="Q61" i="3"/>
  <c r="AY61" i="3"/>
  <c r="N61" i="3"/>
  <c r="BK61" i="3"/>
  <c r="V61" i="3"/>
  <c r="BI61" i="3"/>
  <c r="L61" i="3"/>
  <c r="AT61" i="3"/>
  <c r="BG61" i="3"/>
  <c r="AJ61" i="3"/>
  <c r="AO61" i="3"/>
  <c r="Z61" i="3"/>
  <c r="AE61" i="3"/>
  <c r="CY43" i="3"/>
  <c r="AG74" i="9"/>
  <c r="CQ93" i="3" l="1"/>
  <c r="CS93" i="3"/>
  <c r="CR93" i="3"/>
  <c r="CQ91" i="3"/>
  <c r="CP91" i="3"/>
  <c r="CP90" i="3"/>
  <c r="CQ90" i="3"/>
  <c r="CR92" i="3"/>
  <c r="CQ92" i="3"/>
  <c r="CY27" i="3"/>
  <c r="CS96" i="3"/>
  <c r="CY45" i="3"/>
  <c r="CY30" i="3"/>
  <c r="CY42" i="3"/>
  <c r="CY25" i="3"/>
  <c r="CY37" i="3"/>
  <c r="CY35" i="3"/>
  <c r="CY46" i="3"/>
  <c r="CY26" i="3"/>
  <c r="CY41" i="3"/>
  <c r="CY40" i="3"/>
  <c r="CY44" i="3"/>
  <c r="CY50" i="3"/>
  <c r="CY36" i="3"/>
  <c r="CY31" i="3"/>
  <c r="AY96" i="3"/>
  <c r="CY88" i="3"/>
  <c r="CE96" i="3"/>
  <c r="CY49" i="3"/>
  <c r="AT96" i="3"/>
  <c r="AJ96" i="3"/>
  <c r="Q96" i="3"/>
  <c r="CY72" i="3"/>
  <c r="CY63" i="3"/>
  <c r="CY87" i="3"/>
  <c r="Z96" i="3"/>
  <c r="AE96" i="3"/>
  <c r="CY32" i="3"/>
  <c r="AO96" i="3"/>
  <c r="O96" i="3"/>
  <c r="CY74" i="3"/>
  <c r="CY84" i="3"/>
  <c r="CY70" i="3"/>
  <c r="CY85" i="3"/>
  <c r="CY65" i="3"/>
  <c r="CY82" i="3"/>
  <c r="CY73" i="3"/>
  <c r="CG96" i="3"/>
  <c r="CO96" i="3"/>
  <c r="CN96" i="3"/>
  <c r="CY79" i="3"/>
  <c r="CI96" i="3"/>
  <c r="CY83" i="3"/>
  <c r="CM96" i="3"/>
  <c r="CH96" i="3"/>
  <c r="CY78" i="3"/>
  <c r="CY64" i="3"/>
  <c r="CL96" i="3"/>
  <c r="CY67" i="3"/>
  <c r="CY61" i="3"/>
  <c r="CY77" i="3"/>
  <c r="CY75" i="3"/>
  <c r="N96" i="3"/>
  <c r="CY86" i="3"/>
  <c r="CY62" i="3"/>
  <c r="CJ96" i="3"/>
  <c r="CY69" i="3"/>
  <c r="CY68" i="3"/>
  <c r="L96" i="3"/>
  <c r="CY71" i="3"/>
  <c r="CY80" i="3"/>
  <c r="CY76" i="3"/>
  <c r="CF96" i="3"/>
  <c r="CY81" i="3"/>
  <c r="CK96" i="3"/>
  <c r="CY66" i="3"/>
  <c r="CY92" i="3" l="1"/>
  <c r="CY90" i="3"/>
  <c r="CY93" i="3"/>
  <c r="CP96" i="3"/>
  <c r="CR96" i="3"/>
  <c r="CY89" i="3"/>
  <c r="CQ96" i="3"/>
  <c r="CY91" i="3"/>
  <c r="CY51" i="3" l="1"/>
  <c r="CY52" i="3"/>
  <c r="CY53" i="3"/>
  <c r="CY54" i="3"/>
  <c r="CY55" i="3"/>
  <c r="CY56" i="3"/>
  <c r="CY57" i="3"/>
  <c r="CY58" i="3"/>
  <c r="CY59" i="3"/>
  <c r="CY60" i="3"/>
  <c r="H96" i="3"/>
  <c r="M96" i="3"/>
  <c r="R96" i="3"/>
  <c r="V96" i="3"/>
  <c r="AA96" i="3"/>
  <c r="AF96" i="3"/>
  <c r="AK96" i="3"/>
  <c r="AP96" i="3"/>
  <c r="AU96" i="3"/>
  <c r="BA96" i="3"/>
  <c r="BC96" i="3"/>
  <c r="BE96" i="3"/>
  <c r="BG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Y96" i="3" l="1"/>
  <c r="D4" i="8" s="1"/>
  <c r="CV2" i="3" a="1"/>
  <c r="CV2" i="3" s="1"/>
  <c r="D6" i="8" s="1"/>
  <c r="H98" i="3"/>
  <c r="D18" i="8" l="1"/>
  <c r="D34" i="8"/>
  <c r="D63" i="8"/>
  <c r="G61" i="9" s="1"/>
  <c r="AH61" i="9" s="1"/>
  <c r="D72" i="8"/>
  <c r="G70" i="9" s="1"/>
  <c r="AH70" i="9" s="1"/>
  <c r="A56" i="3"/>
  <c r="A52" i="3"/>
  <c r="A58" i="3"/>
  <c r="D55" i="8"/>
  <c r="G53" i="9" s="1"/>
  <c r="AH53" i="9" s="1"/>
  <c r="D26" i="8"/>
  <c r="D57" i="8"/>
  <c r="G55" i="9" s="1"/>
  <c r="AH55" i="9" s="1"/>
  <c r="D62" i="8"/>
  <c r="G60" i="9" s="1"/>
  <c r="AH60" i="9" s="1"/>
  <c r="D69" i="8"/>
  <c r="G67" i="9" s="1"/>
  <c r="AH67" i="9" s="1"/>
  <c r="D10" i="8"/>
  <c r="G8" i="9" s="1"/>
  <c r="AH8" i="9" s="1"/>
  <c r="D25" i="8"/>
  <c r="G23" i="9" s="1"/>
  <c r="AH23" i="9" s="1"/>
  <c r="D53" i="8"/>
  <c r="G51" i="9" s="1"/>
  <c r="AH51" i="9" s="1"/>
  <c r="D49" i="8"/>
  <c r="G47" i="9" s="1"/>
  <c r="AH47" i="9" s="1"/>
  <c r="D33" i="8"/>
  <c r="D23" i="8"/>
  <c r="G21" i="9" s="1"/>
  <c r="AH21" i="9" s="1"/>
  <c r="D51" i="8"/>
  <c r="G49" i="9" s="1"/>
  <c r="AH49" i="9" s="1"/>
  <c r="D71" i="8"/>
  <c r="G69" i="9" s="1"/>
  <c r="AH69" i="9" s="1"/>
  <c r="A53" i="3"/>
  <c r="D60" i="8"/>
  <c r="G58" i="9" s="1"/>
  <c r="AH58" i="9" s="1"/>
  <c r="D64" i="8"/>
  <c r="G62" i="9" s="1"/>
  <c r="AH62" i="9" s="1"/>
  <c r="D45" i="8"/>
  <c r="G43" i="9" s="1"/>
  <c r="AH43" i="9" s="1"/>
  <c r="D47" i="8"/>
  <c r="D52" i="8"/>
  <c r="G50" i="9" s="1"/>
  <c r="AH50" i="9" s="1"/>
  <c r="D54" i="8"/>
  <c r="G52" i="9" s="1"/>
  <c r="AH52" i="9" s="1"/>
  <c r="D48" i="8"/>
  <c r="G46" i="9" s="1"/>
  <c r="AH46" i="9" s="1"/>
  <c r="D37" i="8"/>
  <c r="G35" i="9" s="1"/>
  <c r="AH35" i="9" s="1"/>
  <c r="D39" i="8"/>
  <c r="G37" i="9" s="1"/>
  <c r="AH37" i="9" s="1"/>
  <c r="D44" i="8"/>
  <c r="G42" i="9" s="1"/>
  <c r="AH42" i="9" s="1"/>
  <c r="D38" i="8"/>
  <c r="G36" i="9" s="1"/>
  <c r="AH36" i="9" s="1"/>
  <c r="D8" i="8"/>
  <c r="D29" i="8"/>
  <c r="G27" i="9" s="1"/>
  <c r="AH27" i="9" s="1"/>
  <c r="D36" i="8"/>
  <c r="G34" i="9" s="1"/>
  <c r="AH34" i="9" s="1"/>
  <c r="D67" i="8"/>
  <c r="G65" i="9" s="1"/>
  <c r="AH65" i="9" s="1"/>
  <c r="D66" i="8"/>
  <c r="G64" i="9" s="1"/>
  <c r="AH64" i="9" s="1"/>
  <c r="D7" i="8"/>
  <c r="G5" i="9" s="1"/>
  <c r="AH5" i="9" s="1"/>
  <c r="D28" i="8"/>
  <c r="G26" i="9" s="1"/>
  <c r="AH26" i="9" s="1"/>
  <c r="D59" i="8"/>
  <c r="G57" i="9" s="1"/>
  <c r="AH57" i="9" s="1"/>
  <c r="D31" i="8"/>
  <c r="D41" i="8"/>
  <c r="G39" i="9" s="1"/>
  <c r="AH39" i="9" s="1"/>
  <c r="D11" i="8"/>
  <c r="G9" i="9" s="1"/>
  <c r="AH9" i="9" s="1"/>
  <c r="D70" i="8"/>
  <c r="G68" i="9" s="1"/>
  <c r="AH68" i="9" s="1"/>
  <c r="A59" i="3"/>
  <c r="D20" i="8"/>
  <c r="D17" i="8"/>
  <c r="G15" i="9" s="1"/>
  <c r="AH15" i="9" s="1"/>
  <c r="D35" i="8"/>
  <c r="G33" i="9" s="1"/>
  <c r="AH33" i="9" s="1"/>
  <c r="D32" i="8"/>
  <c r="D46" i="8"/>
  <c r="G44" i="9" s="1"/>
  <c r="AH44" i="9" s="1"/>
  <c r="D21" i="8"/>
  <c r="G19" i="9" s="1"/>
  <c r="AH19" i="9" s="1"/>
  <c r="D58" i="8"/>
  <c r="G56" i="9" s="1"/>
  <c r="AH56" i="9" s="1"/>
  <c r="D50" i="8"/>
  <c r="G48" i="9" s="1"/>
  <c r="AH48" i="9" s="1"/>
  <c r="A55" i="3"/>
  <c r="D12" i="8"/>
  <c r="G10" i="9" s="1"/>
  <c r="AH10" i="9" s="1"/>
  <c r="D9" i="8"/>
  <c r="G7" i="9" s="1"/>
  <c r="AH7" i="9" s="1"/>
  <c r="D27" i="8"/>
  <c r="G25" i="9" s="1"/>
  <c r="AH25" i="9" s="1"/>
  <c r="D24" i="8"/>
  <c r="G22" i="9" s="1"/>
  <c r="AH22" i="9" s="1"/>
  <c r="D30" i="8"/>
  <c r="G28" i="9" s="1"/>
  <c r="AH28" i="9" s="1"/>
  <c r="D42" i="8"/>
  <c r="G40" i="9" s="1"/>
  <c r="AH40" i="9" s="1"/>
  <c r="D15" i="8"/>
  <c r="G13" i="9" s="1"/>
  <c r="AH13" i="9" s="1"/>
  <c r="A51" i="3"/>
  <c r="D65" i="8"/>
  <c r="G63" i="9" s="1"/>
  <c r="AH63" i="9" s="1"/>
  <c r="D22" i="8"/>
  <c r="G20" i="9" s="1"/>
  <c r="AH20" i="9" s="1"/>
  <c r="D19" i="8"/>
  <c r="G17" i="9" s="1"/>
  <c r="AH17" i="9" s="1"/>
  <c r="D16" i="8"/>
  <c r="G14" i="9" s="1"/>
  <c r="AH14" i="9" s="1"/>
  <c r="D14" i="8"/>
  <c r="D68" i="8"/>
  <c r="G66" i="9" s="1"/>
  <c r="AH66" i="9" s="1"/>
  <c r="D73" i="8"/>
  <c r="G71" i="9" s="1"/>
  <c r="AH71" i="9" s="1"/>
  <c r="D43" i="8"/>
  <c r="G41" i="9" s="1"/>
  <c r="AH41" i="9" s="1"/>
  <c r="D56" i="8"/>
  <c r="G54" i="9" s="1"/>
  <c r="AH54" i="9" s="1"/>
  <c r="A57" i="3"/>
  <c r="D13" i="8"/>
  <c r="G11" i="9" s="1"/>
  <c r="AH11" i="9" s="1"/>
  <c r="A60" i="3"/>
  <c r="D40" i="8"/>
  <c r="G38" i="9" s="1"/>
  <c r="AH38" i="9" s="1"/>
  <c r="A54" i="3"/>
  <c r="D61" i="8"/>
  <c r="G59" i="9" s="1"/>
  <c r="AH59" i="9" s="1"/>
  <c r="G31" i="9"/>
  <c r="AH31" i="9" s="1"/>
  <c r="G6" i="9"/>
  <c r="AH6" i="9" s="1"/>
  <c r="G24" i="9"/>
  <c r="AH24" i="9" s="1"/>
  <c r="G16" i="9"/>
  <c r="AH16" i="9" s="1"/>
  <c r="G32" i="9"/>
  <c r="AH32" i="9" s="1"/>
  <c r="G4" i="9"/>
  <c r="AH4" i="9" s="1"/>
  <c r="G30" i="9"/>
  <c r="AH30" i="9" s="1"/>
  <c r="G45" i="9"/>
  <c r="AH45" i="9" s="1"/>
  <c r="G29" i="9"/>
  <c r="AH29" i="9" s="1"/>
  <c r="G73" i="8" l="1"/>
  <c r="F60" i="8"/>
  <c r="F53" i="8"/>
  <c r="F73" i="8"/>
  <c r="F40" i="8"/>
  <c r="F43" i="8"/>
  <c r="F20" i="8"/>
  <c r="G54" i="8"/>
  <c r="G34" i="8"/>
  <c r="G51" i="8"/>
  <c r="F38" i="8"/>
  <c r="F55" i="8"/>
  <c r="G12" i="9"/>
  <c r="AH12" i="9" s="1"/>
  <c r="G31" i="8"/>
  <c r="G62" i="8"/>
  <c r="F56" i="8"/>
  <c r="F25" i="8"/>
  <c r="G19" i="8"/>
  <c r="G41" i="8"/>
  <c r="F35" i="8"/>
  <c r="G53" i="8"/>
  <c r="F19" i="8"/>
  <c r="F69" i="8"/>
  <c r="F71" i="8"/>
  <c r="G61" i="8"/>
  <c r="G63" i="8"/>
  <c r="F46" i="8"/>
  <c r="G18" i="9"/>
  <c r="AH18" i="9" s="1"/>
  <c r="F33" i="8"/>
  <c r="F5" i="8"/>
  <c r="F4" i="8"/>
  <c r="F13" i="8"/>
  <c r="G57" i="8"/>
  <c r="F30" i="8"/>
  <c r="F24" i="8"/>
  <c r="F47" i="8"/>
  <c r="G24" i="8"/>
  <c r="F41" i="8"/>
  <c r="G70" i="8"/>
  <c r="G18" i="8"/>
  <c r="G47" i="8"/>
  <c r="F70" i="8"/>
  <c r="F54" i="8"/>
  <c r="G10" i="8"/>
  <c r="G56" i="8"/>
  <c r="F68" i="8"/>
  <c r="G11" i="8"/>
  <c r="G36" i="8"/>
  <c r="G32" i="8"/>
  <c r="F10" i="8"/>
  <c r="G43" i="8"/>
  <c r="F18" i="8"/>
  <c r="G22" i="8"/>
  <c r="F64" i="8"/>
  <c r="F28" i="8"/>
  <c r="G55" i="8"/>
  <c r="G45" i="8"/>
  <c r="F11" i="8"/>
  <c r="F36" i="8"/>
  <c r="G66" i="8"/>
  <c r="G44" i="8"/>
  <c r="G65" i="8"/>
  <c r="G69" i="8"/>
  <c r="F45" i="8"/>
  <c r="F44" i="8"/>
  <c r="F65" i="8"/>
  <c r="G7" i="8"/>
  <c r="F23" i="8"/>
  <c r="F37" i="8"/>
  <c r="F39" i="8"/>
  <c r="G42" i="8"/>
  <c r="G52" i="8"/>
  <c r="G14" i="8"/>
  <c r="G8" i="8"/>
  <c r="F59" i="8"/>
  <c r="F67" i="8"/>
  <c r="G17" i="8"/>
  <c r="F42" i="8"/>
  <c r="G68" i="8"/>
  <c r="F34" i="8"/>
  <c r="G71" i="8"/>
  <c r="G64" i="8"/>
  <c r="G40" i="8"/>
  <c r="F52" i="8"/>
  <c r="F14" i="8"/>
  <c r="F8" i="8"/>
  <c r="G25" i="8"/>
  <c r="G23" i="8"/>
  <c r="G46" i="8"/>
  <c r="G33" i="8"/>
  <c r="G39" i="8"/>
  <c r="F17" i="8"/>
  <c r="F15" i="8"/>
  <c r="F62" i="8"/>
  <c r="G38" i="8"/>
  <c r="F31" i="8"/>
  <c r="F66" i="8"/>
  <c r="F32" i="8"/>
  <c r="G49" i="8"/>
  <c r="G6" i="8"/>
  <c r="G9" i="8"/>
  <c r="G21" i="8"/>
  <c r="G48" i="8"/>
  <c r="F22" i="8"/>
  <c r="G26" i="8"/>
  <c r="F2" i="8"/>
  <c r="G27" i="8"/>
  <c r="F63" i="8"/>
  <c r="G29" i="8"/>
  <c r="F72" i="8"/>
  <c r="G50" i="8"/>
  <c r="G16" i="8"/>
  <c r="G58" i="8"/>
  <c r="G12" i="8"/>
  <c r="G15" i="8"/>
  <c r="F49" i="8"/>
  <c r="F6" i="8"/>
  <c r="F9" i="8"/>
  <c r="F7" i="8"/>
  <c r="F21" i="8"/>
  <c r="F48" i="8"/>
  <c r="G60" i="8"/>
  <c r="F26" i="8"/>
  <c r="F27" i="8"/>
  <c r="F29" i="8"/>
  <c r="G72" i="8"/>
  <c r="G20" i="8"/>
  <c r="F50" i="8"/>
  <c r="F16" i="8"/>
  <c r="G28" i="8"/>
  <c r="F58" i="8"/>
  <c r="F12" i="8"/>
  <c r="G35" i="8"/>
  <c r="G13" i="8"/>
  <c r="F61" i="8"/>
  <c r="F57" i="8"/>
  <c r="F3" i="8"/>
  <c r="G30" i="8"/>
  <c r="G59" i="8"/>
  <c r="G37" i="8"/>
  <c r="G67" i="8"/>
  <c r="F51" i="8"/>
  <c r="AH74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<sst xmlns="http://schemas.openxmlformats.org/spreadsheetml/2006/main" count="1172" uniqueCount="182">
  <si>
    <t>n</t>
  </si>
  <si>
    <t>CH4</t>
  </si>
  <si>
    <t>MEOH</t>
  </si>
  <si>
    <t>CO</t>
  </si>
  <si>
    <t>C2</t>
  </si>
  <si>
    <t>C2-O</t>
  </si>
  <si>
    <t>C3</t>
  </si>
  <si>
    <t>C3-O</t>
  </si>
  <si>
    <t>C4</t>
  </si>
  <si>
    <t>C4-IP</t>
  </si>
  <si>
    <t>C4-O</t>
  </si>
  <si>
    <t>C5</t>
  </si>
  <si>
    <t>C5-O</t>
  </si>
  <si>
    <t>C6-IP</t>
  </si>
  <si>
    <t>C6</t>
  </si>
  <si>
    <t>C6-O</t>
  </si>
  <si>
    <t>C7</t>
  </si>
  <si>
    <t>C7-IP</t>
  </si>
  <si>
    <t>C7-O</t>
  </si>
  <si>
    <t>C7-A</t>
  </si>
  <si>
    <t>C8</t>
  </si>
  <si>
    <t>C8-IP</t>
  </si>
  <si>
    <t>C8-O</t>
  </si>
  <si>
    <t>C8-N</t>
  </si>
  <si>
    <t>C8-A</t>
  </si>
  <si>
    <t>C9</t>
  </si>
  <si>
    <t>C9-IP</t>
  </si>
  <si>
    <t>C9-O</t>
  </si>
  <si>
    <t>C9-N</t>
  </si>
  <si>
    <t>C9-A</t>
  </si>
  <si>
    <t>C10</t>
  </si>
  <si>
    <t>C10-IP</t>
  </si>
  <si>
    <t>C10-O</t>
  </si>
  <si>
    <t>C10-N</t>
  </si>
  <si>
    <t>C10-A</t>
  </si>
  <si>
    <t>C11</t>
  </si>
  <si>
    <t>C11-IP</t>
  </si>
  <si>
    <t>C11-A</t>
  </si>
  <si>
    <t>C12-IP</t>
  </si>
  <si>
    <t>C12</t>
  </si>
  <si>
    <t>C12-O</t>
  </si>
  <si>
    <t>C12-A</t>
  </si>
  <si>
    <t>C13-IP</t>
  </si>
  <si>
    <t>C13-O</t>
  </si>
  <si>
    <t>C13</t>
  </si>
  <si>
    <t>C14-IP</t>
  </si>
  <si>
    <t xml:space="preserve"> C14 </t>
  </si>
  <si>
    <t xml:space="preserve">C15-IP </t>
  </si>
  <si>
    <t>C15</t>
  </si>
  <si>
    <t>C16-IP</t>
  </si>
  <si>
    <t>C16</t>
  </si>
  <si>
    <t>C17-IP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</si>
  <si>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</si>
  <si>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</si>
  <si>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</si>
  <si>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</si>
  <si>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</si>
  <si>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</si>
  <si>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</si>
  <si>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</si>
  <si>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</si>
  <si>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</si>
  <si>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</si>
  <si>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</si>
  <si>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</si>
  <si>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</si>
  <si>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</si>
  <si>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</si>
  <si>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</si>
  <si>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</si>
  <si>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</si>
  <si>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</si>
  <si>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</si>
  <si>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</si>
  <si>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</si>
  <si>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</si>
  <si>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</si>
  <si>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</si>
  <si>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</si>
  <si>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</si>
  <si>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</si>
  <si>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</si>
  <si>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C48</t>
  </si>
  <si>
    <t>C50</t>
  </si>
  <si>
    <t>C51</t>
  </si>
  <si>
    <t>C52</t>
  </si>
  <si>
    <t>C54</t>
  </si>
  <si>
    <t>k</t>
  </si>
  <si>
    <t>Conversion</t>
  </si>
  <si>
    <t>In</t>
  </si>
  <si>
    <t>Prod. Factor</t>
  </si>
  <si>
    <t>sum</t>
  </si>
  <si>
    <t>Out</t>
  </si>
  <si>
    <t>CO2</t>
  </si>
  <si>
    <t>H2O</t>
  </si>
  <si>
    <t>H2</t>
  </si>
  <si>
    <t>C5-IP</t>
  </si>
  <si>
    <t>kmol/hr</t>
  </si>
  <si>
    <t>C5-N</t>
  </si>
  <si>
    <t>C6-A</t>
  </si>
  <si>
    <t>C6-N</t>
  </si>
  <si>
    <t>C7-N</t>
  </si>
  <si>
    <t>C11-O</t>
  </si>
  <si>
    <t>C12-N</t>
  </si>
  <si>
    <t>C14</t>
  </si>
  <si>
    <t>C15-IP</t>
  </si>
  <si>
    <t>C11-0</t>
  </si>
  <si>
    <t>Etichette di riga</t>
  </si>
  <si>
    <t>Totale complessivo</t>
  </si>
  <si>
    <t>Secondary</t>
  </si>
  <si>
    <t>Primary</t>
  </si>
  <si>
    <t>Somma di Secondary</t>
  </si>
  <si>
    <t>Somma di Primary</t>
  </si>
  <si>
    <t>2,65771162208618E-20</t>
  </si>
  <si>
    <t>6,34937228107811E-18</t>
  </si>
  <si>
    <t>1,70967844478347E-19</t>
  </si>
  <si>
    <t>7,89825174221155E-16</t>
  </si>
  <si>
    <t>4,90851456146712E-16</t>
  </si>
  <si>
    <t>Name</t>
  </si>
  <si>
    <t>NC</t>
  </si>
  <si>
    <t>Inlet</t>
  </si>
  <si>
    <t>Somma di Inlet</t>
  </si>
  <si>
    <t>0,015188681638455</t>
  </si>
  <si>
    <t>0,00373424142390863</t>
  </si>
  <si>
    <t>2,16390322899192E-06</t>
  </si>
  <si>
    <t>0,000671995167802076</t>
  </si>
  <si>
    <t>0,000519980199463744</t>
  </si>
  <si>
    <t>3,91867738433925E-23</t>
  </si>
  <si>
    <t>0,00029185059620702</t>
  </si>
  <si>
    <t>0,00239039050368725</t>
  </si>
  <si>
    <t>0,000149938797343523</t>
  </si>
  <si>
    <t>0,00107224427872008</t>
  </si>
  <si>
    <t>0,00014272622937515</t>
  </si>
  <si>
    <t>0,000258541096634687</t>
  </si>
  <si>
    <t>1,62232085273699E-12</t>
  </si>
  <si>
    <t>3,26526307281462E-09</t>
  </si>
  <si>
    <t>2,44083218580539E-07</t>
  </si>
  <si>
    <t>4,18995666622004E-07</t>
  </si>
  <si>
    <t>6,98582267303787E-08</t>
  </si>
  <si>
    <t>5,84918770555721</t>
  </si>
  <si>
    <t>0,0000471898648045363</t>
  </si>
  <si>
    <t>0,013075764899568</t>
  </si>
  <si>
    <t>5,74855733595377E-09</t>
  </si>
  <si>
    <t>0,0236083428410457</t>
  </si>
  <si>
    <t>0,000045972522974249</t>
  </si>
  <si>
    <t>0,0215417024427832</t>
  </si>
  <si>
    <t>0,0000505173989059497</t>
  </si>
  <si>
    <t>0,0161077106578016</t>
  </si>
  <si>
    <t>0,0142307787057995</t>
  </si>
  <si>
    <t>0,0138168382770876</t>
  </si>
  <si>
    <t>0,000383117616942124</t>
  </si>
  <si>
    <t>3,23931899255934E-13</t>
  </si>
  <si>
    <t>0,0131354421701729</t>
  </si>
  <si>
    <t>0,000237659134509918</t>
  </si>
  <si>
    <t>1,28258787214377E-11</t>
  </si>
  <si>
    <t>0,0000726946462661049</t>
  </si>
  <si>
    <t>0,0127867368481783</t>
  </si>
  <si>
    <t>0,0000292017270236912</t>
  </si>
  <si>
    <t>1,15553594128064E-08</t>
  </si>
  <si>
    <t>0,0000127030256197342</t>
  </si>
  <si>
    <t>0,0123270387154298</t>
  </si>
  <si>
    <t>7,87981136178651E-07</t>
  </si>
  <si>
    <t>1,27056254050866E-07</t>
  </si>
  <si>
    <t>2,09766839937342E-07</t>
  </si>
  <si>
    <t>7,33893945531604E-07</t>
  </si>
  <si>
    <t>0,0117397866386694</t>
  </si>
  <si>
    <t>8,40667144136064E-08</t>
  </si>
  <si>
    <t>0,0000010190317012163</t>
  </si>
  <si>
    <t>1,23027807449133E-07</t>
  </si>
  <si>
    <t>0,0109462816757266</t>
  </si>
  <si>
    <t>7,86588948030813E-07</t>
  </si>
  <si>
    <t>0,00982071919907515</t>
  </si>
  <si>
    <t>3,70835468021314E-06</t>
  </si>
  <si>
    <t>0,00768286630420194</t>
  </si>
  <si>
    <t>0,0000164997499385341</t>
  </si>
  <si>
    <t>0,00507139325462913</t>
  </si>
  <si>
    <t>4,65777616924844E-06</t>
  </si>
  <si>
    <t>0,00280742220820534</t>
  </si>
  <si>
    <t>0,000292136581594068</t>
  </si>
  <si>
    <t>0,000135685673709362</t>
  </si>
  <si>
    <t>0,0000426670583826528</t>
  </si>
  <si>
    <t>6,35746709183344E-06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</si>
</sst>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2" borderId="0" xfId="0" applyFill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4">
    <dxf>
      <numFmt numFmtId="15" formatCode="0.00E+00"/>
    </dxf>
    <dxf>
      <numFmt numFmtId="15" formatCode="0.00E+00"/>
    </dxf>
    <dxf>
      <numFmt numFmtId="15" formatCode="0.00E+0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6.3152994674263579E-2"/>
          <c:y val="1.9221034874515618E-2"/>
          <c:w val="0.91521501180862452"/>
          <c:h val="0.9173742118218388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Primary!$H$95:$CU$95</c:f>
              <c:numCache>
                <c:formatCode>General</c:formatCode>
                <c:ptCount val="9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14</c:v>
                </c:pt>
                <c:pt idx="51">
                  <c:v>14</c:v>
                </c:pt>
                <c:pt idx="52">
                  <c:v>15</c:v>
                </c:pt>
                <c:pt idx="53">
                  <c:v>15</c:v>
                </c:pt>
                <c:pt idx="54">
                  <c:v>16</c:v>
                </c:pt>
                <c:pt idx="55">
                  <c:v>16</c:v>
                </c:pt>
                <c:pt idx="56">
                  <c:v>17</c:v>
                </c:pt>
                <c:pt idx="57">
                  <c:v>17</c:v>
                </c:pt>
                <c:pt idx="58">
                  <c:v>18</c:v>
                </c:pt>
                <c:pt idx="59">
                  <c:v>19</c:v>
                </c:pt>
                <c:pt idx="60">
                  <c:v>20</c:v>
                </c:pt>
                <c:pt idx="61">
                  <c:v>21</c:v>
                </c:pt>
                <c:pt idx="62">
                  <c:v>22</c:v>
                </c:pt>
                <c:pt idx="63">
                  <c:v>23</c:v>
                </c:pt>
                <c:pt idx="64">
                  <c:v>24</c:v>
                </c:pt>
                <c:pt idx="65">
                  <c:v>25</c:v>
                </c:pt>
                <c:pt idx="66">
                  <c:v>26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33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41</c:v>
                </c:pt>
                <c:pt idx="82">
                  <c:v>42</c:v>
                </c:pt>
                <c:pt idx="83">
                  <c:v>43</c:v>
                </c:pt>
                <c:pt idx="84">
                  <c:v>44</c:v>
                </c:pt>
                <c:pt idx="85">
                  <c:v>45</c:v>
                </c:pt>
                <c:pt idx="86">
                  <c:v>46</c:v>
                </c:pt>
                <c:pt idx="87">
                  <c:v>48</c:v>
                </c:pt>
                <c:pt idx="88">
                  <c:v>50</c:v>
                </c:pt>
                <c:pt idx="89">
                  <c:v>51</c:v>
                </c:pt>
                <c:pt idx="90">
                  <c:v>52</c:v>
                </c:pt>
                <c:pt idx="91">
                  <c:v>54</c:v>
                </c:pt>
              </c:numCache>
            </c:numRef>
          </c:xVal>
          <c:yVal>
            <c:numRef>
              <c:f>Primary!$H$96:$CU$96</c:f>
              <c:numCache>
                <c:formatCode>General</c:formatCode>
                <c:ptCount val="92"/>
                <c:pt idx="0" formatCode="0.00E+00">
                  <c:v>7.1114470114353595E-4</c:v>
                </c:pt>
                <c:pt idx="1">
                  <c:v>1.15915726277396E-3</c:v>
                </c:pt>
                <c:pt idx="2">
                  <c:v>2.5701200645325E-3</c:v>
                </c:pt>
                <c:pt idx="3">
                  <c:v>0</c:v>
                </c:pt>
                <c:pt idx="4">
                  <c:v>3.8202128189215881E-2</c:v>
                </c:pt>
                <c:pt idx="5">
                  <c:v>1.1449167841188555E-8</c:v>
                </c:pt>
                <c:pt idx="6">
                  <c:v>5.2157349925587217E-2</c:v>
                </c:pt>
                <c:pt idx="7">
                  <c:v>8.7688471000871231E-5</c:v>
                </c:pt>
                <c:pt idx="8">
                  <c:v>8.1154749464936498E-23</c:v>
                </c:pt>
                <c:pt idx="9">
                  <c:v>4.1243721045750262E-2</c:v>
                </c:pt>
                <c:pt idx="10">
                  <c:v>7.9740251659888401E-4</c:v>
                </c:pt>
                <c:pt idx="11">
                  <c:v>4.9454120758277598E-20</c:v>
                </c:pt>
                <c:pt idx="12">
                  <c:v>7.7846204715078602E-5</c:v>
                </c:pt>
                <c:pt idx="13">
                  <c:v>2.94082363397296E-3</c:v>
                </c:pt>
                <c:pt idx="14">
                  <c:v>3.3540807671867665E-2</c:v>
                </c:pt>
                <c:pt idx="15">
                  <c:v>1.63131923146749E-17</c:v>
                </c:pt>
                <c:pt idx="16">
                  <c:v>4.3282018242143298E-19</c:v>
                </c:pt>
                <c:pt idx="17">
                  <c:v>2.0961080448768401E-4</c:v>
                </c:pt>
                <c:pt idx="18">
                  <c:v>2.9972459814883948E-2</c:v>
                </c:pt>
                <c:pt idx="19">
                  <c:v>1.44797760949513E-3</c:v>
                </c:pt>
                <c:pt idx="20">
                  <c:v>1.61549255798959E-15</c:v>
                </c:pt>
                <c:pt idx="21">
                  <c:v>1.1090436396881701E-15</c:v>
                </c:pt>
                <c:pt idx="22">
                  <c:v>1.9452524184119399E-4</c:v>
                </c:pt>
                <c:pt idx="23">
                  <c:v>2.9582865180567526E-2</c:v>
                </c:pt>
                <c:pt idx="24">
                  <c:v>5.1982099576249085E-4</c:v>
                </c:pt>
                <c:pt idx="25">
                  <c:v>6.6700119975318329E-13</c:v>
                </c:pt>
                <c:pt idx="26">
                  <c:v>3.6401436079514898E-4</c:v>
                </c:pt>
                <c:pt idx="27">
                  <c:v>3.55320707761801E-12</c:v>
                </c:pt>
                <c:pt idx="28">
                  <c:v>2.8933820163736929E-2</c:v>
                </c:pt>
                <c:pt idx="29">
                  <c:v>3.3128812319603205E-4</c:v>
                </c:pt>
                <c:pt idx="30">
                  <c:v>2.8449274953858978E-11</c:v>
                </c:pt>
                <c:pt idx="31">
                  <c:v>8.4212847972979201E-5</c:v>
                </c:pt>
                <c:pt idx="32">
                  <c:v>6.2978783674192802E-9</c:v>
                </c:pt>
                <c:pt idx="33">
                  <c:v>2.8853410545116684E-2</c:v>
                </c:pt>
                <c:pt idx="34">
                  <c:v>3.8749231207488604E-5</c:v>
                </c:pt>
                <c:pt idx="35">
                  <c:v>2.8168944490474935E-8</c:v>
                </c:pt>
                <c:pt idx="36">
                  <c:v>1.2093808049619699E-5</c:v>
                </c:pt>
                <c:pt idx="37">
                  <c:v>3.2000962591801201E-7</c:v>
                </c:pt>
                <c:pt idx="38">
                  <c:v>2.8806019105484783E-2</c:v>
                </c:pt>
                <c:pt idx="39">
                  <c:v>6.6045750165336401E-7</c:v>
                </c:pt>
                <c:pt idx="40">
                  <c:v>1.65554693590926E-7</c:v>
                </c:pt>
                <c:pt idx="41">
                  <c:v>2.7525267832290686E-7</c:v>
                </c:pt>
                <c:pt idx="42">
                  <c:v>1.0590442559488057E-6</c:v>
                </c:pt>
                <c:pt idx="43">
                  <c:v>2.8794735851316984E-2</c:v>
                </c:pt>
                <c:pt idx="44">
                  <c:v>1.3152635407435234E-7</c:v>
                </c:pt>
                <c:pt idx="45">
                  <c:v>5.4930049786511697E-7</c:v>
                </c:pt>
                <c:pt idx="46">
                  <c:v>9.8777101473426203E-8</c:v>
                </c:pt>
                <c:pt idx="47">
                  <c:v>1.5554226230979695E-6</c:v>
                </c:pt>
                <c:pt idx="48">
                  <c:v>1.8080612828803075E-7</c:v>
                </c:pt>
                <c:pt idx="49">
                  <c:v>2.8749988232886357E-2</c:v>
                </c:pt>
                <c:pt idx="50">
                  <c:v>1.4054765706094218E-6</c:v>
                </c:pt>
                <c:pt idx="51">
                  <c:v>2.8463972914584565E-2</c:v>
                </c:pt>
                <c:pt idx="52">
                  <c:v>7.55552403588452E-6</c:v>
                </c:pt>
                <c:pt idx="53">
                  <c:v>2.5133702061051841E-2</c:v>
                </c:pt>
                <c:pt idx="54">
                  <c:v>4.0528804653740105E-5</c:v>
                </c:pt>
                <c:pt idx="55">
                  <c:v>1.9881941817091731E-2</c:v>
                </c:pt>
                <c:pt idx="56">
                  <c:v>2.0631011633141722E-5</c:v>
                </c:pt>
                <c:pt idx="57">
                  <c:v>1.6682203521511473E-2</c:v>
                </c:pt>
                <c:pt idx="58">
                  <c:v>1.1862925569831919E-2</c:v>
                </c:pt>
                <c:pt idx="59">
                  <c:v>9.0743180107670258E-3</c:v>
                </c:pt>
                <c:pt idx="60">
                  <c:v>6.7305525851894732E-3</c:v>
                </c:pt>
                <c:pt idx="61">
                  <c:v>4.7176402961359529E-3</c:v>
                </c:pt>
                <c:pt idx="62">
                  <c:v>2.9962165630922554E-3</c:v>
                </c:pt>
                <c:pt idx="63">
                  <c:v>1.596191748969423E-3</c:v>
                </c:pt>
                <c:pt idx="64">
                  <c:v>4.8615068201471898E-4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8E-7A4E-BB81-3B7B416F9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86223"/>
        <c:axId val="105759375"/>
      </c:scatterChart>
      <c:valAx>
        <c:axId val="10588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759375"/>
        <c:crosses val="autoZero"/>
        <c:crossBetween val="midCat"/>
      </c:valAx>
      <c:valAx>
        <c:axId val="10575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88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6.3152994674263579E-2"/>
          <c:y val="1.9221034874515618E-2"/>
          <c:w val="0.91538981276258191"/>
          <c:h val="0.9171164094069089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Secondary!$H$95:$CU$95</c:f>
              <c:numCache>
                <c:formatCode>General</c:formatCode>
                <c:ptCount val="9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14</c:v>
                </c:pt>
                <c:pt idx="51">
                  <c:v>14</c:v>
                </c:pt>
                <c:pt idx="52">
                  <c:v>15</c:v>
                </c:pt>
                <c:pt idx="53">
                  <c:v>15</c:v>
                </c:pt>
                <c:pt idx="54">
                  <c:v>16</c:v>
                </c:pt>
                <c:pt idx="55">
                  <c:v>16</c:v>
                </c:pt>
                <c:pt idx="56">
                  <c:v>17</c:v>
                </c:pt>
                <c:pt idx="57">
                  <c:v>17</c:v>
                </c:pt>
                <c:pt idx="58">
                  <c:v>18</c:v>
                </c:pt>
                <c:pt idx="59">
                  <c:v>19</c:v>
                </c:pt>
                <c:pt idx="60">
                  <c:v>20</c:v>
                </c:pt>
                <c:pt idx="61">
                  <c:v>21</c:v>
                </c:pt>
                <c:pt idx="62">
                  <c:v>22</c:v>
                </c:pt>
                <c:pt idx="63">
                  <c:v>23</c:v>
                </c:pt>
                <c:pt idx="64">
                  <c:v>24</c:v>
                </c:pt>
                <c:pt idx="65">
                  <c:v>25</c:v>
                </c:pt>
                <c:pt idx="66">
                  <c:v>26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33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41</c:v>
                </c:pt>
                <c:pt idx="82">
                  <c:v>42</c:v>
                </c:pt>
                <c:pt idx="83">
                  <c:v>43</c:v>
                </c:pt>
                <c:pt idx="84">
                  <c:v>44</c:v>
                </c:pt>
                <c:pt idx="85">
                  <c:v>45</c:v>
                </c:pt>
                <c:pt idx="86">
                  <c:v>46</c:v>
                </c:pt>
                <c:pt idx="87">
                  <c:v>48</c:v>
                </c:pt>
                <c:pt idx="88">
                  <c:v>50</c:v>
                </c:pt>
                <c:pt idx="89">
                  <c:v>51</c:v>
                </c:pt>
                <c:pt idx="90">
                  <c:v>52</c:v>
                </c:pt>
                <c:pt idx="91">
                  <c:v>54</c:v>
                </c:pt>
              </c:numCache>
            </c:numRef>
          </c:xVal>
          <c:yVal>
            <c:numRef>
              <c:f>Secondary!$H$96:$CU$96</c:f>
              <c:numCache>
                <c:formatCode>General</c:formatCode>
                <c:ptCount val="92"/>
                <c:pt idx="0">
                  <c:v>7.1114470114353595E-4</c:v>
                </c:pt>
                <c:pt idx="1">
                  <c:v>1.15915726277396E-3</c:v>
                </c:pt>
                <c:pt idx="2">
                  <c:v>2.5701200645325E-3</c:v>
                </c:pt>
                <c:pt idx="3">
                  <c:v>0</c:v>
                </c:pt>
                <c:pt idx="4">
                  <c:v>4.6010387801789364E-2</c:v>
                </c:pt>
                <c:pt idx="5">
                  <c:v>1.6611306944078475E-8</c:v>
                </c:pt>
                <c:pt idx="6">
                  <c:v>6.7760037757795585E-2</c:v>
                </c:pt>
                <c:pt idx="7">
                  <c:v>1.0153018821769684E-4</c:v>
                </c:pt>
                <c:pt idx="8">
                  <c:v>8.1154749464936498E-23</c:v>
                </c:pt>
                <c:pt idx="9">
                  <c:v>5.6768236395870496E-2</c:v>
                </c:pt>
                <c:pt idx="10">
                  <c:v>7.9740251659888401E-4</c:v>
                </c:pt>
                <c:pt idx="11">
                  <c:v>4.9454120758277598E-20</c:v>
                </c:pt>
                <c:pt idx="12">
                  <c:v>7.7846204715078602E-5</c:v>
                </c:pt>
                <c:pt idx="13">
                  <c:v>2.94082363397296E-3</c:v>
                </c:pt>
                <c:pt idx="14">
                  <c:v>4.8824706374951239E-2</c:v>
                </c:pt>
                <c:pt idx="15">
                  <c:v>1.63131923146749E-17</c:v>
                </c:pt>
                <c:pt idx="16">
                  <c:v>4.3282018242143298E-19</c:v>
                </c:pt>
                <c:pt idx="17">
                  <c:v>2.0961080448768401E-4</c:v>
                </c:pt>
                <c:pt idx="18">
                  <c:v>4.4899451128042292E-2</c:v>
                </c:pt>
                <c:pt idx="19">
                  <c:v>1.44797760949513E-3</c:v>
                </c:pt>
                <c:pt idx="20">
                  <c:v>1.61549255798959E-15</c:v>
                </c:pt>
                <c:pt idx="21">
                  <c:v>1.1090436396881701E-15</c:v>
                </c:pt>
                <c:pt idx="22">
                  <c:v>1.9452524184119399E-4</c:v>
                </c:pt>
                <c:pt idx="23">
                  <c:v>4.3837612106098156E-2</c:v>
                </c:pt>
                <c:pt idx="24">
                  <c:v>5.1664314562474838E-4</c:v>
                </c:pt>
                <c:pt idx="25">
                  <c:v>6.6292358482075656E-13</c:v>
                </c:pt>
                <c:pt idx="26">
                  <c:v>3.6401436079514898E-4</c:v>
                </c:pt>
                <c:pt idx="27">
                  <c:v>3.55320707761801E-12</c:v>
                </c:pt>
                <c:pt idx="28">
                  <c:v>4.2264426957971862E-2</c:v>
                </c:pt>
                <c:pt idx="29">
                  <c:v>3.262414759585612E-4</c:v>
                </c:pt>
                <c:pt idx="30">
                  <c:v>2.8015895533344755E-11</c:v>
                </c:pt>
                <c:pt idx="31">
                  <c:v>8.4212847972979201E-5</c:v>
                </c:pt>
                <c:pt idx="32">
                  <c:v>6.2978783674192802E-9</c:v>
                </c:pt>
                <c:pt idx="33">
                  <c:v>4.0899805931452413E-2</c:v>
                </c:pt>
                <c:pt idx="34">
                  <c:v>3.7631744863843029E-5</c:v>
                </c:pt>
                <c:pt idx="35">
                  <c:v>2.7356582288642849E-8</c:v>
                </c:pt>
                <c:pt idx="36">
                  <c:v>1.2093808049619699E-5</c:v>
                </c:pt>
                <c:pt idx="37">
                  <c:v>3.2000962591801201E-7</c:v>
                </c:pt>
                <c:pt idx="38">
                  <c:v>3.9074290219924937E-2</c:v>
                </c:pt>
                <c:pt idx="39">
                  <c:v>6.2800527382418701E-7</c:v>
                </c:pt>
                <c:pt idx="40">
                  <c:v>1.65554693590926E-7</c:v>
                </c:pt>
                <c:pt idx="41">
                  <c:v>2.7525267832290686E-7</c:v>
                </c:pt>
                <c:pt idx="42">
                  <c:v>9.7493959337909587E-7</c:v>
                </c:pt>
                <c:pt idx="43">
                  <c:v>3.6691469381432883E-2</c:v>
                </c:pt>
                <c:pt idx="44">
                  <c:v>1.2108110632732872E-7</c:v>
                </c:pt>
                <c:pt idx="45">
                  <c:v>5.4930049786511697E-7</c:v>
                </c:pt>
                <c:pt idx="46">
                  <c:v>9.8777101473426203E-8</c:v>
                </c:pt>
                <c:pt idx="47">
                  <c:v>1.3616363339445764E-6</c:v>
                </c:pt>
                <c:pt idx="48">
                  <c:v>1.5827993628283517E-7</c:v>
                </c:pt>
                <c:pt idx="49">
                  <c:v>3.3652931993735452E-2</c:v>
                </c:pt>
                <c:pt idx="50">
                  <c:v>1.135658611669625E-6</c:v>
                </c:pt>
                <c:pt idx="51">
                  <c:v>2.9591247926336852E-2</c:v>
                </c:pt>
                <c:pt idx="52">
                  <c:v>5.3454721063040477E-6</c:v>
                </c:pt>
                <c:pt idx="53">
                  <c:v>2.2373374145022471E-2</c:v>
                </c:pt>
                <c:pt idx="54">
                  <c:v>2.2595450872389248E-5</c:v>
                </c:pt>
                <c:pt idx="55">
                  <c:v>1.3989379399077337E-2</c:v>
                </c:pt>
                <c:pt idx="56">
                  <c:v>6.8861748750250102E-6</c:v>
                </c:pt>
                <c:pt idx="57">
                  <c:v>7.2942537008095108E-3</c:v>
                </c:pt>
                <c:pt idx="58">
                  <c:v>9.3084043049297997E-4</c:v>
                </c:pt>
                <c:pt idx="59">
                  <c:v>4.2906754222398386E-4</c:v>
                </c:pt>
                <c:pt idx="60">
                  <c:v>1.4791037473839888E-4</c:v>
                </c:pt>
                <c:pt idx="61">
                  <c:v>2.7008371223039941E-5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5-CC45-A7BD-8F912F007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86223"/>
        <c:axId val="105759375"/>
      </c:scatterChart>
      <c:valAx>
        <c:axId val="10588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759375"/>
        <c:crosses val="autoZero"/>
        <c:crossBetween val="midCat"/>
      </c:valAx>
      <c:valAx>
        <c:axId val="10575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88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Pivot!$P$8:$P$34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xVal>
          <c:yVal>
            <c:numRef>
              <c:f>Pivot!$Q$8:$Q$34</c:f>
              <c:numCache>
                <c:formatCode>0.00%</c:formatCode>
                <c:ptCount val="27"/>
                <c:pt idx="0">
                  <c:v>6.3722191102745206E-3</c:v>
                </c:pt>
                <c:pt idx="1">
                  <c:v>8.7565369158947373E-3</c:v>
                </c:pt>
                <c:pt idx="2">
                  <c:v>8.1067001869283783E-2</c:v>
                </c:pt>
                <c:pt idx="3">
                  <c:v>7.7415623111227003E-2</c:v>
                </c:pt>
                <c:pt idx="4">
                  <c:v>4.5335740618613826E-2</c:v>
                </c:pt>
                <c:pt idx="5">
                  <c:v>2.6864939257724162E-2</c:v>
                </c:pt>
                <c:pt idx="6">
                  <c:v>9.5802012362383952E-3</c:v>
                </c:pt>
                <c:pt idx="7">
                  <c:v>5.6977932813915746E-3</c:v>
                </c:pt>
                <c:pt idx="8">
                  <c:v>1.888522385860382E-3</c:v>
                </c:pt>
                <c:pt idx="9">
                  <c:v>3.5933850845791993E-4</c:v>
                </c:pt>
                <c:pt idx="10">
                  <c:v>2.5611345520587425E-5</c:v>
                </c:pt>
                <c:pt idx="11">
                  <c:v>2.3827530558136762E-5</c:v>
                </c:pt>
                <c:pt idx="12">
                  <c:v>5.5547089305753563E-5</c:v>
                </c:pt>
                <c:pt idx="13">
                  <c:v>2.2173657068211015E-4</c:v>
                </c:pt>
                <c:pt idx="14">
                  <c:v>8.7195476352200905E-4</c:v>
                </c:pt>
                <c:pt idx="15">
                  <c:v>3.4121714611924474E-3</c:v>
                </c:pt>
                <c:pt idx="16">
                  <c:v>1.5770574251926506E-2</c:v>
                </c:pt>
                <c:pt idx="17">
                  <c:v>0.12969642376644033</c:v>
                </c:pt>
                <c:pt idx="18">
                  <c:v>0.10735517677298016</c:v>
                </c:pt>
                <c:pt idx="19">
                  <c:v>8.5020756238750689E-2</c:v>
                </c:pt>
                <c:pt idx="20">
                  <c:v>7.7295746773606677E-2</c:v>
                </c:pt>
                <c:pt idx="21">
                  <c:v>6.956617190537577E-2</c:v>
                </c:pt>
                <c:pt idx="22">
                  <c:v>6.1836629186646092E-2</c:v>
                </c:pt>
                <c:pt idx="23">
                  <c:v>5.7971724509821784E-2</c:v>
                </c:pt>
                <c:pt idx="24">
                  <c:v>5.0242300979577638E-2</c:v>
                </c:pt>
                <c:pt idx="25">
                  <c:v>4.251256011413216E-2</c:v>
                </c:pt>
                <c:pt idx="26">
                  <c:v>3.4783170444994849E-2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93-4843-B8AB-B90F4EB86BA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Pivot!$P$8:$P$34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xVal>
          <c:yVal>
            <c:numRef>
              <c:f>Pivot!$R$8:$R$34</c:f>
              <c:numCache>
                <c:formatCode>0.00%</c:formatCode>
                <c:ptCount val="27"/>
                <c:pt idx="0">
                  <c:v>3.6862071838300761E-3</c:v>
                </c:pt>
                <c:pt idx="1">
                  <c:v>5.0654895455178187E-3</c:v>
                </c:pt>
                <c:pt idx="2">
                  <c:v>7.5293190238505142E-2</c:v>
                </c:pt>
                <c:pt idx="3">
                  <c:v>0.10157841357150638</c:v>
                </c:pt>
                <c:pt idx="4">
                  <c:v>8.3012931561955439E-2</c:v>
                </c:pt>
                <c:pt idx="5">
                  <c:v>7.2315338838358389E-2</c:v>
                </c:pt>
                <c:pt idx="6">
                  <c:v>6.2310420854528779E-2</c:v>
                </c:pt>
                <c:pt idx="7">
                  <c:v>6.0047293201720198E-2</c:v>
                </c:pt>
                <c:pt idx="8">
                  <c:v>5.7845045246903787E-2</c:v>
                </c:pt>
                <c:pt idx="9">
                  <c:v>5.6968528462183941E-2</c:v>
                </c:pt>
                <c:pt idx="10">
                  <c:v>5.6776400871788292E-2</c:v>
                </c:pt>
                <c:pt idx="11">
                  <c:v>5.6755615851203034E-2</c:v>
                </c:pt>
                <c:pt idx="12">
                  <c:v>5.6667220215070709E-2</c:v>
                </c:pt>
                <c:pt idx="13">
                  <c:v>5.6102856298207007E-2</c:v>
                </c:pt>
                <c:pt idx="14">
                  <c:v>4.955129498263252E-2</c:v>
                </c:pt>
                <c:pt idx="15">
                  <c:v>3.9265506716198564E-2</c:v>
                </c:pt>
                <c:pt idx="16">
                  <c:v>3.2919875952778919E-2</c:v>
                </c:pt>
                <c:pt idx="17">
                  <c:v>2.3380824220042864E-2</c:v>
                </c:pt>
                <c:pt idx="18">
                  <c:v>1.788471427874928E-2</c:v>
                </c:pt>
                <c:pt idx="19">
                  <c:v>1.3265350606115266E-2</c:v>
                </c:pt>
                <c:pt idx="20">
                  <c:v>9.2980705179378873E-3</c:v>
                </c:pt>
                <c:pt idx="21">
                  <c:v>5.9052897512054062E-3</c:v>
                </c:pt>
                <c:pt idx="22">
                  <c:v>3.1459591046448451E-3</c:v>
                </c:pt>
                <c:pt idx="23">
                  <c:v>9.5816192841553381E-4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93-4843-B8AB-B90F4EB86BA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Pivot!$P$8:$P$34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xVal>
          <c:yVal>
            <c:numRef>
              <c:f>Pivot!$S$8:$S$34</c:f>
              <c:numCache>
                <c:formatCode>0.00%</c:formatCode>
                <c:ptCount val="27"/>
                <c:pt idx="0">
                  <c:v>3.1897270019362787E-3</c:v>
                </c:pt>
                <c:pt idx="1">
                  <c:v>4.3832394587696435E-3</c:v>
                </c:pt>
                <c:pt idx="2">
                  <c:v>7.8468948949323464E-2</c:v>
                </c:pt>
                <c:pt idx="3">
                  <c:v>0.11453061378444747</c:v>
                </c:pt>
                <c:pt idx="4">
                  <c:v>9.8308714053249077E-2</c:v>
                </c:pt>
                <c:pt idx="5">
                  <c:v>8.8641574077550148E-2</c:v>
                </c:pt>
                <c:pt idx="6">
                  <c:v>7.9375485988345526E-2</c:v>
                </c:pt>
                <c:pt idx="7">
                  <c:v>7.6265263485899792E-2</c:v>
                </c:pt>
                <c:pt idx="8">
                  <c:v>7.2780355222464371E-2</c:v>
                </c:pt>
                <c:pt idx="9">
                  <c:v>6.9838420113778721E-2</c:v>
                </c:pt>
                <c:pt idx="10">
                  <c:v>6.6641499726320955E-2</c:v>
                </c:pt>
                <c:pt idx="11">
                  <c:v>6.2578843460636052E-2</c:v>
                </c:pt>
                <c:pt idx="12">
                  <c:v>5.7396354205746056E-2</c:v>
                </c:pt>
                <c:pt idx="13">
                  <c:v>5.0468655219104534E-2</c:v>
                </c:pt>
                <c:pt idx="14">
                  <c:v>3.8166032869901646E-2</c:v>
                </c:pt>
                <c:pt idx="15">
                  <c:v>2.3896876221912725E-2</c:v>
                </c:pt>
                <c:pt idx="16">
                  <c:v>1.2451809095898471E-2</c:v>
                </c:pt>
                <c:pt idx="17">
                  <c:v>1.5875120236832645E-3</c:v>
                </c:pt>
                <c:pt idx="18">
                  <c:v>7.3175794683956648E-4</c:v>
                </c:pt>
                <c:pt idx="19">
                  <c:v>2.5225537120293406E-4</c:v>
                </c:pt>
                <c:pt idx="20">
                  <c:v>4.6061722989373676E-5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93-4843-B8AB-B90F4EB86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84096"/>
        <c:axId val="87727056"/>
      </c:scatterChart>
      <c:valAx>
        <c:axId val="8708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727056"/>
        <c:crosses val="autoZero"/>
        <c:crossBetween val="midCat"/>
      </c:valAx>
      <c:valAx>
        <c:axId val="877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08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260047</xdr:colOff>
      <xdr:row>101</xdr:row>
      <xdr:rowOff>102508</xdr:rowOff>
    </xdr:from>
    <xdr:to>
      <xdr:col>8</xdr:col>
      <xdr:colOff>642840</xdr:colOff>
      <xdr:row>119</xdr:row>
      <xdr:rowOff>62717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E62FC7D-2FFD-AD7F-7F28-007883477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73779</xdr:colOff>
      <xdr:row>6</xdr:row>
      <xdr:rowOff>127909</xdr:rowOff>
    </xdr:from>
    <xdr:to>
      <xdr:col>66</xdr:col>
      <xdr:colOff>33864</xdr:colOff>
      <xdr:row>40</xdr:row>
      <xdr:rowOff>16934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12B84A1-F9F1-164F-8FA2-FFC86C84D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285750</xdr:colOff>
      <xdr:row>10</xdr:row>
      <xdr:rowOff>12700</xdr:rowOff>
    </xdr:from>
    <xdr:to>
      <xdr:col>25</xdr:col>
      <xdr:colOff>787400</xdr:colOff>
      <xdr:row>32</xdr:row>
      <xdr:rowOff>25400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7071B07-27C1-1FAB-EB7E-55565184D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RO ALESSIO" refreshedDate="46009.400001851849" createdVersion="8" refreshedVersion="8" minRefreshableVersion="3" recordCount="68" xr:uid="{F7D22445-D739-4046-9E23-57B1F81533D7}">
  <cacheSource type="worksheet">
    <worksheetSource name="Tabella4"/>
  </cacheSource>
  <cacheFields count="5">
    <cacheField name="Name" numFmtId="0">
      <sharedItems/>
    </cacheField>
    <cacheField name="NC" numFmtId="0">
      <sharedItems containsSemiMixedTypes="0" containsString="0" containsNumber="1" containsInteger="1" minValue="1" maxValue="27" count="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</sharedItems>
    </cacheField>
    <cacheField name="Inlet" numFmtId="11">
      <sharedItems containsSemiMixedTypes="0" containsString="0" containsNumber="1" minValue="0" maxValue="3.8067033145851602E-2"/>
    </cacheField>
    <cacheField name="Primary" numFmtId="11">
      <sharedItems containsSemiMixedTypes="0" containsString="0" containsNumber="1" minValue="0" maxValue="5.1451006160106345E-2"/>
    </cacheField>
    <cacheField name="Secondary" numFmtId="11">
      <sharedItems containsSemiMixedTypes="0" containsString="0" containsNumber="1" minValue="0" maxValue="6.705369399231471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CH4"/>
    <x v="0"/>
    <n v="7.1114470114353595E-4"/>
    <n v="7.1114470114353595E-4"/>
    <n v="7.1114470114353595E-4"/>
  </r>
  <r>
    <s v="MEOH"/>
    <x v="0"/>
    <n v="1.15915726277396E-3"/>
    <n v="1.15915726277396E-3"/>
    <n v="1.15915726277396E-3"/>
  </r>
  <r>
    <s v="C2"/>
    <x v="1"/>
    <n v="2.5701200645325E-3"/>
    <n v="2.5701200645325E-3"/>
    <n v="2.5701200645325E-3"/>
  </r>
  <r>
    <s v="C2-O"/>
    <x v="1"/>
    <n v="0"/>
    <n v="0"/>
    <n v="0"/>
  </r>
  <r>
    <s v="C3"/>
    <x v="2"/>
    <n v="2.3793870260887098E-2"/>
    <n v="3.8202128189215881E-2"/>
    <n v="4.6010387801789364E-2"/>
  </r>
  <r>
    <s v="C3-O"/>
    <x v="2"/>
    <n v="2.8280897263054401E-9"/>
    <n v="1.1449167841188555E-8"/>
    <n v="1.6611306944078475E-8"/>
  </r>
  <r>
    <s v="C4"/>
    <x v="3"/>
    <n v="2.26564734726744E-2"/>
    <n v="5.1451006160106345E-2"/>
    <n v="6.7053693992314714E-2"/>
  </r>
  <r>
    <s v="C4-IP"/>
    <x v="3"/>
    <n v="6.5688059618994703E-5"/>
    <n v="8.7688471000871231E-5"/>
    <n v="1.0153018821769684E-4"/>
  </r>
  <r>
    <s v="C4-O"/>
    <x v="3"/>
    <n v="8.1154749464936498E-23"/>
    <n v="8.1154749464936498E-23"/>
    <n v="8.1154749464936498E-23"/>
  </r>
  <r>
    <s v="C5"/>
    <x v="4"/>
    <n v="1.24311871132496E-2"/>
    <n v="4.1243721045750262E-2"/>
    <n v="5.6768236395870496E-2"/>
  </r>
  <r>
    <s v="C5-IP"/>
    <x v="4"/>
    <n v="7.9740251659888401E-4"/>
    <n v="7.9740251659888401E-4"/>
    <n v="7.9740251659888401E-4"/>
  </r>
  <r>
    <s v="C5-O"/>
    <x v="4"/>
    <n v="4.9454120758277598E-20"/>
    <n v="4.9454120758277598E-20"/>
    <n v="4.9454120758277598E-20"/>
  </r>
  <r>
    <s v="C5-N"/>
    <x v="4"/>
    <n v="7.7846204715078602E-5"/>
    <n v="7.7846204715078602E-5"/>
    <n v="7.7846204715078602E-5"/>
  </r>
  <r>
    <s v="C6-IP"/>
    <x v="5"/>
    <n v="2.94082363397296E-3"/>
    <n v="2.94082363397296E-3"/>
    <n v="2.94082363397296E-3"/>
  </r>
  <r>
    <s v="C6"/>
    <x v="5"/>
    <n v="4.7346598724411996E-3"/>
    <n v="3.3540807671867665E-2"/>
    <n v="4.8824706374951239E-2"/>
  </r>
  <r>
    <s v="C6-O"/>
    <x v="5"/>
    <n v="1.63131923146749E-17"/>
    <n v="1.63131923146749E-17"/>
    <n v="1.63131923146749E-17"/>
  </r>
  <r>
    <s v="C6-A"/>
    <x v="5"/>
    <n v="4.3282018242143298E-19"/>
    <n v="4.3282018242143298E-19"/>
    <n v="4.3282018242143298E-19"/>
  </r>
  <r>
    <s v="C6-N"/>
    <x v="5"/>
    <n v="2.0961080448768401E-4"/>
    <n v="2.0961080448768401E-4"/>
    <n v="2.0961080448768401E-4"/>
  </r>
  <r>
    <s v="C7"/>
    <x v="6"/>
    <n v="1.1693698851101501E-3"/>
    <n v="2.9972459814883948E-2"/>
    <n v="4.4899451128042292E-2"/>
  </r>
  <r>
    <s v="C7-IP"/>
    <x v="6"/>
    <n v="1.44797760949513E-3"/>
    <n v="1.44797760949513E-3"/>
    <n v="1.44797760949513E-3"/>
  </r>
  <r>
    <s v="C7-O"/>
    <x v="6"/>
    <n v="1.61549255798959E-15"/>
    <n v="1.61549255798959E-15"/>
    <n v="1.61549255798959E-15"/>
  </r>
  <r>
    <s v="C7-A"/>
    <x v="6"/>
    <n v="1.1090436396881701E-15"/>
    <n v="1.1090436396881701E-15"/>
    <n v="1.1090436396881701E-15"/>
  </r>
  <r>
    <s v="C7-N"/>
    <x v="6"/>
    <n v="1.9452524184119399E-4"/>
    <n v="1.9452524184119399E-4"/>
    <n v="1.9452524184119399E-4"/>
  </r>
  <r>
    <s v="C8"/>
    <x v="7"/>
    <n v="7.8531933495412805E-4"/>
    <n v="2.9582865180567526E-2"/>
    <n v="4.3837612106098156E-2"/>
  </r>
  <r>
    <s v="C8-IP"/>
    <x v="7"/>
    <n v="5.23018392722026E-4"/>
    <n v="5.1982099576249085E-4"/>
    <n v="5.1664314562474838E-4"/>
  </r>
  <r>
    <s v="C8-O"/>
    <x v="7"/>
    <n v="6.7110389592260004E-13"/>
    <n v="6.6700119975318329E-13"/>
    <n v="6.6292358482075656E-13"/>
  </r>
  <r>
    <s v="C8-N"/>
    <x v="7"/>
    <n v="3.6401436079514898E-4"/>
    <n v="3.6401436079514898E-4"/>
    <n v="3.6401436079514898E-4"/>
  </r>
  <r>
    <s v="C8-A"/>
    <x v="7"/>
    <n v="3.55320707761801E-12"/>
    <n v="3.55320707761801E-12"/>
    <n v="3.55320707761801E-12"/>
  </r>
  <r>
    <s v="C9"/>
    <x v="8"/>
    <n v="1.3366580259489399E-4"/>
    <n v="2.8933820163736929E-2"/>
    <n v="4.2264426957971862E-2"/>
  </r>
  <r>
    <s v="C9-IP"/>
    <x v="8"/>
    <n v="3.3641283729567801E-4"/>
    <n v="3.3128812319603205E-4"/>
    <n v="3.262414759585612E-4"/>
  </r>
  <r>
    <s v="C9-O"/>
    <x v="8"/>
    <n v="2.8889358344335599E-11"/>
    <n v="2.8449274953858978E-11"/>
    <n v="2.8015895533344755E-11"/>
  </r>
  <r>
    <s v="C9-N"/>
    <x v="8"/>
    <n v="8.4212847972979201E-5"/>
    <n v="8.4212847972979201E-5"/>
    <n v="8.4212847972979201E-5"/>
  </r>
  <r>
    <s v="C9-A"/>
    <x v="8"/>
    <n v="6.2978783674192802E-9"/>
    <n v="6.2978783674192802E-9"/>
    <n v="6.2978783674192802E-9"/>
  </r>
  <r>
    <s v="C10"/>
    <x v="9"/>
    <n v="5.31262659394946E-5"/>
    <n v="2.8853410545116684E-2"/>
    <n v="4.0899805931452413E-2"/>
  </r>
  <r>
    <s v="C10-IP"/>
    <x v="9"/>
    <n v="3.98999016549474E-5"/>
    <n v="3.8749231207488604E-5"/>
    <n v="3.7631744863843029E-5"/>
  </r>
  <r>
    <s v="C10-O"/>
    <x v="9"/>
    <n v="2.9005430040026501E-8"/>
    <n v="2.8168944490474935E-8"/>
    <n v="2.7356582288642849E-8"/>
  </r>
  <r>
    <s v="C10-N"/>
    <x v="9"/>
    <n v="1.2093808049619699E-5"/>
    <n v="1.2093808049619699E-5"/>
    <n v="1.2093808049619699E-5"/>
  </r>
  <r>
    <s v="C10-A"/>
    <x v="9"/>
    <n v="3.2000962591801201E-7"/>
    <n v="3.2000962591801201E-7"/>
    <n v="3.2000962591801201E-7"/>
  </r>
  <r>
    <s v="C11"/>
    <x v="10"/>
    <n v="6.36753582062744E-6"/>
    <n v="2.8806019105484783E-2"/>
    <n v="3.9074290219924937E-2"/>
  </r>
  <r>
    <s v="C11-IP"/>
    <x v="10"/>
    <n v="6.9458670121346895E-7"/>
    <n v="6.6045750165336401E-7"/>
    <n v="6.2800527382418701E-7"/>
  </r>
  <r>
    <s v="C11-A"/>
    <x v="10"/>
    <n v="1.65554693590926E-7"/>
    <n v="1.65554693590926E-7"/>
    <n v="1.65554693590926E-7"/>
  </r>
  <r>
    <s v="C11-O"/>
    <x v="10"/>
    <n v="2.8947638471494402E-7"/>
    <n v="2.7525267832290686E-7"/>
    <n v="2.7525267832290686E-7"/>
  </r>
  <r>
    <s v="C12-IP"/>
    <x v="11"/>
    <n v="1.15040433650954E-6"/>
    <n v="1.0590442559488057E-6"/>
    <n v="9.7493959337909587E-7"/>
  </r>
  <r>
    <s v="C12"/>
    <x v="11"/>
    <n v="5.0522337157809797E-6"/>
    <n v="2.8794735851316984E-2"/>
    <n v="3.6691469381432883E-2"/>
  </r>
  <r>
    <s v="C12-O"/>
    <x v="11"/>
    <n v="1.42872677173312E-7"/>
    <n v="1.3152635407435234E-7"/>
    <n v="1.2108110632732872E-7"/>
  </r>
  <r>
    <s v="C12-A"/>
    <x v="11"/>
    <n v="5.4930049786511697E-7"/>
    <n v="5.4930049786511697E-7"/>
    <n v="5.4930049786511697E-7"/>
  </r>
  <r>
    <s v="C12-N"/>
    <x v="11"/>
    <n v="9.8777101473426203E-8"/>
    <n v="9.8777101473426203E-8"/>
    <n v="9.8777101473426203E-8"/>
  </r>
  <r>
    <s v="C13-IP"/>
    <x v="12"/>
    <n v="1.7767883216190999E-6"/>
    <n v="1.5554226230979695E-6"/>
    <n v="1.3616363339445764E-6"/>
  </r>
  <r>
    <s v="C13-O"/>
    <x v="12"/>
    <n v="2.06538218262178E-7"/>
    <n v="1.8080612828803075E-7"/>
    <n v="1.5827993628283517E-7"/>
  </r>
  <r>
    <s v="C13"/>
    <x v="12"/>
    <n v="1.43202293204218E-5"/>
    <n v="2.8749988232886357E-2"/>
    <n v="3.3652931993735452E-2"/>
  </r>
  <r>
    <s v="C14-IP"/>
    <x v="13"/>
    <n v="1.73939982511811E-6"/>
    <n v="1.4054765706094218E-6"/>
    <n v="1.135658611669625E-6"/>
  </r>
  <r>
    <s v="C14"/>
    <x v="13"/>
    <n v="6.3342220320428803E-5"/>
    <n v="2.8463972914584565E-2"/>
    <n v="2.9591247926336852E-2"/>
  </r>
  <r>
    <s v="C15-IP"/>
    <x v="14"/>
    <n v="1.0679308080105E-5"/>
    <n v="7.55552403588452E-6"/>
    <n v="5.3454721063040477E-6"/>
  </r>
  <r>
    <s v="C15"/>
    <x v="14"/>
    <n v="2.4524703067885402E-4"/>
    <n v="2.5133702061051841E-2"/>
    <n v="2.2373374145022471E-2"/>
  </r>
  <r>
    <s v="C16-IP"/>
    <x v="15"/>
    <n v="7.2695341019647397E-5"/>
    <n v="4.0528804653740105E-5"/>
    <n v="2.2595450872389248E-5"/>
  </r>
  <r>
    <s v="C16"/>
    <x v="15"/>
    <n v="9.2880678479418603E-4"/>
    <n v="1.9881941817091731E-2"/>
    <n v="1.3989379399077337E-2"/>
  </r>
  <r>
    <s v="C17-IP"/>
    <x v="16"/>
    <n v="6.1810605848908699E-5"/>
    <n v="2.0631011633141722E-5"/>
    <n v="6.8861748750250102E-6"/>
  </r>
  <r>
    <s v="C17"/>
    <x v="16"/>
    <n v="4.5669906775103099E-3"/>
    <n v="1.6682203521511473E-2"/>
    <n v="7.2942537008095108E-3"/>
  </r>
  <r>
    <s v="C18"/>
    <x v="17"/>
    <n v="3.8067033145851602E-2"/>
    <n v="1.1862925569831919E-2"/>
    <n v="9.3084043049297997E-4"/>
  </r>
  <r>
    <s v="C19"/>
    <x v="18"/>
    <n v="3.1509682024503501E-2"/>
    <n v="9.0743180107670258E-3"/>
    <n v="4.2906754222398386E-4"/>
  </r>
  <r>
    <s v="C20"/>
    <x v="19"/>
    <n v="2.4954334528562001E-2"/>
    <n v="6.7305525851894732E-3"/>
    <n v="1.4791037473839888E-4"/>
  </r>
  <r>
    <s v="C21"/>
    <x v="20"/>
    <n v="2.2686976780200201E-2"/>
    <n v="4.7176402961359529E-3"/>
    <n v="2.7008371223039941E-5"/>
  </r>
  <r>
    <s v="C22"/>
    <x v="21"/>
    <n v="2.0418279046158099E-2"/>
    <n v="2.9962165630922554E-3"/>
    <n v="0"/>
  </r>
  <r>
    <s v="C23"/>
    <x v="22"/>
    <n v="1.81495907482754E-2"/>
    <n v="1.596191748969423E-3"/>
    <n v="0"/>
  </r>
  <r>
    <s v="C24"/>
    <x v="23"/>
    <n v="1.7015207469495301E-2"/>
    <n v="4.8615068201471898E-4"/>
    <n v="0"/>
  </r>
  <r>
    <s v="C25"/>
    <x v="24"/>
    <n v="1.47465541544741E-2"/>
    <n v="0"/>
    <n v="0"/>
  </r>
  <r>
    <s v="C26"/>
    <x v="25"/>
    <n v="1.2477807698799699E-2"/>
    <n v="0"/>
    <n v="0"/>
  </r>
  <r>
    <s v="C27"/>
    <x v="26"/>
    <n v="1.0209164322309099E-2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862BD-75CB-2747-B5D5-7068357C4E77}" name="Tabella pivot1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J7:M35" firstHeaderRow="0" firstDataRow="1" firstDataCol="1"/>
  <pivotFields count="5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numFmtId="11" showAll="0"/>
    <pivotField dataField="1" numFmtId="11" showAll="0"/>
    <pivotField dataField="1" numFmtId="11"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Inlet" fld="2" showDataAs="percentOfCol" baseField="0" baseItem="0" numFmtId="10"/>
    <dataField name="Somma di Primary" fld="3" showDataAs="percentOfCol" baseField="0" baseItem="0" numFmtId="10"/>
    <dataField name="Somma di Secondary" fld="4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4F7511-2698-6044-88D1-51992C45E5B8}" name="Tabella4" displayName="Tabella4" ref="C3:G71" totalsRowShown="0">
  <autoFilter ref="C3:G71" xr:uid="{AA4F7511-2698-6044-88D1-51992C45E5B8}"/>
  <tableColumns count="5">
    <tableColumn id="1" xr3:uid="{20DAE762-B3A8-6748-97D5-8525D7F8FD24}" name="Name"/>
    <tableColumn id="2" xr3:uid="{637341EB-F529-B94A-BC20-F022584753B3}" name="NC" dataDxfId="3"/>
    <tableColumn id="3" xr3:uid="{9DC44028-708F-8043-B0F9-DD96992C7A94}" name="Inlet" dataDxfId="2">
      <calculatedColumnFormula>+Inlet!D6</calculatedColumnFormula>
    </tableColumn>
    <tableColumn id="4" xr3:uid="{F0529DC3-B563-1449-8F84-F142FFB37FC2}" name="Primary" dataDxfId="1">
      <calculatedColumnFormula>+Secondary!B2</calculatedColumnFormula>
    </tableColumn>
    <tableColumn id="5" xr3:uid="{ACC51A91-4C3F-7C4F-862A-39236A46F009}" name="Secondary" dataDxfId="0">
      <calculatedColumnFormula>+Outlet!D6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C68F-1B8B-7B40-94E4-0A00BC5EB388}">
  <dimension ref="B2:N97"/>
  <sheetViews>
    <sheetView zoomScale="75" workbookViewId="0">
      <selection activeCell="J11" sqref="J11"/>
    </sheetView>
  </sheetViews>
  <sheetFormatPr defaultColWidth="11" defaultRowHeight="15.75" x14ac:dyDescent="0.25"/>
  <cols>
    <col min="4" max="4" width="20.875" bestFit="1" customWidth="1"/>
  </cols>
  <sheetData>
    <row r="2" spans="2:14" x14ac:dyDescent="0.25">
      <c r="B2" t="s">
        <v>93</v>
      </c>
      <c r="C2" t="s">
        <v>97</v>
      </c>
      <c r="D2">
        <v>8.6674785211695901E-2</v>
      </c>
      <c r="F2" s="10">
        <f>+D2/SUM($D$2:$D$73)</f>
        <v>1.3943353279691982E-2</v>
      </c>
      <c r="N2">
        <v>1.52099389042742E-2</v>
      </c>
    </row>
    <row r="3" spans="2:14" x14ac:dyDescent="0.25">
      <c r="B3" t="s">
        <v>94</v>
      </c>
      <c r="C3" t="s">
        <v>97</v>
      </c>
      <c r="D3">
        <v>6.0443606911377099E-3</v>
      </c>
      <c r="F3" s="10">
        <f t="shared" ref="F3:F66" si="0">+D3/SUM($D$2:$D$73)</f>
        <v>9.7235495029578351E-4</v>
      </c>
      <c r="N3">
        <v>3.7286654227742101E-3</v>
      </c>
    </row>
    <row r="4" spans="2:14" x14ac:dyDescent="0.25">
      <c r="B4" t="s">
        <v>95</v>
      </c>
      <c r="C4" t="s">
        <v>97</v>
      </c>
      <c r="D4">
        <v>5.8299314775655198</v>
      </c>
      <c r="F4" s="10">
        <f t="shared" si="0"/>
        <v>0.93785977074591698</v>
      </c>
      <c r="N4">
        <v>5.94540454937842</v>
      </c>
    </row>
    <row r="5" spans="2:14" x14ac:dyDescent="0.25">
      <c r="B5" t="s">
        <v>3</v>
      </c>
      <c r="C5" t="s">
        <v>97</v>
      </c>
      <c r="D5" s="5">
        <v>4.8714784776234199E-5</v>
      </c>
      <c r="F5" s="10">
        <f t="shared" si="0"/>
        <v>7.8367365136260688E-6</v>
      </c>
      <c r="N5" s="5">
        <v>2.1638773442802702E-6</v>
      </c>
    </row>
    <row r="6" spans="2:14" x14ac:dyDescent="0.25">
      <c r="B6" t="s">
        <v>1</v>
      </c>
      <c r="C6" t="s">
        <v>97</v>
      </c>
      <c r="D6" s="5">
        <v>7.1114470114353595E-4</v>
      </c>
      <c r="F6" s="10">
        <f>+D6/SUM($D$2:$D$73)</f>
        <v>1.1440168875881178E-4</v>
      </c>
      <c r="G6" s="9">
        <f>+D6/SUM($D$6:$D$73)</f>
        <v>2.4229081411568263E-3</v>
      </c>
      <c r="N6" s="5">
        <v>4.7211617270082202E-5</v>
      </c>
    </row>
    <row r="7" spans="2:14" x14ac:dyDescent="0.25">
      <c r="B7" t="s">
        <v>2</v>
      </c>
      <c r="C7" t="s">
        <v>97</v>
      </c>
      <c r="D7">
        <v>1.15915726277396E-3</v>
      </c>
      <c r="F7" s="10">
        <f t="shared" si="0"/>
        <v>1.8647336918231096E-4</v>
      </c>
      <c r="G7" s="9">
        <f t="shared" ref="G7:G70" si="1">+D7/SUM($D$6:$D$73)</f>
        <v>3.9493109691176934E-3</v>
      </c>
      <c r="N7">
        <v>6.7118241360494097E-4</v>
      </c>
    </row>
    <row r="8" spans="2:14" x14ac:dyDescent="0.25">
      <c r="B8" t="s">
        <v>4</v>
      </c>
      <c r="C8" t="s">
        <v>97</v>
      </c>
      <c r="D8">
        <v>2.5701200645325E-3</v>
      </c>
      <c r="F8" s="10">
        <f t="shared" si="0"/>
        <v>4.134546390103506E-4</v>
      </c>
      <c r="G8" s="9">
        <f t="shared" si="1"/>
        <v>8.7565369158947356E-3</v>
      </c>
      <c r="N8">
        <v>5.2042265742511498E-4</v>
      </c>
    </row>
    <row r="9" spans="2:14" x14ac:dyDescent="0.25">
      <c r="B9" t="s">
        <v>5</v>
      </c>
      <c r="C9" t="s">
        <v>97</v>
      </c>
      <c r="D9">
        <v>0</v>
      </c>
      <c r="F9" s="10">
        <f t="shared" si="0"/>
        <v>0</v>
      </c>
      <c r="G9" s="9">
        <f t="shared" si="1"/>
        <v>0</v>
      </c>
      <c r="N9">
        <v>0</v>
      </c>
    </row>
    <row r="10" spans="2:14" x14ac:dyDescent="0.25">
      <c r="B10" t="s">
        <v>6</v>
      </c>
      <c r="C10" t="s">
        <v>97</v>
      </c>
      <c r="D10">
        <v>2.3793870260887098E-2</v>
      </c>
      <c r="F10" s="10">
        <f t="shared" si="0"/>
        <v>3.827714578448555E-3</v>
      </c>
      <c r="G10" s="9">
        <f t="shared" si="1"/>
        <v>8.1066992233830362E-2</v>
      </c>
      <c r="N10">
        <v>6.6226843020797E-3</v>
      </c>
    </row>
    <row r="11" spans="2:14" x14ac:dyDescent="0.25">
      <c r="B11" t="s">
        <v>7</v>
      </c>
      <c r="C11" t="s">
        <v>97</v>
      </c>
      <c r="D11" s="5">
        <v>2.8280897263054401E-9</v>
      </c>
      <c r="F11" s="10">
        <f t="shared" si="0"/>
        <v>4.5495416070812553E-10</v>
      </c>
      <c r="G11" s="9">
        <f t="shared" si="1"/>
        <v>9.635453390525085E-9</v>
      </c>
      <c r="N11" s="5">
        <v>7.1638573419931302E-10</v>
      </c>
    </row>
    <row r="12" spans="2:14" x14ac:dyDescent="0.25">
      <c r="B12" t="s">
        <v>8</v>
      </c>
      <c r="C12" t="s">
        <v>97</v>
      </c>
      <c r="D12">
        <v>2.26564734726744E-2</v>
      </c>
      <c r="F12" s="10">
        <f t="shared" si="0"/>
        <v>3.6447418119340252E-3</v>
      </c>
      <c r="G12" s="9">
        <f t="shared" si="1"/>
        <v>7.7191820368730651E-2</v>
      </c>
      <c r="N12">
        <v>1.03661201043437E-2</v>
      </c>
    </row>
    <row r="13" spans="2:14" x14ac:dyDescent="0.25">
      <c r="B13" t="s">
        <v>9</v>
      </c>
      <c r="C13" t="s">
        <v>97</v>
      </c>
      <c r="D13" s="5">
        <v>6.5688059618994703E-5</v>
      </c>
      <c r="F13" s="10">
        <f t="shared" si="0"/>
        <v>1.0567223435144077E-5</v>
      </c>
      <c r="G13" s="9">
        <f t="shared" si="1"/>
        <v>2.2380274249633126E-4</v>
      </c>
      <c r="N13" s="5">
        <v>3.3472162121052003E-5</v>
      </c>
    </row>
    <row r="14" spans="2:14" x14ac:dyDescent="0.25">
      <c r="B14" t="s">
        <v>10</v>
      </c>
      <c r="C14" t="s">
        <v>97</v>
      </c>
      <c r="D14" s="5">
        <v>8.1154749464936498E-23</v>
      </c>
      <c r="F14" s="10">
        <f t="shared" si="0"/>
        <v>1.3055346365736473E-23</v>
      </c>
      <c r="G14" s="9">
        <f t="shared" si="1"/>
        <v>2.7649858440335865E-22</v>
      </c>
      <c r="N14" s="5">
        <v>3.9540471843395002E-23</v>
      </c>
    </row>
    <row r="15" spans="2:14" x14ac:dyDescent="0.25">
      <c r="B15" t="s">
        <v>11</v>
      </c>
      <c r="C15" t="s">
        <v>97</v>
      </c>
      <c r="D15">
        <v>1.24311871132496E-2</v>
      </c>
      <c r="F15" s="10">
        <f t="shared" si="0"/>
        <v>1.999802286012519E-3</v>
      </c>
      <c r="G15" s="9">
        <f t="shared" si="1"/>
        <v>4.2353721278529217E-2</v>
      </c>
      <c r="N15">
        <v>8.1042985212580205E-3</v>
      </c>
    </row>
    <row r="16" spans="2:14" x14ac:dyDescent="0.25">
      <c r="B16" t="s">
        <v>96</v>
      </c>
      <c r="C16" t="s">
        <v>97</v>
      </c>
      <c r="D16">
        <v>7.9740251659888401E-4</v>
      </c>
      <c r="F16" s="10">
        <f t="shared" si="0"/>
        <v>1.2827796420721171E-4</v>
      </c>
      <c r="G16" s="9">
        <f t="shared" si="1"/>
        <v>2.7167931451076367E-3</v>
      </c>
      <c r="N16">
        <v>2.9194138897124003E-4</v>
      </c>
    </row>
    <row r="17" spans="2:14" x14ac:dyDescent="0.25">
      <c r="B17" t="s">
        <v>12</v>
      </c>
      <c r="C17" t="s">
        <v>97</v>
      </c>
      <c r="D17" s="5">
        <v>4.9454120758277598E-20</v>
      </c>
      <c r="F17" s="10">
        <f t="shared" si="0"/>
        <v>7.9556733274276921E-21</v>
      </c>
      <c r="G17" s="9">
        <f t="shared" si="1"/>
        <v>1.6849284204228193E-19</v>
      </c>
      <c r="N17" s="5">
        <v>2.6819903246205801E-20</v>
      </c>
    </row>
    <row r="18" spans="2:14" x14ac:dyDescent="0.25">
      <c r="B18" t="s">
        <v>98</v>
      </c>
      <c r="C18" t="s">
        <v>97</v>
      </c>
      <c r="D18" s="5">
        <v>7.7846204715078602E-5</v>
      </c>
      <c r="F18" s="10">
        <f t="shared" si="0"/>
        <v>1.2523101513023372E-5</v>
      </c>
      <c r="G18" s="9">
        <f t="shared" si="1"/>
        <v>2.6522619497695643E-4</v>
      </c>
      <c r="N18" s="5">
        <v>5.0503086454164202E-5</v>
      </c>
    </row>
    <row r="19" spans="2:14" x14ac:dyDescent="0.25">
      <c r="B19" t="s">
        <v>13</v>
      </c>
      <c r="C19" t="s">
        <v>97</v>
      </c>
      <c r="D19">
        <v>2.94082363397296E-3</v>
      </c>
      <c r="F19" s="10">
        <f t="shared" si="0"/>
        <v>4.7308963917939257E-4</v>
      </c>
      <c r="G19" s="9">
        <f t="shared" si="1"/>
        <v>1.0019543860766703E-2</v>
      </c>
      <c r="N19">
        <v>2.3906005494957702E-3</v>
      </c>
    </row>
    <row r="20" spans="2:14" x14ac:dyDescent="0.25">
      <c r="B20" t="s">
        <v>14</v>
      </c>
      <c r="C20" t="s">
        <v>97</v>
      </c>
      <c r="D20">
        <v>4.7346598724411996E-3</v>
      </c>
      <c r="F20" s="10">
        <f t="shared" si="0"/>
        <v>7.6166367299772297E-4</v>
      </c>
      <c r="G20" s="9">
        <f t="shared" si="1"/>
        <v>1.6131240142969034E-2</v>
      </c>
      <c r="N20">
        <v>2.6500938700863598E-3</v>
      </c>
    </row>
    <row r="21" spans="2:14" x14ac:dyDescent="0.25">
      <c r="B21" t="s">
        <v>15</v>
      </c>
      <c r="C21" t="s">
        <v>97</v>
      </c>
      <c r="D21" s="5">
        <v>1.63131923146749E-17</v>
      </c>
      <c r="F21" s="10">
        <f t="shared" si="0"/>
        <v>2.624299593099825E-18</v>
      </c>
      <c r="G21" s="9">
        <f t="shared" si="1"/>
        <v>5.5579921222678231E-17</v>
      </c>
      <c r="N21" s="5">
        <v>6.4063035314008997E-18</v>
      </c>
    </row>
    <row r="22" spans="2:14" x14ac:dyDescent="0.25">
      <c r="B22" t="s">
        <v>99</v>
      </c>
      <c r="C22" t="s">
        <v>97</v>
      </c>
      <c r="D22" s="5">
        <v>4.3282018242143298E-19</v>
      </c>
      <c r="F22" s="10">
        <f t="shared" si="0"/>
        <v>6.9627685783620623E-20</v>
      </c>
      <c r="G22" s="9">
        <f t="shared" si="1"/>
        <v>1.4746415771073973E-18</v>
      </c>
      <c r="N22" s="5">
        <v>1.7247701590080299E-19</v>
      </c>
    </row>
    <row r="23" spans="2:14" x14ac:dyDescent="0.25">
      <c r="B23" t="s">
        <v>100</v>
      </c>
      <c r="C23" t="s">
        <v>97</v>
      </c>
      <c r="D23">
        <v>2.0961080448768401E-4</v>
      </c>
      <c r="F23" s="10">
        <f t="shared" si="0"/>
        <v>3.3720043159885871E-5</v>
      </c>
      <c r="G23" s="9">
        <f t="shared" si="1"/>
        <v>7.1415525398836437E-4</v>
      </c>
      <c r="N23">
        <v>1.4990394317496801E-4</v>
      </c>
    </row>
    <row r="24" spans="2:14" x14ac:dyDescent="0.25">
      <c r="B24" t="s">
        <v>16</v>
      </c>
      <c r="C24" t="s">
        <v>97</v>
      </c>
      <c r="D24">
        <v>1.1693698851101501E-3</v>
      </c>
      <c r="F24" s="10">
        <f t="shared" si="0"/>
        <v>1.8811627144965174E-4</v>
      </c>
      <c r="G24" s="9">
        <f t="shared" si="1"/>
        <v>3.9841059212014614E-3</v>
      </c>
      <c r="N24">
        <v>8.2387548743203295E-4</v>
      </c>
    </row>
    <row r="25" spans="2:14" x14ac:dyDescent="0.25">
      <c r="B25" t="s">
        <v>17</v>
      </c>
      <c r="C25" t="s">
        <v>97</v>
      </c>
      <c r="D25">
        <v>1.44797760949513E-3</v>
      </c>
      <c r="F25" s="10">
        <f t="shared" si="0"/>
        <v>2.3293583365638479E-4</v>
      </c>
      <c r="G25" s="9">
        <f t="shared" si="1"/>
        <v>4.93333738213489E-3</v>
      </c>
      <c r="N25">
        <v>1.07199655047712E-3</v>
      </c>
    </row>
    <row r="26" spans="2:14" x14ac:dyDescent="0.25">
      <c r="B26" t="s">
        <v>18</v>
      </c>
      <c r="C26" t="s">
        <v>97</v>
      </c>
      <c r="D26" s="5">
        <v>1.61549255798959E-15</v>
      </c>
      <c r="F26" s="10">
        <f t="shared" si="0"/>
        <v>2.5988392589316235E-16</v>
      </c>
      <c r="G26" s="9">
        <f t="shared" si="1"/>
        <v>5.5040697968179224E-15</v>
      </c>
      <c r="N26" s="5">
        <v>7.9674531420183096E-16</v>
      </c>
    </row>
    <row r="27" spans="2:14" x14ac:dyDescent="0.25">
      <c r="B27" t="s">
        <v>19</v>
      </c>
      <c r="C27" t="s">
        <v>97</v>
      </c>
      <c r="D27" s="5">
        <v>1.1090436396881701E-15</v>
      </c>
      <c r="F27" s="10">
        <f t="shared" si="0"/>
        <v>1.7841160186320133E-16</v>
      </c>
      <c r="G27" s="9">
        <f t="shared" si="1"/>
        <v>3.7785711672712078E-15</v>
      </c>
      <c r="N27" s="5">
        <v>4.9518935837685497E-16</v>
      </c>
    </row>
    <row r="28" spans="2:14" x14ac:dyDescent="0.25">
      <c r="B28" t="s">
        <v>101</v>
      </c>
      <c r="C28" t="s">
        <v>97</v>
      </c>
      <c r="D28">
        <v>1.9452524184119399E-4</v>
      </c>
      <c r="F28" s="10">
        <f t="shared" si="0"/>
        <v>3.1293232076487287E-5</v>
      </c>
      <c r="G28" s="9">
        <f t="shared" si="1"/>
        <v>6.6275793289275993E-4</v>
      </c>
      <c r="N28">
        <v>1.4269671095117401E-4</v>
      </c>
    </row>
    <row r="29" spans="2:14" x14ac:dyDescent="0.25">
      <c r="B29" t="s">
        <v>20</v>
      </c>
      <c r="C29" t="s">
        <v>97</v>
      </c>
      <c r="D29">
        <v>7.8531933495412805E-4</v>
      </c>
      <c r="F29" s="10">
        <f t="shared" si="0"/>
        <v>1.2633414548295386E-4</v>
      </c>
      <c r="G29" s="9">
        <f t="shared" si="1"/>
        <v>2.6756250971265733E-3</v>
      </c>
      <c r="N29">
        <v>5.6624956704961799E-4</v>
      </c>
    </row>
    <row r="30" spans="2:14" x14ac:dyDescent="0.25">
      <c r="B30" t="s">
        <v>21</v>
      </c>
      <c r="C30" t="s">
        <v>97</v>
      </c>
      <c r="D30">
        <v>5.23018392722026E-4</v>
      </c>
      <c r="F30" s="10">
        <f t="shared" si="0"/>
        <v>8.4137851668028389E-5</v>
      </c>
      <c r="G30" s="9">
        <f t="shared" si="1"/>
        <v>1.7819517176507526E-3</v>
      </c>
      <c r="N30">
        <v>3.8776176921933003E-4</v>
      </c>
    </row>
    <row r="31" spans="2:14" x14ac:dyDescent="0.25">
      <c r="B31" t="s">
        <v>22</v>
      </c>
      <c r="C31" t="s">
        <v>97</v>
      </c>
      <c r="D31" s="5">
        <v>6.7110389592260004E-13</v>
      </c>
      <c r="F31" s="10">
        <f t="shared" si="0"/>
        <v>1.0796033339305879E-13</v>
      </c>
      <c r="G31" s="9">
        <f t="shared" si="1"/>
        <v>2.2864869700614391E-12</v>
      </c>
      <c r="N31" s="5">
        <v>3.3072995427325399E-13</v>
      </c>
    </row>
    <row r="32" spans="2:14" x14ac:dyDescent="0.25">
      <c r="B32" t="s">
        <v>23</v>
      </c>
      <c r="C32" t="s">
        <v>97</v>
      </c>
      <c r="D32">
        <v>3.6401436079514898E-4</v>
      </c>
      <c r="F32" s="10">
        <f t="shared" si="0"/>
        <v>5.8558908672820362E-5</v>
      </c>
      <c r="G32" s="9">
        <f t="shared" si="1"/>
        <v>1.2402164522217949E-3</v>
      </c>
      <c r="N32">
        <v>2.5845622836709602E-4</v>
      </c>
    </row>
    <row r="33" spans="2:14" x14ac:dyDescent="0.25">
      <c r="B33" t="s">
        <v>24</v>
      </c>
      <c r="C33" t="s">
        <v>97</v>
      </c>
      <c r="D33" s="5">
        <v>3.55320707761801E-12</v>
      </c>
      <c r="F33" s="10">
        <f t="shared" si="0"/>
        <v>5.7160362656940768E-13</v>
      </c>
      <c r="G33" s="9">
        <f t="shared" si="1"/>
        <v>1.2105967100272452E-11</v>
      </c>
      <c r="N33" s="5">
        <v>1.63664818963812E-12</v>
      </c>
    </row>
    <row r="34" spans="2:14" x14ac:dyDescent="0.25">
      <c r="B34" t="s">
        <v>25</v>
      </c>
      <c r="C34" t="s">
        <v>97</v>
      </c>
      <c r="D34" s="5">
        <v>1.3366580259489399E-4</v>
      </c>
      <c r="F34" s="10">
        <f t="shared" si="0"/>
        <v>2.1502787718967218E-5</v>
      </c>
      <c r="G34" s="9">
        <f t="shared" si="1"/>
        <v>4.5540655900361222E-4</v>
      </c>
      <c r="N34" s="5">
        <v>9.3246114119913899E-5</v>
      </c>
    </row>
    <row r="35" spans="2:14" x14ac:dyDescent="0.25">
      <c r="B35" t="s">
        <v>26</v>
      </c>
      <c r="C35" t="s">
        <v>97</v>
      </c>
      <c r="D35">
        <v>3.3641283729567801E-4</v>
      </c>
      <c r="F35" s="10">
        <f t="shared" si="0"/>
        <v>5.4118657770890103E-5</v>
      </c>
      <c r="G35" s="9">
        <f t="shared" si="1"/>
        <v>1.1461765811693048E-3</v>
      </c>
      <c r="N35">
        <v>2.4498764717348099E-4</v>
      </c>
    </row>
    <row r="36" spans="2:14" x14ac:dyDescent="0.25">
      <c r="B36" t="s">
        <v>27</v>
      </c>
      <c r="C36" t="s">
        <v>97</v>
      </c>
      <c r="D36" s="5">
        <v>2.8889358344335599E-11</v>
      </c>
      <c r="F36" s="10">
        <f t="shared" si="0"/>
        <v>4.6474246049165041E-12</v>
      </c>
      <c r="G36" s="9">
        <f t="shared" si="1"/>
        <v>9.8427593445795384E-11</v>
      </c>
      <c r="N36" s="5">
        <v>1.3342546240044501E-11</v>
      </c>
    </row>
    <row r="37" spans="2:14" x14ac:dyDescent="0.25">
      <c r="B37" t="s">
        <v>28</v>
      </c>
      <c r="C37" t="s">
        <v>97</v>
      </c>
      <c r="D37" s="5">
        <v>8.4212847972979201E-5</v>
      </c>
      <c r="F37" s="10">
        <f t="shared" si="0"/>
        <v>1.3547301987634968E-5</v>
      </c>
      <c r="G37" s="9">
        <f t="shared" si="1"/>
        <v>2.8691769005046759E-4</v>
      </c>
      <c r="N37" s="5">
        <v>7.2635867073766097E-5</v>
      </c>
    </row>
    <row r="38" spans="2:14" x14ac:dyDescent="0.25">
      <c r="B38" t="s">
        <v>29</v>
      </c>
      <c r="C38" t="s">
        <v>97</v>
      </c>
      <c r="D38" s="5">
        <v>6.2978783674192802E-9</v>
      </c>
      <c r="F38" s="10">
        <f t="shared" si="0"/>
        <v>1.0131382820849175E-9</v>
      </c>
      <c r="G38" s="9">
        <f t="shared" si="1"/>
        <v>2.1457209403231922E-8</v>
      </c>
      <c r="N38" s="5">
        <v>3.3006129466458802E-9</v>
      </c>
    </row>
    <row r="39" spans="2:14" x14ac:dyDescent="0.25">
      <c r="B39" t="s">
        <v>30</v>
      </c>
      <c r="C39" t="s">
        <v>97</v>
      </c>
      <c r="D39" s="5">
        <v>5.31262659394946E-5</v>
      </c>
      <c r="F39" s="10">
        <f t="shared" si="0"/>
        <v>8.5464105000779681E-6</v>
      </c>
      <c r="G39" s="9">
        <f t="shared" si="1"/>
        <v>1.8100403764111501E-4</v>
      </c>
      <c r="N39" s="5">
        <v>4.3590737311418802E-5</v>
      </c>
    </row>
    <row r="40" spans="2:14" x14ac:dyDescent="0.25">
      <c r="B40" t="s">
        <v>31</v>
      </c>
      <c r="C40" t="s">
        <v>97</v>
      </c>
      <c r="D40" s="5">
        <v>3.98999016549474E-5</v>
      </c>
      <c r="F40" s="10">
        <f t="shared" si="0"/>
        <v>6.4186882406583222E-6</v>
      </c>
      <c r="G40" s="9">
        <f t="shared" si="1"/>
        <v>1.3594110508828266E-4</v>
      </c>
      <c r="N40" s="5">
        <v>3.09364616306399E-5</v>
      </c>
    </row>
    <row r="41" spans="2:14" x14ac:dyDescent="0.25">
      <c r="B41" t="s">
        <v>32</v>
      </c>
      <c r="C41" t="s">
        <v>97</v>
      </c>
      <c r="D41" s="5">
        <v>2.9005430040026501E-8</v>
      </c>
      <c r="F41" s="10">
        <f>+D41/SUM($D$2:$D$73)</f>
        <v>4.6660970325993448E-9</v>
      </c>
      <c r="G41" s="9">
        <f t="shared" si="1"/>
        <v>9.8823055938864843E-8</v>
      </c>
      <c r="N41" s="5">
        <v>1.23755496537252E-8</v>
      </c>
    </row>
    <row r="42" spans="2:14" x14ac:dyDescent="0.25">
      <c r="B42" t="s">
        <v>33</v>
      </c>
      <c r="C42" t="s">
        <v>97</v>
      </c>
      <c r="D42" s="5">
        <v>1.2093808049619699E-5</v>
      </c>
      <c r="F42" s="10">
        <f t="shared" si="0"/>
        <v>1.9455281916277011E-6</v>
      </c>
      <c r="G42" s="9">
        <f t="shared" si="1"/>
        <v>4.1204252712412798E-5</v>
      </c>
      <c r="N42" s="5">
        <v>1.2653118615531299E-5</v>
      </c>
    </row>
    <row r="43" spans="2:14" x14ac:dyDescent="0.25">
      <c r="B43" t="s">
        <v>34</v>
      </c>
      <c r="C43" t="s">
        <v>97</v>
      </c>
      <c r="D43" s="5">
        <v>3.2000962591801201E-7</v>
      </c>
      <c r="F43" s="10">
        <f t="shared" si="0"/>
        <v>5.1479876831293416E-8</v>
      </c>
      <c r="G43" s="9">
        <f t="shared" si="1"/>
        <v>1.0902899601705757E-6</v>
      </c>
      <c r="N43" s="5">
        <v>2.4472592052592002E-7</v>
      </c>
    </row>
    <row r="44" spans="2:14" x14ac:dyDescent="0.25">
      <c r="B44" t="s">
        <v>35</v>
      </c>
      <c r="C44" t="s">
        <v>97</v>
      </c>
      <c r="D44" s="5">
        <v>6.36753582062744E-6</v>
      </c>
      <c r="F44" s="10">
        <f t="shared" si="0"/>
        <v>1.0243440609775074E-6</v>
      </c>
      <c r="G44" s="9">
        <f t="shared" si="1"/>
        <v>2.169453608259677E-5</v>
      </c>
      <c r="N44" s="5">
        <v>4.6774426735821001E-6</v>
      </c>
    </row>
    <row r="45" spans="2:14" x14ac:dyDescent="0.25">
      <c r="B45" t="s">
        <v>36</v>
      </c>
      <c r="C45" t="s">
        <v>97</v>
      </c>
      <c r="D45" s="5">
        <v>6.9458670121346895E-7</v>
      </c>
      <c r="F45" s="10">
        <f t="shared" si="0"/>
        <v>1.1173800701946683E-7</v>
      </c>
      <c r="G45" s="9">
        <f t="shared" si="1"/>
        <v>2.3664941472575228E-6</v>
      </c>
      <c r="N45" s="5">
        <v>8.6634522667096404E-7</v>
      </c>
    </row>
    <row r="46" spans="2:14" x14ac:dyDescent="0.25">
      <c r="B46" t="s">
        <v>37</v>
      </c>
      <c r="C46" t="s">
        <v>97</v>
      </c>
      <c r="D46" s="5">
        <v>1.65554693590926E-7</v>
      </c>
      <c r="F46" s="10">
        <f t="shared" si="0"/>
        <v>2.6632746469592002E-8</v>
      </c>
      <c r="G46" s="9">
        <f t="shared" si="1"/>
        <v>5.6405372108259087E-7</v>
      </c>
      <c r="N46" s="5">
        <v>1.33773057924035E-7</v>
      </c>
    </row>
    <row r="47" spans="2:14" x14ac:dyDescent="0.25">
      <c r="B47" t="s">
        <v>102</v>
      </c>
      <c r="C47" t="s">
        <v>97</v>
      </c>
      <c r="D47" s="5">
        <v>2.8947638471494402E-7</v>
      </c>
      <c r="F47" s="10">
        <f t="shared" si="0"/>
        <v>4.6568001159163388E-8</v>
      </c>
      <c r="G47" s="9">
        <f t="shared" si="1"/>
        <v>9.8626156965053339E-7</v>
      </c>
      <c r="N47" s="5">
        <v>2.21141186502629E-7</v>
      </c>
    </row>
    <row r="48" spans="2:14" x14ac:dyDescent="0.25">
      <c r="B48" t="s">
        <v>38</v>
      </c>
      <c r="C48" t="s">
        <v>97</v>
      </c>
      <c r="D48" s="5">
        <v>1.15040433650954E-6</v>
      </c>
      <c r="F48" s="10">
        <f t="shared" si="0"/>
        <v>1.8506528789502748E-7</v>
      </c>
      <c r="G48" s="9">
        <f t="shared" si="1"/>
        <v>3.9194892798455846E-6</v>
      </c>
      <c r="N48" s="5">
        <v>8.67717398136949E-7</v>
      </c>
    </row>
    <row r="49" spans="2:14" x14ac:dyDescent="0.25">
      <c r="B49" t="s">
        <v>39</v>
      </c>
      <c r="C49" t="s">
        <v>97</v>
      </c>
      <c r="D49" s="5">
        <v>5.0522337157809797E-6</v>
      </c>
      <c r="F49" s="10">
        <f t="shared" si="0"/>
        <v>8.1275170603133229E-7</v>
      </c>
      <c r="G49" s="9">
        <f t="shared" si="1"/>
        <v>1.7213231261245132E-5</v>
      </c>
      <c r="N49" s="5">
        <v>3.30029121117328E-6</v>
      </c>
    </row>
    <row r="50" spans="2:14" x14ac:dyDescent="0.25">
      <c r="B50" t="s">
        <v>40</v>
      </c>
      <c r="C50" t="s">
        <v>97</v>
      </c>
      <c r="D50" s="5">
        <v>1.42872677173312E-7</v>
      </c>
      <c r="F50" s="10">
        <f t="shared" si="0"/>
        <v>2.2983895569827802E-8</v>
      </c>
      <c r="G50" s="9">
        <f t="shared" si="1"/>
        <v>4.8677487453037917E-7</v>
      </c>
      <c r="N50" s="5">
        <v>9.9387069544041203E-8</v>
      </c>
    </row>
    <row r="51" spans="2:14" x14ac:dyDescent="0.25">
      <c r="B51" t="s">
        <v>41</v>
      </c>
      <c r="C51" t="s">
        <v>97</v>
      </c>
      <c r="D51" s="5">
        <v>5.4930049786511697E-7</v>
      </c>
      <c r="F51" s="10">
        <f t="shared" si="0"/>
        <v>8.8365848034550411E-8</v>
      </c>
      <c r="G51" s="9">
        <f t="shared" si="1"/>
        <v>1.8714962595921286E-6</v>
      </c>
      <c r="N51" s="5">
        <v>4.19811895295621E-7</v>
      </c>
    </row>
    <row r="52" spans="2:14" x14ac:dyDescent="0.25">
      <c r="B52" t="s">
        <v>103</v>
      </c>
      <c r="C52" t="s">
        <v>97</v>
      </c>
      <c r="D52" s="5">
        <v>9.8777101473426203E-8</v>
      </c>
      <c r="F52" s="10">
        <f t="shared" si="0"/>
        <v>1.5890250185495863E-8</v>
      </c>
      <c r="G52" s="9">
        <f t="shared" si="1"/>
        <v>3.3653888292353716E-7</v>
      </c>
      <c r="N52" s="5">
        <v>7.0009672674421295E-8</v>
      </c>
    </row>
    <row r="53" spans="2:14" x14ac:dyDescent="0.25">
      <c r="B53" t="s">
        <v>42</v>
      </c>
      <c r="C53" t="s">
        <v>97</v>
      </c>
      <c r="D53" s="5">
        <v>1.7767883216190999E-6</v>
      </c>
      <c r="F53" s="10">
        <f t="shared" si="0"/>
        <v>2.8583153925396783E-7</v>
      </c>
      <c r="G53" s="9">
        <f t="shared" si="1"/>
        <v>6.0536131150815949E-6</v>
      </c>
      <c r="N53" s="5">
        <v>1.3318120127572001E-6</v>
      </c>
    </row>
    <row r="54" spans="2:14" x14ac:dyDescent="0.25">
      <c r="B54" t="s">
        <v>43</v>
      </c>
      <c r="C54" t="s">
        <v>97</v>
      </c>
      <c r="D54" s="5">
        <v>2.06538218262178E-7</v>
      </c>
      <c r="F54" s="10">
        <f t="shared" si="0"/>
        <v>3.3225756902124663E-8</v>
      </c>
      <c r="G54" s="9">
        <f t="shared" si="1"/>
        <v>7.036867879107661E-7</v>
      </c>
      <c r="N54" s="5">
        <v>1.60785472524846E-7</v>
      </c>
    </row>
    <row r="55" spans="2:14" x14ac:dyDescent="0.25">
      <c r="B55" t="s">
        <v>44</v>
      </c>
      <c r="C55" t="s">
        <v>97</v>
      </c>
      <c r="D55" s="5">
        <v>1.43202293204218E-5</v>
      </c>
      <c r="F55" s="10">
        <f t="shared" si="0"/>
        <v>2.3036920826877437E-6</v>
      </c>
      <c r="G55" s="9">
        <f t="shared" si="1"/>
        <v>4.8789789402761186E-5</v>
      </c>
      <c r="N55" s="5">
        <v>8.4421857706400597E-6</v>
      </c>
    </row>
    <row r="56" spans="2:14" x14ac:dyDescent="0.25">
      <c r="B56" t="s">
        <v>45</v>
      </c>
      <c r="C56" t="s">
        <v>97</v>
      </c>
      <c r="D56" s="5">
        <v>1.73939982511811E-6</v>
      </c>
      <c r="F56" s="10">
        <f t="shared" si="0"/>
        <v>2.7981686019780926E-7</v>
      </c>
      <c r="G56" s="9">
        <f t="shared" si="1"/>
        <v>5.926228502059529E-6</v>
      </c>
      <c r="N56" s="5">
        <v>1.2060739846348E-6</v>
      </c>
    </row>
    <row r="57" spans="2:14" x14ac:dyDescent="0.25">
      <c r="B57" t="s">
        <v>104</v>
      </c>
      <c r="C57" t="s">
        <v>97</v>
      </c>
      <c r="D57" s="5">
        <v>6.3342220320428803E-5</v>
      </c>
      <c r="F57" s="10">
        <f t="shared" si="0"/>
        <v>1.0189848792710288E-5</v>
      </c>
      <c r="G57" s="9">
        <f t="shared" si="1"/>
        <v>2.1581034218005058E-4</v>
      </c>
      <c r="N57" s="5">
        <v>3.6328074533291697E-5</v>
      </c>
    </row>
    <row r="58" spans="2:14" x14ac:dyDescent="0.25">
      <c r="B58" t="s">
        <v>105</v>
      </c>
      <c r="C58" t="s">
        <v>97</v>
      </c>
      <c r="D58" s="5">
        <v>1.0679308080105E-5</v>
      </c>
      <c r="F58" s="10">
        <f t="shared" si="0"/>
        <v>1.7179778984151418E-6</v>
      </c>
      <c r="G58" s="9">
        <f t="shared" si="1"/>
        <v>3.6384975445364004E-5</v>
      </c>
      <c r="N58" s="5">
        <v>7.4155414988475903E-6</v>
      </c>
    </row>
    <row r="59" spans="2:14" x14ac:dyDescent="0.25">
      <c r="B59" t="s">
        <v>48</v>
      </c>
      <c r="C59" t="s">
        <v>97</v>
      </c>
      <c r="D59">
        <v>2.4524703067885402E-4</v>
      </c>
      <c r="F59" s="10">
        <f t="shared" si="0"/>
        <v>3.9452834883855966E-5</v>
      </c>
      <c r="G59" s="9">
        <f t="shared" si="1"/>
        <v>8.3556978807664494E-4</v>
      </c>
      <c r="N59">
        <v>1.3851608285691801E-4</v>
      </c>
    </row>
    <row r="60" spans="2:14" x14ac:dyDescent="0.25">
      <c r="B60" t="s">
        <v>49</v>
      </c>
      <c r="C60" t="s">
        <v>97</v>
      </c>
      <c r="D60" s="5">
        <v>7.2695341019647397E-5</v>
      </c>
      <c r="F60" s="10">
        <f t="shared" si="0"/>
        <v>1.1694483224261283E-5</v>
      </c>
      <c r="G60" s="9">
        <f t="shared" si="1"/>
        <v>2.4767692608473072E-4</v>
      </c>
      <c r="N60" s="5">
        <v>5.3100417751653098E-5</v>
      </c>
    </row>
    <row r="61" spans="2:14" x14ac:dyDescent="0.25">
      <c r="B61" t="s">
        <v>50</v>
      </c>
      <c r="C61" t="s">
        <v>97</v>
      </c>
      <c r="D61">
        <v>9.2880678479418603E-4</v>
      </c>
      <c r="F61" s="10">
        <f t="shared" si="0"/>
        <v>1.4941693939395667E-4</v>
      </c>
      <c r="G61" s="9">
        <f t="shared" si="1"/>
        <v>3.1644945351077163E-3</v>
      </c>
      <c r="N61">
        <v>5.1537285160403496E-4</v>
      </c>
    </row>
    <row r="62" spans="2:14" x14ac:dyDescent="0.25">
      <c r="B62" t="s">
        <v>51</v>
      </c>
      <c r="C62" t="s">
        <v>97</v>
      </c>
      <c r="D62" s="5">
        <v>6.1810605848908699E-5</v>
      </c>
      <c r="F62" s="10">
        <f t="shared" si="0"/>
        <v>9.943458315796689E-6</v>
      </c>
      <c r="G62" s="9">
        <f t="shared" si="1"/>
        <v>2.105920495228848E-4</v>
      </c>
      <c r="N62" s="5">
        <v>4.1789278002443503E-5</v>
      </c>
    </row>
    <row r="63" spans="2:14" x14ac:dyDescent="0.25">
      <c r="B63" t="s">
        <v>52</v>
      </c>
      <c r="C63" t="s">
        <v>97</v>
      </c>
      <c r="D63">
        <v>4.5669906775103099E-3</v>
      </c>
      <c r="F63" s="10">
        <f t="shared" si="0"/>
        <v>7.3469076717127201E-4</v>
      </c>
      <c r="G63" s="9">
        <f t="shared" si="1"/>
        <v>1.5559982202403618E-2</v>
      </c>
      <c r="N63">
        <v>2.5040211067318902E-3</v>
      </c>
    </row>
    <row r="64" spans="2:14" x14ac:dyDescent="0.25">
      <c r="B64" t="s">
        <v>53</v>
      </c>
      <c r="C64" t="s">
        <v>97</v>
      </c>
      <c r="D64">
        <v>3.8067033145851602E-2</v>
      </c>
      <c r="F64" s="10">
        <f t="shared" si="0"/>
        <v>6.1238350942083393E-3</v>
      </c>
      <c r="G64" s="9">
        <f t="shared" si="1"/>
        <v>0.12969642376644033</v>
      </c>
      <c r="N64">
        <v>2.3369626324977601E-2</v>
      </c>
    </row>
    <row r="65" spans="2:14" x14ac:dyDescent="0.25">
      <c r="B65" t="s">
        <v>54</v>
      </c>
      <c r="C65" t="s">
        <v>97</v>
      </c>
      <c r="D65">
        <v>3.1509682024503501E-2</v>
      </c>
      <c r="F65" s="10">
        <f t="shared" si="0"/>
        <v>5.0689554883272597E-3</v>
      </c>
      <c r="G65" s="9">
        <f t="shared" si="1"/>
        <v>0.10735517677298015</v>
      </c>
      <c r="N65">
        <v>1.9695471401849799E-2</v>
      </c>
    </row>
    <row r="66" spans="2:14" x14ac:dyDescent="0.25">
      <c r="B66" t="s">
        <v>55</v>
      </c>
      <c r="C66" t="s">
        <v>97</v>
      </c>
      <c r="D66">
        <v>2.4954334528562001E-2</v>
      </c>
      <c r="F66" s="10">
        <f t="shared" si="0"/>
        <v>4.014398205216479E-3</v>
      </c>
      <c r="G66" s="9">
        <f t="shared" si="1"/>
        <v>8.5020756238750675E-2</v>
      </c>
      <c r="N66">
        <v>1.6175175478444E-2</v>
      </c>
    </row>
    <row r="67" spans="2:14" x14ac:dyDescent="0.25">
      <c r="B67" t="s">
        <v>56</v>
      </c>
      <c r="C67" t="s">
        <v>97</v>
      </c>
      <c r="D67">
        <v>2.2686976780200201E-2</v>
      </c>
      <c r="F67" s="10">
        <f t="shared" ref="F67:F73" si="2">+D67/SUM($D$2:$D$73)</f>
        <v>3.6496488721821994E-3</v>
      </c>
      <c r="G67" s="9">
        <f t="shared" si="1"/>
        <v>7.7295746773606663E-2</v>
      </c>
      <c r="N67">
        <v>1.3600303538192599E-2</v>
      </c>
    </row>
    <row r="68" spans="2:14" x14ac:dyDescent="0.25">
      <c r="B68" t="s">
        <v>57</v>
      </c>
      <c r="C68" t="s">
        <v>97</v>
      </c>
      <c r="D68">
        <v>2.0418279046158099E-2</v>
      </c>
      <c r="F68" s="10">
        <f t="shared" si="2"/>
        <v>3.2846839759517197E-3</v>
      </c>
      <c r="G68" s="9">
        <f t="shared" si="1"/>
        <v>6.956617190537577E-2</v>
      </c>
      <c r="N68">
        <v>1.2066879670281999E-2</v>
      </c>
    </row>
    <row r="69" spans="2:14" x14ac:dyDescent="0.25">
      <c r="B69" t="s">
        <v>58</v>
      </c>
      <c r="C69" t="s">
        <v>97</v>
      </c>
      <c r="D69">
        <v>1.81495907482754E-2</v>
      </c>
      <c r="F69" s="10">
        <f t="shared" si="2"/>
        <v>2.9197205977140889E-3</v>
      </c>
      <c r="G69" s="9">
        <f t="shared" si="1"/>
        <v>6.1836629186646085E-2</v>
      </c>
      <c r="N69">
        <v>1.1284423009686999E-2</v>
      </c>
    </row>
    <row r="70" spans="2:14" x14ac:dyDescent="0.25">
      <c r="B70" t="s">
        <v>59</v>
      </c>
      <c r="C70" t="s">
        <v>97</v>
      </c>
      <c r="D70">
        <v>1.7015207469495301E-2</v>
      </c>
      <c r="F70" s="10">
        <f t="shared" si="2"/>
        <v>2.7372326137868803E-3</v>
      </c>
      <c r="G70" s="9">
        <f t="shared" si="1"/>
        <v>5.7971724509821777E-2</v>
      </c>
      <c r="N70">
        <v>1.2394427258106799E-2</v>
      </c>
    </row>
    <row r="71" spans="2:14" x14ac:dyDescent="0.25">
      <c r="B71" t="s">
        <v>60</v>
      </c>
      <c r="C71" t="s">
        <v>97</v>
      </c>
      <c r="D71">
        <v>1.47465541544741E-2</v>
      </c>
      <c r="F71" s="10">
        <f t="shared" si="2"/>
        <v>2.3722748632343423E-3</v>
      </c>
      <c r="G71" s="9">
        <f t="shared" ref="G71:G73" si="3">+D71/SUM($D$6:$D$73)</f>
        <v>5.0242300979577631E-2</v>
      </c>
      <c r="N71">
        <v>1.6686778562321002E-2</v>
      </c>
    </row>
    <row r="72" spans="2:14" x14ac:dyDescent="0.25">
      <c r="B72" t="s">
        <v>61</v>
      </c>
      <c r="C72" t="s">
        <v>97</v>
      </c>
      <c r="D72">
        <v>1.2477807698799699E-2</v>
      </c>
      <c r="F72" s="10">
        <f t="shared" si="2"/>
        <v>2.007302129165789E-3</v>
      </c>
      <c r="G72" s="9">
        <f t="shared" si="3"/>
        <v>4.2512560114132153E-2</v>
      </c>
      <c r="N72">
        <v>2.2425891616831398E-2</v>
      </c>
    </row>
    <row r="73" spans="2:14" x14ac:dyDescent="0.25">
      <c r="B73" t="s">
        <v>62</v>
      </c>
      <c r="C73" t="s">
        <v>97</v>
      </c>
      <c r="D73">
        <v>1.0209164322309099E-2</v>
      </c>
      <c r="F73" s="10">
        <f t="shared" si="2"/>
        <v>1.6423459774224422E-3</v>
      </c>
      <c r="G73" s="9">
        <f t="shared" si="3"/>
        <v>3.4783170444994842E-2</v>
      </c>
      <c r="N73">
        <v>9.6126590674868902E-3</v>
      </c>
    </row>
    <row r="74" spans="2:14" x14ac:dyDescent="0.25">
      <c r="B74" s="2"/>
    </row>
    <row r="75" spans="2:14" x14ac:dyDescent="0.25">
      <c r="B75" s="3"/>
    </row>
    <row r="76" spans="2:14" x14ac:dyDescent="0.25">
      <c r="B76" s="2"/>
    </row>
    <row r="77" spans="2:14" x14ac:dyDescent="0.25">
      <c r="B77" s="3"/>
    </row>
    <row r="78" spans="2:14" x14ac:dyDescent="0.25">
      <c r="B78" s="2"/>
    </row>
    <row r="79" spans="2:14" x14ac:dyDescent="0.25">
      <c r="B79" s="3"/>
    </row>
    <row r="80" spans="2:14" x14ac:dyDescent="0.25">
      <c r="B80" s="2"/>
    </row>
    <row r="81" spans="2:2" x14ac:dyDescent="0.25">
      <c r="B81" s="3"/>
    </row>
    <row r="82" spans="2:2" x14ac:dyDescent="0.25">
      <c r="B82" s="2"/>
    </row>
    <row r="83" spans="2:2" x14ac:dyDescent="0.25">
      <c r="B83" s="3"/>
    </row>
    <row r="84" spans="2:2" x14ac:dyDescent="0.25">
      <c r="B84" s="2"/>
    </row>
    <row r="85" spans="2:2" x14ac:dyDescent="0.25">
      <c r="B85" s="3"/>
    </row>
    <row r="86" spans="2:2" x14ac:dyDescent="0.25">
      <c r="B86" s="2"/>
    </row>
    <row r="87" spans="2:2" x14ac:dyDescent="0.25">
      <c r="B87" s="3"/>
    </row>
    <row r="88" spans="2:2" x14ac:dyDescent="0.25">
      <c r="B88" s="2"/>
    </row>
    <row r="89" spans="2:2" x14ac:dyDescent="0.25">
      <c r="B89" s="3"/>
    </row>
    <row r="90" spans="2:2" x14ac:dyDescent="0.25">
      <c r="B90" s="2"/>
    </row>
    <row r="91" spans="2:2" x14ac:dyDescent="0.25">
      <c r="B91" s="3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3"/>
    </row>
    <row r="96" spans="2:2" x14ac:dyDescent="0.25">
      <c r="B96" s="2"/>
    </row>
    <row r="97" spans="2:2" x14ac:dyDescent="0.25">
      <c r="B9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F3F4-9D57-4B42-B99E-BB9DEDB2C6F9}">
  <dimension ref="A1:CY96"/>
  <sheetViews>
    <sheetView showFormulas="1" tabSelected="1" zoomScale="75" zoomScaleNormal="75" workbookViewId="0">
      <pane ySplit="1" topLeftCell="A2" activePane="bottomLeft" state="frozen"/>
      <selection pane="bottomLeft" activeCell="D12" sqref="A1:CW96"/>
    </sheetView>
  </sheetViews>
  <sheetFormatPr defaultColWidth="11" defaultRowHeight="15.75" x14ac:dyDescent="0.25"/>
  <sheetData>
    <row r="1" spans="1:103" x14ac:dyDescent="0.25">
      <c r="B1" s="1" t="s">
        <v>89</v>
      </c>
      <c r="C1" t="s">
        <v>88</v>
      </c>
      <c r="E1" t="s">
        <v>90</v>
      </c>
      <c r="F1" t="s">
        <v>0</v>
      </c>
      <c r="H1" s="2" t="s">
        <v>1</v>
      </c>
      <c r="I1" s="3" t="s">
        <v>2</v>
      </c>
      <c r="J1" s="3" t="s">
        <v>4</v>
      </c>
      <c r="K1" s="2" t="s">
        <v>5</v>
      </c>
      <c r="L1" s="2" t="s">
        <v>6</v>
      </c>
      <c r="M1" s="3" t="s">
        <v>7</v>
      </c>
      <c r="N1" s="2" t="s">
        <v>8</v>
      </c>
      <c r="O1" s="3" t="s">
        <v>9</v>
      </c>
      <c r="P1" s="3" t="s">
        <v>10</v>
      </c>
      <c r="Q1" s="2" t="s">
        <v>11</v>
      </c>
      <c r="R1" s="2" t="s">
        <v>96</v>
      </c>
      <c r="S1" s="2" t="s">
        <v>12</v>
      </c>
      <c r="T1" s="2" t="s">
        <v>98</v>
      </c>
      <c r="U1" s="2" t="s">
        <v>13</v>
      </c>
      <c r="V1" s="3" t="s">
        <v>14</v>
      </c>
      <c r="W1" s="3" t="s">
        <v>15</v>
      </c>
      <c r="X1" s="3" t="s">
        <v>99</v>
      </c>
      <c r="Y1" s="3" t="s">
        <v>100</v>
      </c>
      <c r="Z1" s="3" t="s">
        <v>16</v>
      </c>
      <c r="AA1" s="2" t="s">
        <v>17</v>
      </c>
      <c r="AB1" s="3" t="s">
        <v>18</v>
      </c>
      <c r="AC1" s="2" t="s">
        <v>19</v>
      </c>
      <c r="AD1" s="2" t="s">
        <v>101</v>
      </c>
      <c r="AE1" s="3" t="s">
        <v>20</v>
      </c>
      <c r="AF1" s="2" t="s">
        <v>21</v>
      </c>
      <c r="AG1" s="2" t="s">
        <v>22</v>
      </c>
      <c r="AH1" s="3" t="s">
        <v>23</v>
      </c>
      <c r="AI1" s="2" t="s">
        <v>24</v>
      </c>
      <c r="AJ1" s="2" t="s">
        <v>25</v>
      </c>
      <c r="AK1" s="3" t="s">
        <v>26</v>
      </c>
      <c r="AL1" s="2" t="s">
        <v>27</v>
      </c>
      <c r="AM1" s="3" t="s">
        <v>28</v>
      </c>
      <c r="AN1" s="2" t="s">
        <v>29</v>
      </c>
      <c r="AO1" s="3" t="s">
        <v>30</v>
      </c>
      <c r="AP1" s="2" t="s">
        <v>31</v>
      </c>
      <c r="AQ1" s="3" t="s">
        <v>32</v>
      </c>
      <c r="AR1" s="2" t="s">
        <v>33</v>
      </c>
      <c r="AS1" s="3" t="s">
        <v>34</v>
      </c>
      <c r="AT1" s="3" t="s">
        <v>35</v>
      </c>
      <c r="AU1" s="2" t="s">
        <v>36</v>
      </c>
      <c r="AV1" s="2" t="s">
        <v>37</v>
      </c>
      <c r="AW1" s="2" t="s">
        <v>102</v>
      </c>
      <c r="AX1" s="2" t="s">
        <v>38</v>
      </c>
      <c r="AY1" s="3" t="s">
        <v>39</v>
      </c>
      <c r="AZ1" s="3" t="s">
        <v>40</v>
      </c>
      <c r="BA1" s="2" t="s">
        <v>41</v>
      </c>
      <c r="BB1" s="2" t="s">
        <v>103</v>
      </c>
      <c r="BC1" s="2" t="s">
        <v>42</v>
      </c>
      <c r="BD1" s="3" t="s">
        <v>43</v>
      </c>
      <c r="BE1" s="2" t="s">
        <v>44</v>
      </c>
      <c r="BF1" s="3" t="s">
        <v>45</v>
      </c>
      <c r="BG1" s="2" t="s">
        <v>46</v>
      </c>
      <c r="BH1" s="3" t="s">
        <v>47</v>
      </c>
      <c r="BI1" s="2" t="s">
        <v>48</v>
      </c>
      <c r="BJ1" s="3" t="s">
        <v>49</v>
      </c>
      <c r="BK1" s="2" t="s">
        <v>50</v>
      </c>
      <c r="BL1" s="3" t="s">
        <v>51</v>
      </c>
      <c r="BM1" s="2" t="s">
        <v>52</v>
      </c>
      <c r="BN1" s="2" t="s">
        <v>53</v>
      </c>
      <c r="BO1" s="3" t="s">
        <v>54</v>
      </c>
      <c r="BP1" s="2" t="s">
        <v>55</v>
      </c>
      <c r="BQ1" s="3" t="s">
        <v>56</v>
      </c>
      <c r="BR1" s="2" t="s">
        <v>57</v>
      </c>
      <c r="BS1" s="3" t="s">
        <v>58</v>
      </c>
      <c r="BT1" s="2" t="s">
        <v>59</v>
      </c>
      <c r="BU1" s="3" t="s">
        <v>60</v>
      </c>
      <c r="BV1" s="2" t="s">
        <v>61</v>
      </c>
      <c r="BW1" s="3" t="s">
        <v>62</v>
      </c>
      <c r="BX1" s="2" t="s">
        <v>63</v>
      </c>
      <c r="BY1" s="3" t="s">
        <v>64</v>
      </c>
      <c r="BZ1" s="2" t="s">
        <v>65</v>
      </c>
      <c r="CA1" s="3" t="s">
        <v>66</v>
      </c>
      <c r="CB1" s="2" t="s">
        <v>67</v>
      </c>
      <c r="CC1" s="3" t="s">
        <v>68</v>
      </c>
      <c r="CD1" s="2" t="s">
        <v>69</v>
      </c>
      <c r="CE1" s="3" t="s">
        <v>70</v>
      </c>
      <c r="CF1" s="2" t="s">
        <v>71</v>
      </c>
      <c r="CG1" s="3" t="s">
        <v>72</v>
      </c>
      <c r="CH1" s="2" t="s">
        <v>73</v>
      </c>
      <c r="CI1" s="3" t="s">
        <v>74</v>
      </c>
      <c r="CJ1" s="2" t="s">
        <v>75</v>
      </c>
      <c r="CK1" s="3" t="s">
        <v>76</v>
      </c>
      <c r="CL1" s="2" t="s">
        <v>77</v>
      </c>
      <c r="CM1" s="3" t="s">
        <v>78</v>
      </c>
      <c r="CN1" s="2" t="s">
        <v>79</v>
      </c>
      <c r="CO1" s="3" t="s">
        <v>80</v>
      </c>
      <c r="CP1" s="2" t="s">
        <v>81</v>
      </c>
      <c r="CQ1" s="2" t="s">
        <v>82</v>
      </c>
      <c r="CR1" s="2" t="s">
        <v>83</v>
      </c>
      <c r="CS1" s="3" t="s">
        <v>84</v>
      </c>
      <c r="CT1" s="2" t="s">
        <v>85</v>
      </c>
      <c r="CU1" s="3" t="s">
        <v>86</v>
      </c>
      <c r="CV1" s="4" t="s">
        <v>92</v>
      </c>
    </row>
    <row r="2" spans="1:103" x14ac:dyDescent="0.25">
      <c r="A2" t="s">
        <v>87</v>
      </c>
      <c r="B2" s="5">
        <f>+Inlet!D6</f>
        <v>7.1114470114353595E-4</v>
      </c>
      <c r="C2">
        <v>0</v>
      </c>
      <c r="E2" s="5">
        <f>B2</f>
        <v>7.1114470114353595E-4</v>
      </c>
      <c r="F2" s="1">
        <v>1</v>
      </c>
      <c r="G2" s="2" t="s">
        <v>1</v>
      </c>
      <c r="H2" s="5">
        <f>(1-$C2)*$B2</f>
        <v>7.1114470114353595E-4</v>
      </c>
      <c r="CV2" cm="1">
        <f t="array" ref="CV2:CV93">TRANSPOSE(H96:CU96)</f>
        <v>7.1114470114353595E-4</v>
      </c>
      <c r="CW2" s="2" t="s">
        <v>1</v>
      </c>
      <c r="CY2">
        <v>0</v>
      </c>
    </row>
    <row r="3" spans="1:103" x14ac:dyDescent="0.25">
      <c r="A3">
        <v>0.4</v>
      </c>
      <c r="B3" s="5">
        <f>+Inlet!D7</f>
        <v>1.15915726277396E-3</v>
      </c>
      <c r="C3">
        <v>0</v>
      </c>
      <c r="E3">
        <f t="shared" ref="E3:E22" si="0">B3</f>
        <v>1.15915726277396E-3</v>
      </c>
      <c r="F3" s="1">
        <v>1</v>
      </c>
      <c r="G3" s="3" t="s">
        <v>2</v>
      </c>
      <c r="I3">
        <f>(1-$C3)*$B3</f>
        <v>1.15915726277396E-3</v>
      </c>
      <c r="CV3">
        <v>1.15915726277396E-3</v>
      </c>
      <c r="CW3" s="3" t="s">
        <v>2</v>
      </c>
      <c r="CY3">
        <v>0</v>
      </c>
    </row>
    <row r="4" spans="1:103" x14ac:dyDescent="0.25">
      <c r="B4" s="5">
        <f>+Inlet!D8</f>
        <v>2.5701200645325E-3</v>
      </c>
      <c r="C4">
        <v>0</v>
      </c>
      <c r="E4">
        <f t="shared" si="0"/>
        <v>2.5701200645325E-3</v>
      </c>
      <c r="F4" s="1">
        <v>2</v>
      </c>
      <c r="G4" s="3" t="s">
        <v>4</v>
      </c>
      <c r="J4">
        <f>(1-$C4)*$B4</f>
        <v>2.5701200645325E-3</v>
      </c>
      <c r="CV4">
        <v>2.5701200645325E-3</v>
      </c>
      <c r="CW4" s="3" t="s">
        <v>4</v>
      </c>
      <c r="CY4">
        <v>0</v>
      </c>
    </row>
    <row r="5" spans="1:103" x14ac:dyDescent="0.25">
      <c r="B5" s="5">
        <f>+Inlet!D9</f>
        <v>0</v>
      </c>
      <c r="C5">
        <v>0</v>
      </c>
      <c r="E5">
        <f t="shared" si="0"/>
        <v>0</v>
      </c>
      <c r="F5" s="1">
        <v>2</v>
      </c>
      <c r="G5" s="2" t="s">
        <v>5</v>
      </c>
      <c r="K5">
        <f>(1-$C5)*$B5</f>
        <v>0</v>
      </c>
      <c r="CV5">
        <v>0</v>
      </c>
      <c r="CW5" s="2" t="s">
        <v>5</v>
      </c>
      <c r="CY5">
        <v>0</v>
      </c>
    </row>
    <row r="6" spans="1:103" x14ac:dyDescent="0.25">
      <c r="B6" s="5">
        <f>+Inlet!D10</f>
        <v>2.3793870260887098E-2</v>
      </c>
      <c r="C6">
        <v>0</v>
      </c>
      <c r="E6">
        <f t="shared" si="0"/>
        <v>2.3793870260887098E-2</v>
      </c>
      <c r="F6" s="1">
        <v>3</v>
      </c>
      <c r="G6" s="2" t="s">
        <v>6</v>
      </c>
      <c r="L6">
        <f>(1-$C6)*$B6</f>
        <v>2.3793870260887098E-2</v>
      </c>
      <c r="CV6">
        <v>3.8202128189215881E-2</v>
      </c>
      <c r="CW6" s="2" t="s">
        <v>6</v>
      </c>
      <c r="CY6">
        <v>0</v>
      </c>
    </row>
    <row r="7" spans="1:103" x14ac:dyDescent="0.25">
      <c r="B7" s="5">
        <f>+Inlet!D11</f>
        <v>2.8280897263054401E-9</v>
      </c>
      <c r="C7">
        <v>0</v>
      </c>
      <c r="E7">
        <f t="shared" si="0"/>
        <v>2.8280897263054401E-9</v>
      </c>
      <c r="F7" s="1">
        <v>3</v>
      </c>
      <c r="G7" s="3" t="s">
        <v>7</v>
      </c>
      <c r="M7">
        <f>(1-$C7)*$B7</f>
        <v>2.8280897263054401E-9</v>
      </c>
      <c r="CV7">
        <v>1.1449167841188555E-8</v>
      </c>
      <c r="CW7" s="3" t="s">
        <v>7</v>
      </c>
      <c r="CY7">
        <v>0</v>
      </c>
    </row>
    <row r="8" spans="1:103" x14ac:dyDescent="0.25">
      <c r="B8" s="5">
        <f>+Inlet!D12</f>
        <v>2.26564734726744E-2</v>
      </c>
      <c r="C8">
        <v>0</v>
      </c>
      <c r="E8">
        <f t="shared" si="0"/>
        <v>2.26564734726744E-2</v>
      </c>
      <c r="F8" s="1">
        <v>4</v>
      </c>
      <c r="G8" s="2" t="s">
        <v>8</v>
      </c>
      <c r="N8">
        <f>(1-$C8)*$B8</f>
        <v>2.26564734726744E-2</v>
      </c>
      <c r="CV8">
        <v>5.2157349925587217E-2</v>
      </c>
      <c r="CW8" s="2" t="s">
        <v>8</v>
      </c>
      <c r="CY8">
        <v>0</v>
      </c>
    </row>
    <row r="9" spans="1:103" x14ac:dyDescent="0.25">
      <c r="B9" s="5">
        <f>+Inlet!D13</f>
        <v>6.5688059618994703E-5</v>
      </c>
      <c r="C9">
        <v>0</v>
      </c>
      <c r="E9">
        <f t="shared" si="0"/>
        <v>6.5688059618994703E-5</v>
      </c>
      <c r="F9" s="1">
        <v>4</v>
      </c>
      <c r="G9" s="3" t="s">
        <v>9</v>
      </c>
      <c r="O9">
        <f>(1-$C9)*$B9</f>
        <v>6.5688059618994703E-5</v>
      </c>
      <c r="CV9">
        <v>8.7688471000871231E-5</v>
      </c>
      <c r="CW9" s="3" t="s">
        <v>9</v>
      </c>
      <c r="CY9">
        <v>0</v>
      </c>
    </row>
    <row r="10" spans="1:103" x14ac:dyDescent="0.25">
      <c r="B10" s="5">
        <f>+Inlet!D14</f>
        <v>8.1154749464936498E-23</v>
      </c>
      <c r="C10">
        <v>0</v>
      </c>
      <c r="E10" s="5">
        <f>B10</f>
        <v>8.1154749464936498E-23</v>
      </c>
      <c r="F10" s="1">
        <v>4</v>
      </c>
      <c r="G10" s="3" t="s">
        <v>10</v>
      </c>
      <c r="P10">
        <f>(1-$C10)*$B10</f>
        <v>8.1154749464936498E-23</v>
      </c>
      <c r="CV10">
        <v>8.1154749464936498E-23</v>
      </c>
      <c r="CW10" s="3" t="s">
        <v>10</v>
      </c>
      <c r="CY10">
        <v>0</v>
      </c>
    </row>
    <row r="11" spans="1:103" x14ac:dyDescent="0.25">
      <c r="B11" s="5">
        <f>+Inlet!D15</f>
        <v>1.24311871132496E-2</v>
      </c>
      <c r="C11">
        <v>0</v>
      </c>
      <c r="E11">
        <f t="shared" si="0"/>
        <v>1.24311871132496E-2</v>
      </c>
      <c r="F11" s="1">
        <v>5</v>
      </c>
      <c r="G11" s="2" t="s">
        <v>11</v>
      </c>
      <c r="Q11">
        <f>(1-$C11)*$B11</f>
        <v>1.24311871132496E-2</v>
      </c>
      <c r="CV11">
        <v>4.1243721045750262E-2</v>
      </c>
      <c r="CW11" s="2" t="s">
        <v>11</v>
      </c>
      <c r="CY11">
        <v>0</v>
      </c>
    </row>
    <row r="12" spans="1:103" x14ac:dyDescent="0.25">
      <c r="B12" s="5">
        <f>+Inlet!D16</f>
        <v>7.9740251659888401E-4</v>
      </c>
      <c r="C12">
        <v>0</v>
      </c>
      <c r="E12">
        <f t="shared" si="0"/>
        <v>7.9740251659888401E-4</v>
      </c>
      <c r="F12" s="1">
        <v>5</v>
      </c>
      <c r="G12" s="2" t="s">
        <v>96</v>
      </c>
      <c r="R12">
        <f>(1-$C12)*$B12</f>
        <v>7.9740251659888401E-4</v>
      </c>
      <c r="CV12">
        <v>7.9740251659888401E-4</v>
      </c>
      <c r="CW12" s="2"/>
      <c r="CY12">
        <v>0</v>
      </c>
    </row>
    <row r="13" spans="1:103" x14ac:dyDescent="0.25">
      <c r="B13" s="5">
        <f>+Inlet!D17</f>
        <v>4.9454120758277598E-20</v>
      </c>
      <c r="C13">
        <v>0</v>
      </c>
      <c r="E13">
        <f t="shared" si="0"/>
        <v>4.9454120758277598E-20</v>
      </c>
      <c r="F13" s="1">
        <v>5</v>
      </c>
      <c r="G13" s="2" t="s">
        <v>12</v>
      </c>
      <c r="S13">
        <f>(1-$C13)*$B13</f>
        <v>4.9454120758277598E-20</v>
      </c>
      <c r="CV13">
        <v>4.9454120758277598E-20</v>
      </c>
      <c r="CW13" s="2" t="s">
        <v>12</v>
      </c>
      <c r="CY13">
        <v>0</v>
      </c>
    </row>
    <row r="14" spans="1:103" x14ac:dyDescent="0.25">
      <c r="B14" s="5">
        <f>+Inlet!D18</f>
        <v>7.7846204715078602E-5</v>
      </c>
      <c r="C14">
        <v>0</v>
      </c>
      <c r="E14">
        <f t="shared" ref="E14" si="1">B14</f>
        <v>7.7846204715078602E-5</v>
      </c>
      <c r="F14" s="1">
        <v>5</v>
      </c>
      <c r="G14" s="2" t="s">
        <v>98</v>
      </c>
      <c r="T14">
        <f>(1-$C14)*$B14</f>
        <v>7.7846204715078602E-5</v>
      </c>
      <c r="CV14">
        <v>7.7846204715078602E-5</v>
      </c>
      <c r="CW14" s="2"/>
      <c r="CY14">
        <v>0</v>
      </c>
    </row>
    <row r="15" spans="1:103" x14ac:dyDescent="0.25">
      <c r="B15" s="5">
        <f>+Inlet!D19</f>
        <v>2.94082363397296E-3</v>
      </c>
      <c r="C15">
        <v>0</v>
      </c>
      <c r="E15">
        <f t="shared" si="0"/>
        <v>2.94082363397296E-3</v>
      </c>
      <c r="F15" s="1">
        <v>6</v>
      </c>
      <c r="G15" s="2" t="s">
        <v>13</v>
      </c>
      <c r="U15">
        <f>(1-$C15)*$B15</f>
        <v>2.94082363397296E-3</v>
      </c>
      <c r="CV15">
        <v>2.94082363397296E-3</v>
      </c>
      <c r="CW15" s="2" t="s">
        <v>13</v>
      </c>
      <c r="CY15">
        <v>0</v>
      </c>
    </row>
    <row r="16" spans="1:103" x14ac:dyDescent="0.25">
      <c r="B16" s="5">
        <f>+Inlet!D20</f>
        <v>4.7346598724411996E-3</v>
      </c>
      <c r="C16">
        <v>0</v>
      </c>
      <c r="E16">
        <f t="shared" si="0"/>
        <v>4.7346598724411996E-3</v>
      </c>
      <c r="F16" s="1">
        <v>6</v>
      </c>
      <c r="G16" s="3" t="s">
        <v>14</v>
      </c>
      <c r="V16">
        <f>(1-$C16)*$B16</f>
        <v>4.7346598724411996E-3</v>
      </c>
      <c r="CV16">
        <v>3.3540807671867665E-2</v>
      </c>
      <c r="CW16" s="3" t="s">
        <v>14</v>
      </c>
      <c r="CY16">
        <v>0</v>
      </c>
    </row>
    <row r="17" spans="2:103" x14ac:dyDescent="0.25">
      <c r="B17" s="5">
        <f>+Inlet!D21</f>
        <v>1.63131923146749E-17</v>
      </c>
      <c r="C17">
        <v>0</v>
      </c>
      <c r="E17">
        <f t="shared" si="0"/>
        <v>1.63131923146749E-17</v>
      </c>
      <c r="F17" s="1">
        <v>6</v>
      </c>
      <c r="G17" s="3" t="s">
        <v>15</v>
      </c>
      <c r="W17">
        <f>(1-$C17)*$B17</f>
        <v>1.63131923146749E-17</v>
      </c>
      <c r="CV17">
        <v>1.63131923146749E-17</v>
      </c>
      <c r="CW17" s="3" t="s">
        <v>15</v>
      </c>
      <c r="CY17">
        <f t="shared" ref="CY17:CY18" si="2">SUM(L17:S17)/2</f>
        <v>0</v>
      </c>
    </row>
    <row r="18" spans="2:103" x14ac:dyDescent="0.25">
      <c r="B18" s="5">
        <f>+Inlet!D22</f>
        <v>4.3282018242143298E-19</v>
      </c>
      <c r="C18">
        <v>0</v>
      </c>
      <c r="E18">
        <f t="shared" ref="E18" si="3">B18</f>
        <v>4.3282018242143298E-19</v>
      </c>
      <c r="F18" s="1">
        <v>6</v>
      </c>
      <c r="G18" s="3" t="s">
        <v>99</v>
      </c>
      <c r="X18">
        <f>(1-$C18)*$B18</f>
        <v>4.3282018242143298E-19</v>
      </c>
      <c r="CV18">
        <v>4.3282018242143298E-19</v>
      </c>
      <c r="CW18" s="3"/>
      <c r="CY18">
        <f t="shared" si="2"/>
        <v>0</v>
      </c>
    </row>
    <row r="19" spans="2:103" x14ac:dyDescent="0.25">
      <c r="B19" s="5">
        <f>+Inlet!D23</f>
        <v>2.0961080448768401E-4</v>
      </c>
      <c r="C19">
        <v>0</v>
      </c>
      <c r="E19">
        <f t="shared" ref="E19" si="4">B19</f>
        <v>2.0961080448768401E-4</v>
      </c>
      <c r="F19" s="1">
        <v>6</v>
      </c>
      <c r="G19" s="3" t="s">
        <v>100</v>
      </c>
      <c r="Y19">
        <f>(1-$C19)*$B19</f>
        <v>2.0961080448768401E-4</v>
      </c>
      <c r="CV19">
        <v>2.0961080448768401E-4</v>
      </c>
      <c r="CW19" s="3"/>
      <c r="CY19">
        <f>SUM(L19:S19)/2</f>
        <v>0</v>
      </c>
    </row>
    <row r="20" spans="2:103" x14ac:dyDescent="0.25">
      <c r="B20" s="5">
        <f>+Inlet!D24</f>
        <v>1.1693698851101501E-3</v>
      </c>
      <c r="C20">
        <f t="shared" ref="C20:C59" si="5">(EXP($A$3*(F20-7))-1)/(EXP($A$3*(18-7))-1)</f>
        <v>0</v>
      </c>
      <c r="D20">
        <f>1/(F20-6)*C20</f>
        <v>0</v>
      </c>
      <c r="E20">
        <f t="shared" si="0"/>
        <v>1.1693698851101501E-3</v>
      </c>
      <c r="F20" s="1">
        <v>7</v>
      </c>
      <c r="G20" s="3" t="s">
        <v>16</v>
      </c>
      <c r="Z20">
        <f>(1-$C20)*$B20</f>
        <v>1.1693698851101501E-3</v>
      </c>
      <c r="CV20">
        <v>2.9972459814883948E-2</v>
      </c>
      <c r="CW20" s="3" t="s">
        <v>16</v>
      </c>
      <c r="CY20">
        <f>SUM(L20:S20)/2</f>
        <v>0</v>
      </c>
    </row>
    <row r="21" spans="2:103" x14ac:dyDescent="0.25">
      <c r="B21" s="5">
        <f>+Inlet!D25</f>
        <v>1.44797760949513E-3</v>
      </c>
      <c r="C21">
        <f t="shared" si="5"/>
        <v>0</v>
      </c>
      <c r="D21">
        <f t="shared" ref="D21:D85" si="6">1/(F21-6)*C21</f>
        <v>0</v>
      </c>
      <c r="E21">
        <f t="shared" si="0"/>
        <v>1.44797760949513E-3</v>
      </c>
      <c r="F21" s="1">
        <v>7</v>
      </c>
      <c r="G21" s="2" t="s">
        <v>17</v>
      </c>
      <c r="AA21">
        <f>(1-$C21)*$B21</f>
        <v>1.44797760949513E-3</v>
      </c>
      <c r="CV21">
        <v>1.44797760949513E-3</v>
      </c>
      <c r="CW21" s="2" t="s">
        <v>17</v>
      </c>
      <c r="CY21">
        <f t="shared" ref="CY21:CY24" si="7">SUM(L21:S21)/2</f>
        <v>0</v>
      </c>
    </row>
    <row r="22" spans="2:103" x14ac:dyDescent="0.25">
      <c r="B22" s="5">
        <f>+Inlet!D26</f>
        <v>1.61549255798959E-15</v>
      </c>
      <c r="C22">
        <f t="shared" si="5"/>
        <v>0</v>
      </c>
      <c r="D22">
        <f t="shared" si="6"/>
        <v>0</v>
      </c>
      <c r="E22">
        <f t="shared" si="0"/>
        <v>1.61549255798959E-15</v>
      </c>
      <c r="F22" s="1">
        <v>7</v>
      </c>
      <c r="G22" s="3" t="s">
        <v>18</v>
      </c>
      <c r="AB22">
        <f>(1-$C22)*$B22</f>
        <v>1.61549255798959E-15</v>
      </c>
      <c r="CV22">
        <v>1.61549255798959E-15</v>
      </c>
      <c r="CW22" s="3" t="s">
        <v>18</v>
      </c>
      <c r="CY22">
        <f t="shared" si="7"/>
        <v>0</v>
      </c>
    </row>
    <row r="23" spans="2:103" x14ac:dyDescent="0.25">
      <c r="B23" s="5">
        <f>+Inlet!D27</f>
        <v>1.1090436396881701E-15</v>
      </c>
      <c r="C23">
        <f t="shared" si="5"/>
        <v>0</v>
      </c>
      <c r="D23">
        <f t="shared" si="6"/>
        <v>0</v>
      </c>
      <c r="E23">
        <f>B23</f>
        <v>1.1090436396881701E-15</v>
      </c>
      <c r="F23" s="1">
        <v>7</v>
      </c>
      <c r="G23" s="2" t="s">
        <v>19</v>
      </c>
      <c r="AC23">
        <f>(1-$C23)*$B23</f>
        <v>1.1090436396881701E-15</v>
      </c>
      <c r="CV23">
        <v>1.1090436396881701E-15</v>
      </c>
      <c r="CW23" s="2" t="s">
        <v>19</v>
      </c>
      <c r="CY23">
        <f t="shared" si="7"/>
        <v>0</v>
      </c>
    </row>
    <row r="24" spans="2:103" x14ac:dyDescent="0.25">
      <c r="B24" s="5">
        <f>+Inlet!D28</f>
        <v>1.9452524184119399E-4</v>
      </c>
      <c r="C24">
        <f t="shared" ref="C24:C25" si="8">(EXP($A$3*(F24-7))-1)/(EXP($A$3*(18-7))-1)</f>
        <v>0</v>
      </c>
      <c r="D24">
        <f t="shared" ref="D24" si="9">1/(F24-6)*C24</f>
        <v>0</v>
      </c>
      <c r="E24">
        <f>B24</f>
        <v>1.9452524184119399E-4</v>
      </c>
      <c r="F24" s="1">
        <v>7</v>
      </c>
      <c r="G24" s="2" t="s">
        <v>101</v>
      </c>
      <c r="AD24">
        <f>(1-$C24)*$B24</f>
        <v>1.9452524184119399E-4</v>
      </c>
      <c r="CV24">
        <v>1.9452524184119399E-4</v>
      </c>
      <c r="CW24" s="2"/>
      <c r="CY24">
        <f t="shared" si="7"/>
        <v>0</v>
      </c>
    </row>
    <row r="25" spans="2:103" x14ac:dyDescent="0.25">
      <c r="B25" s="5">
        <f>+Inlet!D29</f>
        <v>7.8531933495412805E-4</v>
      </c>
      <c r="C25">
        <f>(EXP($A$3*(F25-7))-1)/(EXP($A$3*(18-7))-1)</f>
        <v>6.1133547195051296E-3</v>
      </c>
      <c r="D25">
        <f>1/(F25-6)*C25</f>
        <v>3.0566773597525648E-3</v>
      </c>
      <c r="E25" s="5">
        <f>1/(F25-6)*C25*B25</f>
        <v>2.4004678313302243E-6</v>
      </c>
      <c r="F25" s="1">
        <v>8</v>
      </c>
      <c r="G25" s="3" t="s">
        <v>20</v>
      </c>
      <c r="L25" s="5">
        <f>+E25</f>
        <v>2.4004678313302243E-6</v>
      </c>
      <c r="N25" s="5">
        <f>B2</f>
        <v>7.1114470114353595E-4</v>
      </c>
      <c r="Q25" s="5">
        <f>+E25</f>
        <v>2.4004678313302243E-6</v>
      </c>
      <c r="AE25">
        <f>(1-$C25)*$B25</f>
        <v>7.8051839929146763E-4</v>
      </c>
      <c r="CV25">
        <v>2.9582865180567526E-2</v>
      </c>
      <c r="CW25" s="3" t="s">
        <v>20</v>
      </c>
      <c r="CY25">
        <f>SUM(L25:S25)/2</f>
        <v>3.5797281840309824E-4</v>
      </c>
    </row>
    <row r="26" spans="2:103" x14ac:dyDescent="0.25">
      <c r="B26" s="5">
        <f>+Inlet!D30</f>
        <v>5.23018392722026E-4</v>
      </c>
      <c r="C26">
        <f t="shared" si="5"/>
        <v>6.1133547195051296E-3</v>
      </c>
      <c r="D26">
        <f t="shared" si="6"/>
        <v>3.0566773597525648E-3</v>
      </c>
      <c r="E26" s="5">
        <f>1/(F26-6)*C26*B26</f>
        <v>1.5986984797675924E-6</v>
      </c>
      <c r="F26" s="1">
        <v>8</v>
      </c>
      <c r="G26" s="2" t="s">
        <v>21</v>
      </c>
      <c r="L26">
        <f>+E26</f>
        <v>1.5986984797675924E-6</v>
      </c>
      <c r="O26">
        <f>+E26*2</f>
        <v>3.1973969595351848E-6</v>
      </c>
      <c r="Q26">
        <f>+E26</f>
        <v>1.5986984797675924E-6</v>
      </c>
      <c r="AF26">
        <f>(1-$C26)*$B26</f>
        <v>5.1982099576249085E-4</v>
      </c>
      <c r="CV26">
        <v>5.1982099576249085E-4</v>
      </c>
      <c r="CW26" s="2" t="s">
        <v>21</v>
      </c>
      <c r="CY26">
        <f t="shared" ref="CY26:CY35" si="10">SUM(L26:AA26)/2</f>
        <v>3.1973969595351848E-6</v>
      </c>
    </row>
    <row r="27" spans="2:103" x14ac:dyDescent="0.25">
      <c r="B27" s="5">
        <f>+Inlet!D31</f>
        <v>6.7110389592260004E-13</v>
      </c>
      <c r="C27">
        <f>(EXP($A$3*(F27-7))-1)/(EXP($A$3*(18-7))-1)</f>
        <v>6.1133547195051296E-3</v>
      </c>
      <c r="D27">
        <f t="shared" si="6"/>
        <v>3.0566773597525648E-3</v>
      </c>
      <c r="E27">
        <f t="shared" ref="E26:E85" si="11">1/(F27-6)*C27*B27</f>
        <v>2.051348084708353E-15</v>
      </c>
      <c r="F27" s="1">
        <v>8</v>
      </c>
      <c r="G27" s="2" t="s">
        <v>22</v>
      </c>
      <c r="M27">
        <f>+E27</f>
        <v>2.051348084708353E-15</v>
      </c>
      <c r="N27">
        <f>+E27*2</f>
        <v>4.1026961694167061E-15</v>
      </c>
      <c r="Q27">
        <f>+E27</f>
        <v>2.051348084708353E-15</v>
      </c>
      <c r="AG27">
        <f>(1-$C27)*$B27</f>
        <v>6.6700119975318329E-13</v>
      </c>
      <c r="CV27">
        <v>6.6700119975318329E-13</v>
      </c>
      <c r="CW27" s="2" t="s">
        <v>22</v>
      </c>
      <c r="CY27">
        <f t="shared" si="10"/>
        <v>4.1026961694167061E-15</v>
      </c>
    </row>
    <row r="28" spans="2:103" x14ac:dyDescent="0.25">
      <c r="B28" s="5">
        <f>+Inlet!D32</f>
        <v>3.6401436079514898E-4</v>
      </c>
      <c r="C28">
        <v>0</v>
      </c>
      <c r="D28">
        <f t="shared" si="6"/>
        <v>0</v>
      </c>
      <c r="E28">
        <f t="shared" si="11"/>
        <v>0</v>
      </c>
      <c r="F28" s="1">
        <v>8</v>
      </c>
      <c r="G28" s="3" t="s">
        <v>23</v>
      </c>
      <c r="AH28">
        <f>(1-$C28)*$B28</f>
        <v>3.6401436079514898E-4</v>
      </c>
      <c r="CV28">
        <v>3.6401436079514898E-4</v>
      </c>
      <c r="CW28" s="3" t="s">
        <v>23</v>
      </c>
      <c r="CY28">
        <f t="shared" si="10"/>
        <v>0</v>
      </c>
    </row>
    <row r="29" spans="2:103" x14ac:dyDescent="0.25">
      <c r="B29" s="5">
        <f>+Inlet!D33</f>
        <v>3.55320707761801E-12</v>
      </c>
      <c r="C29">
        <v>0</v>
      </c>
      <c r="D29">
        <f t="shared" si="6"/>
        <v>0</v>
      </c>
      <c r="E29">
        <f t="shared" si="11"/>
        <v>0</v>
      </c>
      <c r="F29" s="1">
        <v>8</v>
      </c>
      <c r="G29" s="2" t="s">
        <v>24</v>
      </c>
      <c r="AI29">
        <f>(1-$C29)*$B29</f>
        <v>3.55320707761801E-12</v>
      </c>
      <c r="CV29">
        <v>3.55320707761801E-12</v>
      </c>
      <c r="CW29" s="2" t="s">
        <v>24</v>
      </c>
      <c r="CY29">
        <f t="shared" si="10"/>
        <v>0</v>
      </c>
    </row>
    <row r="30" spans="2:103" x14ac:dyDescent="0.25">
      <c r="B30" s="5">
        <f>+Inlet!D34</f>
        <v>1.3366580259489399E-4</v>
      </c>
      <c r="C30">
        <f t="shared" si="5"/>
        <v>1.5233408275504706E-2</v>
      </c>
      <c r="D30">
        <f t="shared" si="6"/>
        <v>5.0778027585015682E-3</v>
      </c>
      <c r="E30">
        <f t="shared" si="11"/>
        <v>6.7872858113367872E-7</v>
      </c>
      <c r="F30" s="1">
        <v>9</v>
      </c>
      <c r="G30" s="2" t="s">
        <v>25</v>
      </c>
      <c r="L30">
        <f>+E30</f>
        <v>6.7872858113367872E-7</v>
      </c>
      <c r="N30">
        <f>+E30*2</f>
        <v>1.3574571622673574E-6</v>
      </c>
      <c r="Q30">
        <f>+E30*2</f>
        <v>1.3574571622673574E-6</v>
      </c>
      <c r="V30">
        <f>+E30</f>
        <v>6.7872858113367872E-7</v>
      </c>
      <c r="AJ30">
        <f>(1-$C30)*$B30</f>
        <v>1.3162961685149295E-4</v>
      </c>
      <c r="CV30">
        <v>2.8933820163736929E-2</v>
      </c>
      <c r="CW30" s="2" t="s">
        <v>25</v>
      </c>
      <c r="CY30">
        <f t="shared" si="10"/>
        <v>2.0361857434010359E-6</v>
      </c>
    </row>
    <row r="31" spans="2:103" x14ac:dyDescent="0.25">
      <c r="B31" s="5">
        <f>+Inlet!D35</f>
        <v>3.3641283729567801E-4</v>
      </c>
      <c r="C31">
        <f t="shared" si="5"/>
        <v>1.5233408275504706E-2</v>
      </c>
      <c r="D31">
        <f t="shared" si="6"/>
        <v>5.0778027585015682E-3</v>
      </c>
      <c r="E31">
        <f t="shared" si="11"/>
        <v>1.7082380332153329E-6</v>
      </c>
      <c r="F31" s="1">
        <v>9</v>
      </c>
      <c r="G31" s="3" t="s">
        <v>26</v>
      </c>
      <c r="L31">
        <f>+E31</f>
        <v>1.7082380332153329E-6</v>
      </c>
      <c r="O31">
        <f>+E31*2</f>
        <v>3.4164760664306659E-6</v>
      </c>
      <c r="Q31">
        <f>+E31*2</f>
        <v>3.4164760664306659E-6</v>
      </c>
      <c r="V31">
        <f>+E31</f>
        <v>1.7082380332153329E-6</v>
      </c>
      <c r="AK31">
        <f>(1-$C31)*$B31</f>
        <v>3.3128812319603205E-4</v>
      </c>
      <c r="CV31">
        <v>3.3128812319603205E-4</v>
      </c>
      <c r="CW31" s="3" t="s">
        <v>26</v>
      </c>
      <c r="CY31">
        <f t="shared" si="10"/>
        <v>5.124714099645998E-6</v>
      </c>
    </row>
    <row r="32" spans="2:103" x14ac:dyDescent="0.25">
      <c r="B32" s="5">
        <f>+Inlet!D36</f>
        <v>2.8889358344335599E-11</v>
      </c>
      <c r="C32">
        <f t="shared" si="5"/>
        <v>1.5233408275504706E-2</v>
      </c>
      <c r="D32">
        <f t="shared" si="6"/>
        <v>5.0778027585015682E-3</v>
      </c>
      <c r="E32">
        <f t="shared" si="11"/>
        <v>1.4669446349220759E-13</v>
      </c>
      <c r="F32" s="1">
        <v>9</v>
      </c>
      <c r="G32" s="2" t="s">
        <v>27</v>
      </c>
      <c r="M32">
        <f>+E32</f>
        <v>1.4669446349220759E-13</v>
      </c>
      <c r="N32">
        <f>+E32*2</f>
        <v>2.9338892698441519E-13</v>
      </c>
      <c r="Q32">
        <f>+E32*2</f>
        <v>2.9338892698441519E-13</v>
      </c>
      <c r="V32">
        <f>+E32</f>
        <v>1.4669446349220759E-13</v>
      </c>
      <c r="AL32">
        <f>(1-$C32)*$B32</f>
        <v>2.8449274953858978E-11</v>
      </c>
      <c r="CV32">
        <v>2.8449274953858978E-11</v>
      </c>
      <c r="CW32" s="2" t="s">
        <v>27</v>
      </c>
      <c r="CY32">
        <f t="shared" si="10"/>
        <v>4.4008339047662278E-13</v>
      </c>
    </row>
    <row r="33" spans="2:103" x14ac:dyDescent="0.25">
      <c r="B33" s="5">
        <f>+Inlet!D37</f>
        <v>8.4212847972979201E-5</v>
      </c>
      <c r="C33">
        <v>0</v>
      </c>
      <c r="D33">
        <f t="shared" si="6"/>
        <v>0</v>
      </c>
      <c r="E33">
        <f t="shared" si="11"/>
        <v>0</v>
      </c>
      <c r="F33" s="1">
        <v>9</v>
      </c>
      <c r="G33" s="3" t="s">
        <v>28</v>
      </c>
      <c r="AM33">
        <f>(1-$C33)*$B33</f>
        <v>8.4212847972979201E-5</v>
      </c>
      <c r="CV33">
        <v>8.4212847972979201E-5</v>
      </c>
      <c r="CW33" s="3" t="s">
        <v>28</v>
      </c>
      <c r="CY33">
        <f t="shared" si="10"/>
        <v>0</v>
      </c>
    </row>
    <row r="34" spans="2:103" x14ac:dyDescent="0.25">
      <c r="B34" s="5">
        <f>+Inlet!D38</f>
        <v>6.2978783674192802E-9</v>
      </c>
      <c r="C34">
        <v>0</v>
      </c>
      <c r="D34">
        <f t="shared" si="6"/>
        <v>0</v>
      </c>
      <c r="E34">
        <f t="shared" si="11"/>
        <v>0</v>
      </c>
      <c r="F34" s="1">
        <v>9</v>
      </c>
      <c r="G34" s="2" t="s">
        <v>29</v>
      </c>
      <c r="AN34">
        <f>(1-$C34)*$B34</f>
        <v>6.2978783674192802E-9</v>
      </c>
      <c r="CV34">
        <v>6.2978783674192802E-9</v>
      </c>
      <c r="CW34" s="2" t="s">
        <v>29</v>
      </c>
      <c r="CY34">
        <f t="shared" si="10"/>
        <v>0</v>
      </c>
    </row>
    <row r="35" spans="2:103" x14ac:dyDescent="0.25">
      <c r="B35" s="5">
        <f>+Inlet!D39</f>
        <v>5.31262659394946E-5</v>
      </c>
      <c r="C35">
        <f t="shared" si="5"/>
        <v>2.8838929414155966E-2</v>
      </c>
      <c r="D35">
        <f t="shared" si="6"/>
        <v>7.2097323535389914E-3</v>
      </c>
      <c r="E35">
        <f t="shared" si="11"/>
        <v>3.8302615836669078E-7</v>
      </c>
      <c r="F35" s="1">
        <v>10</v>
      </c>
      <c r="G35" s="3" t="s">
        <v>30</v>
      </c>
      <c r="L35">
        <f>+E35</f>
        <v>3.8302615836669078E-7</v>
      </c>
      <c r="N35">
        <f>+E35*2</f>
        <v>7.6605231673338155E-7</v>
      </c>
      <c r="Q35">
        <f>+E35*2</f>
        <v>7.6605231673338155E-7</v>
      </c>
      <c r="V35">
        <f>+E35*2</f>
        <v>7.6605231673338155E-7</v>
      </c>
      <c r="Z35">
        <f>+E35</f>
        <v>3.8302615836669078E-7</v>
      </c>
      <c r="AO35">
        <f>(1-$C35)*$B35</f>
        <v>5.1594161306027835E-5</v>
      </c>
      <c r="CV35">
        <v>2.8853410545116684E-2</v>
      </c>
      <c r="CW35" s="3" t="s">
        <v>30</v>
      </c>
      <c r="CY35">
        <f t="shared" si="10"/>
        <v>1.5321046334667631E-6</v>
      </c>
    </row>
    <row r="36" spans="2:103" x14ac:dyDescent="0.25">
      <c r="B36" s="5">
        <f>+Inlet!D40</f>
        <v>3.98999016549474E-5</v>
      </c>
      <c r="C36">
        <f t="shared" si="5"/>
        <v>2.8838929414155966E-2</v>
      </c>
      <c r="D36">
        <f t="shared" si="6"/>
        <v>7.2097323535389914E-3</v>
      </c>
      <c r="E36">
        <f t="shared" si="11"/>
        <v>2.8766761186469824E-7</v>
      </c>
      <c r="F36" s="1">
        <v>10</v>
      </c>
      <c r="G36" s="2" t="s">
        <v>31</v>
      </c>
      <c r="L36">
        <f>+E36</f>
        <v>2.8766761186469824E-7</v>
      </c>
      <c r="O36">
        <f>+E36*2</f>
        <v>5.7533522372939648E-7</v>
      </c>
      <c r="Q36">
        <f>+E36*2</f>
        <v>5.7533522372939648E-7</v>
      </c>
      <c r="V36">
        <f>+E36*2</f>
        <v>5.7533522372939648E-7</v>
      </c>
      <c r="Z36">
        <f>+E36</f>
        <v>2.8766761186469824E-7</v>
      </c>
      <c r="AP36">
        <f>(1-$C36)*$B36</f>
        <v>3.8749231207488604E-5</v>
      </c>
      <c r="CV36">
        <v>3.8749231207488604E-5</v>
      </c>
      <c r="CW36" s="2" t="s">
        <v>31</v>
      </c>
      <c r="CY36">
        <f>SUM(L36:AA36)/2</f>
        <v>1.150670447458793E-6</v>
      </c>
    </row>
    <row r="37" spans="2:103" x14ac:dyDescent="0.25">
      <c r="B37" s="5">
        <f>+Inlet!D41</f>
        <v>2.9005430040026501E-8</v>
      </c>
      <c r="C37">
        <f t="shared" si="5"/>
        <v>2.8838929414155966E-2</v>
      </c>
      <c r="D37">
        <f t="shared" si="6"/>
        <v>7.2097323535389914E-3</v>
      </c>
      <c r="E37">
        <f t="shared" si="11"/>
        <v>2.0912138738789082E-10</v>
      </c>
      <c r="F37" s="1">
        <v>10</v>
      </c>
      <c r="G37" s="3" t="s">
        <v>32</v>
      </c>
      <c r="M37">
        <f>+E37</f>
        <v>2.0912138738789082E-10</v>
      </c>
      <c r="N37">
        <f>+E37*2</f>
        <v>4.1824277477578163E-10</v>
      </c>
      <c r="Q37">
        <f>+E37*2</f>
        <v>4.1824277477578163E-10</v>
      </c>
      <c r="V37">
        <f>+E37*2</f>
        <v>4.1824277477578163E-10</v>
      </c>
      <c r="Z37">
        <f>+E37</f>
        <v>2.0912138738789082E-10</v>
      </c>
      <c r="AQ37">
        <f>(1-$C37)*$B37</f>
        <v>2.8168944490474935E-8</v>
      </c>
      <c r="CV37">
        <v>2.8168944490474935E-8</v>
      </c>
      <c r="CW37" s="3" t="s">
        <v>32</v>
      </c>
      <c r="CY37">
        <f t="shared" ref="CY37:CY43" si="12">SUM(L37:AK37)/2</f>
        <v>8.3648554955156326E-10</v>
      </c>
    </row>
    <row r="38" spans="2:103" x14ac:dyDescent="0.25">
      <c r="B38" s="5">
        <f>+Inlet!D42</f>
        <v>1.2093808049619699E-5</v>
      </c>
      <c r="C38">
        <v>0</v>
      </c>
      <c r="D38">
        <f t="shared" si="6"/>
        <v>0</v>
      </c>
      <c r="E38">
        <f t="shared" si="11"/>
        <v>0</v>
      </c>
      <c r="F38" s="1">
        <v>10</v>
      </c>
      <c r="G38" s="2" t="s">
        <v>33</v>
      </c>
      <c r="AR38">
        <f>(1-$C38)*$B38</f>
        <v>1.2093808049619699E-5</v>
      </c>
      <c r="CV38">
        <v>1.2093808049619699E-5</v>
      </c>
      <c r="CW38" s="2" t="s">
        <v>33</v>
      </c>
      <c r="CY38">
        <f t="shared" si="12"/>
        <v>0</v>
      </c>
    </row>
    <row r="39" spans="2:103" x14ac:dyDescent="0.25">
      <c r="B39" s="5">
        <f>+Inlet!D43</f>
        <v>3.2000962591801201E-7</v>
      </c>
      <c r="C39">
        <v>0</v>
      </c>
      <c r="D39">
        <f t="shared" si="6"/>
        <v>0</v>
      </c>
      <c r="E39">
        <f t="shared" si="11"/>
        <v>0</v>
      </c>
      <c r="F39" s="1">
        <v>10</v>
      </c>
      <c r="G39" s="3" t="s">
        <v>34</v>
      </c>
      <c r="AS39">
        <f>(1-$C39)*$B39</f>
        <v>3.2000962591801201E-7</v>
      </c>
      <c r="CV39">
        <v>3.2000962591801201E-7</v>
      </c>
      <c r="CW39" s="3" t="s">
        <v>34</v>
      </c>
      <c r="CY39">
        <f t="shared" si="12"/>
        <v>0</v>
      </c>
    </row>
    <row r="40" spans="2:103" x14ac:dyDescent="0.25">
      <c r="B40" s="5">
        <f>+Inlet!D44</f>
        <v>6.36753582062744E-6</v>
      </c>
      <c r="C40">
        <f t="shared" si="5"/>
        <v>4.913598187307628E-2</v>
      </c>
      <c r="D40">
        <f t="shared" si="6"/>
        <v>9.8271963746152571E-3</v>
      </c>
      <c r="E40">
        <f t="shared" si="11"/>
        <v>6.2575024931702768E-8</v>
      </c>
      <c r="F40" s="1">
        <v>11</v>
      </c>
      <c r="G40" s="3" t="s">
        <v>35</v>
      </c>
      <c r="L40">
        <f>+E40</f>
        <v>6.2575024931702768E-8</v>
      </c>
      <c r="N40">
        <f>+E40*2</f>
        <v>1.2515004986340554E-7</v>
      </c>
      <c r="Q40">
        <f>+E40*2</f>
        <v>1.2515004986340554E-7</v>
      </c>
      <c r="V40">
        <f>+E40*2</f>
        <v>1.2515004986340554E-7</v>
      </c>
      <c r="Z40">
        <f>+E40*2</f>
        <v>1.2515004986340554E-7</v>
      </c>
      <c r="AE40">
        <f>+E40</f>
        <v>6.2575024931702768E-8</v>
      </c>
      <c r="AT40">
        <f>(1-$C40)*$B40</f>
        <v>6.0546606959689261E-6</v>
      </c>
      <c r="CV40">
        <v>2.8806019105484783E-2</v>
      </c>
      <c r="CW40" s="3" t="s">
        <v>35</v>
      </c>
      <c r="CY40">
        <f t="shared" si="12"/>
        <v>3.1287512465851383E-7</v>
      </c>
    </row>
    <row r="41" spans="2:103" x14ac:dyDescent="0.25">
      <c r="B41" s="5">
        <f>+Inlet!D45</f>
        <v>6.9458670121346895E-7</v>
      </c>
      <c r="C41">
        <f t="shared" si="5"/>
        <v>4.913598187307628E-2</v>
      </c>
      <c r="D41">
        <f t="shared" si="6"/>
        <v>9.8271963746152571E-3</v>
      </c>
      <c r="E41">
        <f t="shared" si="11"/>
        <v>6.8258399120209729E-9</v>
      </c>
      <c r="F41" s="1">
        <v>11</v>
      </c>
      <c r="G41" s="2" t="s">
        <v>36</v>
      </c>
      <c r="L41">
        <f>+E41</f>
        <v>6.8258399120209729E-9</v>
      </c>
      <c r="O41">
        <f>+E41*2</f>
        <v>1.3651679824041946E-8</v>
      </c>
      <c r="Q41">
        <f>+E41*2</f>
        <v>1.3651679824041946E-8</v>
      </c>
      <c r="V41">
        <f>+E41*2</f>
        <v>1.3651679824041946E-8</v>
      </c>
      <c r="Z41">
        <f>+E41*2</f>
        <v>1.3651679824041946E-8</v>
      </c>
      <c r="AE41">
        <f>+E41</f>
        <v>6.8258399120209729E-9</v>
      </c>
      <c r="AU41">
        <f>(1-$C41)*$B41</f>
        <v>6.6045750165336401E-7</v>
      </c>
      <c r="CV41">
        <v>6.6045750165336401E-7</v>
      </c>
      <c r="CW41" s="2" t="s">
        <v>36</v>
      </c>
      <c r="CY41">
        <f t="shared" si="12"/>
        <v>3.4129199560104865E-8</v>
      </c>
    </row>
    <row r="42" spans="2:103" x14ac:dyDescent="0.25">
      <c r="B42" s="5">
        <f>+Inlet!D46</f>
        <v>1.65554693590926E-7</v>
      </c>
      <c r="C42">
        <v>0</v>
      </c>
      <c r="D42">
        <f t="shared" si="6"/>
        <v>0</v>
      </c>
      <c r="E42">
        <f t="shared" si="11"/>
        <v>0</v>
      </c>
      <c r="F42" s="1">
        <v>11</v>
      </c>
      <c r="G42" s="2" t="s">
        <v>37</v>
      </c>
      <c r="AV42">
        <f>(1-$C42)*$B42</f>
        <v>1.65554693590926E-7</v>
      </c>
      <c r="CV42">
        <v>1.65554693590926E-7</v>
      </c>
      <c r="CW42" s="2" t="s">
        <v>37</v>
      </c>
      <c r="CY42">
        <f t="shared" si="12"/>
        <v>0</v>
      </c>
    </row>
    <row r="43" spans="2:103" x14ac:dyDescent="0.25">
      <c r="B43" s="5">
        <f>+Inlet!D47</f>
        <v>2.8947638471494402E-7</v>
      </c>
      <c r="C43">
        <f t="shared" ref="C43" si="13">(EXP($A$3*(F43-7))-1)/(EXP($A$3*(18-7))-1)</f>
        <v>4.913598187307628E-2</v>
      </c>
      <c r="D43">
        <f t="shared" ref="D43" si="14">1/(F43-6)*C43</f>
        <v>9.8271963746152571E-3</v>
      </c>
      <c r="E43">
        <f t="shared" ref="E43" si="15">1/(F43-6)*C43*B43</f>
        <v>2.8447412784074293E-9</v>
      </c>
      <c r="F43" s="1">
        <v>11</v>
      </c>
      <c r="G43" s="2" t="s">
        <v>102</v>
      </c>
      <c r="M43">
        <f>+E43</f>
        <v>2.8447412784074293E-9</v>
      </c>
      <c r="O43">
        <f>+E43*2</f>
        <v>5.6894825568148587E-9</v>
      </c>
      <c r="Q43">
        <f>+E43*2</f>
        <v>5.6894825568148587E-9</v>
      </c>
      <c r="V43">
        <f>+E43*2</f>
        <v>5.6894825568148587E-9</v>
      </c>
      <c r="Z43">
        <f>+E43*2</f>
        <v>5.6894825568148587E-9</v>
      </c>
      <c r="AE43">
        <f>+E43</f>
        <v>2.8447412784074293E-9</v>
      </c>
      <c r="AW43">
        <f>(1-$C43)*$B43</f>
        <v>2.7525267832290686E-7</v>
      </c>
      <c r="CV43">
        <v>2.7525267832290686E-7</v>
      </c>
      <c r="CW43" s="2"/>
      <c r="CY43">
        <f t="shared" si="12"/>
        <v>1.4223706392037147E-8</v>
      </c>
    </row>
    <row r="44" spans="2:103" x14ac:dyDescent="0.25">
      <c r="B44" s="5">
        <f>+Inlet!D48</f>
        <v>1.15040433650954E-6</v>
      </c>
      <c r="C44">
        <f t="shared" si="5"/>
        <v>7.9415626020614083E-2</v>
      </c>
      <c r="D44">
        <f t="shared" si="6"/>
        <v>1.3235937670102347E-2</v>
      </c>
      <c r="E44">
        <f t="shared" si="11"/>
        <v>1.5226680093455718E-8</v>
      </c>
      <c r="F44" s="1">
        <v>12</v>
      </c>
      <c r="G44" s="2" t="s">
        <v>38</v>
      </c>
      <c r="L44">
        <f>+E44</f>
        <v>1.5226680093455718E-8</v>
      </c>
      <c r="O44">
        <f>+E44*2</f>
        <v>3.0453360186911436E-8</v>
      </c>
      <c r="Q44">
        <f>+E44*2</f>
        <v>3.0453360186911436E-8</v>
      </c>
      <c r="V44">
        <f>+E44*2</f>
        <v>3.0453360186911436E-8</v>
      </c>
      <c r="Z44">
        <f>+E44*2</f>
        <v>3.0453360186911436E-8</v>
      </c>
      <c r="AE44">
        <f>+E44*2</f>
        <v>3.0453360186911436E-8</v>
      </c>
      <c r="AJ44">
        <f>+E44</f>
        <v>1.5226680093455718E-8</v>
      </c>
      <c r="AX44">
        <f>(1-$C44)*$B44</f>
        <v>1.0590442559488057E-6</v>
      </c>
      <c r="CV44">
        <v>1.0590442559488057E-6</v>
      </c>
      <c r="CW44" s="2" t="s">
        <v>38</v>
      </c>
      <c r="CY44">
        <f>SUM(L44:AK44)/2</f>
        <v>9.136008056073432E-8</v>
      </c>
    </row>
    <row r="45" spans="2:103" x14ac:dyDescent="0.25">
      <c r="B45" s="5">
        <f>+Inlet!D49</f>
        <v>5.0522337157809797E-6</v>
      </c>
      <c r="C45">
        <f t="shared" si="5"/>
        <v>7.9415626020614083E-2</v>
      </c>
      <c r="D45">
        <f t="shared" si="6"/>
        <v>1.3235937670102347E-2</v>
      </c>
      <c r="E45">
        <f t="shared" si="11"/>
        <v>6.6871050556866617E-8</v>
      </c>
      <c r="F45" s="1">
        <v>12</v>
      </c>
      <c r="G45" s="3" t="s">
        <v>39</v>
      </c>
      <c r="L45">
        <f>+E45</f>
        <v>6.6871050556866617E-8</v>
      </c>
      <c r="N45">
        <f>+E45*2</f>
        <v>1.3374210111373323E-7</v>
      </c>
      <c r="Q45">
        <f>+E45*2</f>
        <v>1.3374210111373323E-7</v>
      </c>
      <c r="V45">
        <f>+E45*2</f>
        <v>1.3374210111373323E-7</v>
      </c>
      <c r="Z45">
        <f>+E45*2</f>
        <v>1.3374210111373323E-7</v>
      </c>
      <c r="AE45">
        <f>+E45*2</f>
        <v>1.3374210111373323E-7</v>
      </c>
      <c r="AJ45">
        <f>+E45</f>
        <v>6.6871050556866617E-8</v>
      </c>
      <c r="AY45">
        <f>(1-$C45)*$B45</f>
        <v>4.6510074124397806E-6</v>
      </c>
      <c r="CV45">
        <v>2.8794735851316984E-2</v>
      </c>
      <c r="CW45" s="3" t="s">
        <v>39</v>
      </c>
      <c r="CY45">
        <f>SUM(L45:AX45)/2</f>
        <v>4.0122630334119973E-7</v>
      </c>
    </row>
    <row r="46" spans="2:103" x14ac:dyDescent="0.25">
      <c r="B46" s="5">
        <f>+Inlet!D50</f>
        <v>1.42872677173312E-7</v>
      </c>
      <c r="C46">
        <f t="shared" si="5"/>
        <v>7.9415626020614083E-2</v>
      </c>
      <c r="D46">
        <f t="shared" si="6"/>
        <v>1.3235937670102347E-2</v>
      </c>
      <c r="E46">
        <f t="shared" si="11"/>
        <v>1.8910538498266118E-9</v>
      </c>
      <c r="F46" s="1">
        <v>12</v>
      </c>
      <c r="G46" s="3" t="s">
        <v>40</v>
      </c>
      <c r="M46">
        <f>+E46</f>
        <v>1.8910538498266118E-9</v>
      </c>
      <c r="N46">
        <f>+E46*2</f>
        <v>3.7821076996532235E-9</v>
      </c>
      <c r="Q46">
        <f>+E46*2</f>
        <v>3.7821076996532235E-9</v>
      </c>
      <c r="V46">
        <f>+E46*2</f>
        <v>3.7821076996532235E-9</v>
      </c>
      <c r="Z46">
        <f>+E46*2</f>
        <v>3.7821076996532235E-9</v>
      </c>
      <c r="AE46">
        <f>+E46*2</f>
        <v>3.7821076996532235E-9</v>
      </c>
      <c r="AJ46">
        <f>+E46</f>
        <v>1.8910538498266118E-9</v>
      </c>
      <c r="AZ46">
        <f>(1-$C46)*$B46</f>
        <v>1.3152635407435234E-7</v>
      </c>
      <c r="CV46">
        <v>1.3152635407435234E-7</v>
      </c>
      <c r="CW46" s="3" t="s">
        <v>40</v>
      </c>
      <c r="CY46">
        <f t="shared" ref="CY46:CY52" si="16">SUM(L46:AX46)/2</f>
        <v>1.134632309895967E-8</v>
      </c>
    </row>
    <row r="47" spans="2:103" x14ac:dyDescent="0.25">
      <c r="B47" s="5">
        <f>+Inlet!D51</f>
        <v>5.4930049786511697E-7</v>
      </c>
      <c r="C47">
        <v>0</v>
      </c>
      <c r="D47">
        <f t="shared" si="6"/>
        <v>0</v>
      </c>
      <c r="E47">
        <f t="shared" si="11"/>
        <v>0</v>
      </c>
      <c r="F47" s="1">
        <v>12</v>
      </c>
      <c r="G47" s="2" t="s">
        <v>41</v>
      </c>
      <c r="BA47">
        <f>(1-$C47)*$B47</f>
        <v>5.4930049786511697E-7</v>
      </c>
      <c r="CV47">
        <v>5.4930049786511697E-7</v>
      </c>
      <c r="CW47" s="2" t="s">
        <v>41</v>
      </c>
      <c r="CY47">
        <f t="shared" si="16"/>
        <v>0</v>
      </c>
    </row>
    <row r="48" spans="2:103" x14ac:dyDescent="0.25">
      <c r="B48" s="5">
        <f>+Inlet!D52</f>
        <v>9.8777101473426203E-8</v>
      </c>
      <c r="C48">
        <v>0</v>
      </c>
      <c r="D48">
        <f t="shared" ref="D48" si="17">1/(F48-6)*C48</f>
        <v>0</v>
      </c>
      <c r="E48">
        <f t="shared" ref="E48" si="18">1/(F48-6)*C48*B48</f>
        <v>0</v>
      </c>
      <c r="F48" s="1">
        <v>12</v>
      </c>
      <c r="G48" s="2" t="s">
        <v>103</v>
      </c>
      <c r="BB48">
        <f>(1-$C48)*$B48</f>
        <v>9.8777101473426203E-8</v>
      </c>
      <c r="CV48">
        <v>9.8777101473426203E-8</v>
      </c>
      <c r="CW48" s="2"/>
      <c r="CY48">
        <f t="shared" si="16"/>
        <v>0</v>
      </c>
    </row>
    <row r="49" spans="2:103" x14ac:dyDescent="0.25">
      <c r="B49" s="5">
        <f>+Inlet!D53</f>
        <v>1.7767883216190999E-6</v>
      </c>
      <c r="C49">
        <f t="shared" si="5"/>
        <v>0.12458754699569997</v>
      </c>
      <c r="D49">
        <f t="shared" si="6"/>
        <v>1.779822099938571E-2</v>
      </c>
      <c r="E49">
        <f t="shared" si="11"/>
        <v>3.1623671217304354E-8</v>
      </c>
      <c r="F49" s="1">
        <v>13</v>
      </c>
      <c r="G49" s="2" t="s">
        <v>42</v>
      </c>
      <c r="L49">
        <f>+E49</f>
        <v>3.1623671217304354E-8</v>
      </c>
      <c r="O49">
        <f>+E49*2</f>
        <v>6.3247342434608708E-8</v>
      </c>
      <c r="Q49">
        <f>+E49*2</f>
        <v>6.3247342434608708E-8</v>
      </c>
      <c r="V49">
        <f>+E49*2</f>
        <v>6.3247342434608708E-8</v>
      </c>
      <c r="Z49">
        <f>+E49*2</f>
        <v>6.3247342434608708E-8</v>
      </c>
      <c r="AE49">
        <f>+E49*2</f>
        <v>6.3247342434608708E-8</v>
      </c>
      <c r="AJ49">
        <f>+E49*2</f>
        <v>6.3247342434608708E-8</v>
      </c>
      <c r="AO49">
        <f>+E49</f>
        <v>3.1623671217304354E-8</v>
      </c>
      <c r="BC49">
        <f>(1-$C49)*$B49</f>
        <v>1.5554226230979695E-6</v>
      </c>
      <c r="CV49">
        <v>1.5554226230979695E-6</v>
      </c>
      <c r="CW49" s="2" t="s">
        <v>42</v>
      </c>
      <c r="CY49">
        <f t="shared" si="16"/>
        <v>2.213656985211305E-7</v>
      </c>
    </row>
    <row r="50" spans="2:103" x14ac:dyDescent="0.25">
      <c r="B50" s="5">
        <f>+Inlet!D54</f>
        <v>2.06538218262178E-7</v>
      </c>
      <c r="C50">
        <f t="shared" si="5"/>
        <v>0.12458754699569997</v>
      </c>
      <c r="D50">
        <f t="shared" si="6"/>
        <v>1.779822099938571E-2</v>
      </c>
      <c r="E50">
        <f t="shared" si="11"/>
        <v>3.6760128534496055E-9</v>
      </c>
      <c r="F50" s="1">
        <v>13</v>
      </c>
      <c r="G50" s="3" t="s">
        <v>43</v>
      </c>
      <c r="M50">
        <f>+E50</f>
        <v>3.6760128534496055E-9</v>
      </c>
      <c r="N50">
        <f>+E50*2</f>
        <v>7.3520257068992109E-9</v>
      </c>
      <c r="Q50">
        <f t="shared" ref="Q50:Q93" si="19">+E50*2</f>
        <v>7.3520257068992109E-9</v>
      </c>
      <c r="V50">
        <f t="shared" ref="V50:V93" si="20">+E50*2</f>
        <v>7.3520257068992109E-9</v>
      </c>
      <c r="Z50">
        <f t="shared" ref="Z50:Z93" si="21">+E50*2</f>
        <v>7.3520257068992109E-9</v>
      </c>
      <c r="AE50">
        <f t="shared" ref="AE50:AE93" si="22">+E50*2</f>
        <v>7.3520257068992109E-9</v>
      </c>
      <c r="AJ50">
        <f t="shared" ref="AJ50:AJ93" si="23">+E50*2</f>
        <v>7.3520257068992109E-9</v>
      </c>
      <c r="AO50">
        <f>+E50</f>
        <v>3.6760128534496055E-9</v>
      </c>
      <c r="BD50">
        <f>(1-$C50)*$B50</f>
        <v>1.8080612828803075E-7</v>
      </c>
      <c r="CV50">
        <v>1.8080612828803075E-7</v>
      </c>
      <c r="CW50" s="3" t="s">
        <v>43</v>
      </c>
      <c r="CY50">
        <f t="shared" si="16"/>
        <v>2.5732089974147242E-8</v>
      </c>
    </row>
    <row r="51" spans="2:103" x14ac:dyDescent="0.25">
      <c r="B51" s="5">
        <f>+Inlet!D55</f>
        <v>1.43202293204218E-5</v>
      </c>
      <c r="C51">
        <f t="shared" si="5"/>
        <v>0.12458754699569997</v>
      </c>
      <c r="D51">
        <f t="shared" si="6"/>
        <v>1.779822099938571E-2</v>
      </c>
      <c r="E51">
        <f t="shared" si="11"/>
        <v>2.5487460620675024E-7</v>
      </c>
      <c r="F51" s="1">
        <v>13</v>
      </c>
      <c r="G51" s="2" t="s">
        <v>44</v>
      </c>
      <c r="L51">
        <f>+E51</f>
        <v>2.5487460620675024E-7</v>
      </c>
      <c r="N51">
        <f>+E51*2</f>
        <v>5.0974921241350049E-7</v>
      </c>
      <c r="Q51">
        <f t="shared" si="19"/>
        <v>5.0974921241350049E-7</v>
      </c>
      <c r="V51">
        <f t="shared" si="20"/>
        <v>5.0974921241350049E-7</v>
      </c>
      <c r="Z51">
        <f t="shared" si="21"/>
        <v>5.0974921241350049E-7</v>
      </c>
      <c r="AE51">
        <f t="shared" si="22"/>
        <v>5.0974921241350049E-7</v>
      </c>
      <c r="AJ51">
        <f t="shared" si="23"/>
        <v>5.0974921241350049E-7</v>
      </c>
      <c r="AO51">
        <f>+E51</f>
        <v>2.5487460620675024E-7</v>
      </c>
      <c r="BE51">
        <f>(1-$C51)*$B51</f>
        <v>1.2536107076974549E-5</v>
      </c>
      <c r="CV51">
        <v>2.8749988232886357E-2</v>
      </c>
      <c r="CW51" s="2" t="s">
        <v>44</v>
      </c>
      <c r="CY51">
        <f t="shared" si="16"/>
        <v>1.7841222434472515E-6</v>
      </c>
    </row>
    <row r="52" spans="2:103" x14ac:dyDescent="0.25">
      <c r="B52" s="5">
        <f>+Inlet!D56</f>
        <v>1.73939982511811E-6</v>
      </c>
      <c r="C52">
        <f t="shared" si="5"/>
        <v>0.19197613434623281</v>
      </c>
      <c r="D52">
        <f t="shared" si="6"/>
        <v>2.3997016793279102E-2</v>
      </c>
      <c r="E52">
        <f t="shared" si="11"/>
        <v>4.1740406813586017E-8</v>
      </c>
      <c r="F52" s="1">
        <v>14</v>
      </c>
      <c r="G52" s="3" t="s">
        <v>45</v>
      </c>
      <c r="L52">
        <f t="shared" ref="L52:L93" si="24">+E52</f>
        <v>4.1740406813586017E-8</v>
      </c>
      <c r="O52">
        <f>+E52*2</f>
        <v>8.3480813627172034E-8</v>
      </c>
      <c r="Q52">
        <f t="shared" si="19"/>
        <v>8.3480813627172034E-8</v>
      </c>
      <c r="V52">
        <f t="shared" si="20"/>
        <v>8.3480813627172034E-8</v>
      </c>
      <c r="Z52">
        <f t="shared" si="21"/>
        <v>8.3480813627172034E-8</v>
      </c>
      <c r="AE52">
        <f t="shared" si="22"/>
        <v>8.3480813627172034E-8</v>
      </c>
      <c r="AJ52">
        <f t="shared" si="23"/>
        <v>8.3480813627172034E-8</v>
      </c>
      <c r="AO52">
        <f>+E52*2</f>
        <v>8.3480813627172034E-8</v>
      </c>
      <c r="AT52">
        <f>+E52</f>
        <v>4.1740406813586017E-8</v>
      </c>
      <c r="BF52">
        <f>(1-$C52)*$B52</f>
        <v>1.4054765706094218E-6</v>
      </c>
      <c r="CV52">
        <v>1.4054765706094218E-6</v>
      </c>
      <c r="CW52" s="3" t="s">
        <v>45</v>
      </c>
      <c r="CY52">
        <f t="shared" si="16"/>
        <v>3.3392325450868819E-7</v>
      </c>
    </row>
    <row r="53" spans="2:103" x14ac:dyDescent="0.25">
      <c r="B53" s="5">
        <f>+Inlet!D57</f>
        <v>6.3342220320428803E-5</v>
      </c>
      <c r="C53">
        <f t="shared" si="5"/>
        <v>0.19197613434623281</v>
      </c>
      <c r="D53">
        <f t="shared" si="6"/>
        <v>2.3997016793279102E-2</v>
      </c>
      <c r="E53">
        <f t="shared" si="11"/>
        <v>1.5200243247529147E-6</v>
      </c>
      <c r="F53" s="1">
        <v>14</v>
      </c>
      <c r="G53" s="2" t="s">
        <v>46</v>
      </c>
      <c r="L53">
        <f t="shared" si="24"/>
        <v>1.5200243247529147E-6</v>
      </c>
      <c r="N53">
        <f>+E53*2</f>
        <v>3.0400486495058293E-6</v>
      </c>
      <c r="Q53">
        <f t="shared" si="19"/>
        <v>3.0400486495058293E-6</v>
      </c>
      <c r="V53">
        <f t="shared" si="20"/>
        <v>3.0400486495058293E-6</v>
      </c>
      <c r="Z53">
        <f t="shared" si="21"/>
        <v>3.0400486495058293E-6</v>
      </c>
      <c r="AE53">
        <f t="shared" si="22"/>
        <v>3.0400486495058293E-6</v>
      </c>
      <c r="AJ53">
        <f t="shared" si="23"/>
        <v>3.0400486495058293E-6</v>
      </c>
      <c r="AO53">
        <f t="shared" ref="AO53:AO93" si="25">+E53*2</f>
        <v>3.0400486495058293E-6</v>
      </c>
      <c r="AT53">
        <f>+E53</f>
        <v>1.5200243247529147E-6</v>
      </c>
      <c r="BG53">
        <f>(1-$C53)*$B53</f>
        <v>5.118202572240548E-5</v>
      </c>
      <c r="CV53">
        <v>2.8463972914584565E-2</v>
      </c>
      <c r="CW53" s="2" t="s">
        <v>46</v>
      </c>
      <c r="CY53">
        <f>SUM(L53:AX53)/2</f>
        <v>1.2160194598023317E-5</v>
      </c>
    </row>
    <row r="54" spans="2:103" x14ac:dyDescent="0.25">
      <c r="B54" s="5">
        <f>+Inlet!D58</f>
        <v>1.0679308080105E-5</v>
      </c>
      <c r="C54">
        <f t="shared" si="5"/>
        <v>0.29250809329491373</v>
      </c>
      <c r="D54">
        <f t="shared" si="6"/>
        <v>3.250089925499041E-2</v>
      </c>
      <c r="E54">
        <f t="shared" si="11"/>
        <v>3.4708711602449766E-7</v>
      </c>
      <c r="F54" s="1">
        <v>15</v>
      </c>
      <c r="G54" s="3" t="s">
        <v>47</v>
      </c>
      <c r="L54">
        <f t="shared" si="24"/>
        <v>3.4708711602449766E-7</v>
      </c>
      <c r="O54">
        <f>+E54*2</f>
        <v>6.9417423204899532E-7</v>
      </c>
      <c r="Q54">
        <f t="shared" si="19"/>
        <v>6.9417423204899532E-7</v>
      </c>
      <c r="V54">
        <f t="shared" si="20"/>
        <v>6.9417423204899532E-7</v>
      </c>
      <c r="Z54">
        <f t="shared" si="21"/>
        <v>6.9417423204899532E-7</v>
      </c>
      <c r="AE54">
        <f t="shared" si="22"/>
        <v>6.9417423204899532E-7</v>
      </c>
      <c r="AJ54">
        <f t="shared" si="23"/>
        <v>6.9417423204899532E-7</v>
      </c>
      <c r="AO54">
        <f t="shared" si="25"/>
        <v>6.9417423204899532E-7</v>
      </c>
      <c r="AT54">
        <f>+E54*2</f>
        <v>6.9417423204899532E-7</v>
      </c>
      <c r="AY54">
        <f>+E54</f>
        <v>3.4708711602449766E-7</v>
      </c>
      <c r="BH54">
        <f>(1-$C54)*$B54</f>
        <v>7.55552403588452E-6</v>
      </c>
      <c r="CV54">
        <v>7.55552403588452E-6</v>
      </c>
      <c r="CW54" s="3" t="s">
        <v>47</v>
      </c>
      <c r="CY54">
        <f>SUM(L54:BC54)/2</f>
        <v>3.1237840442204795E-6</v>
      </c>
    </row>
    <row r="55" spans="2:103" x14ac:dyDescent="0.25">
      <c r="B55" s="5">
        <f>+Inlet!D59</f>
        <v>2.4524703067885402E-4</v>
      </c>
      <c r="C55">
        <f t="shared" si="5"/>
        <v>0.29250809329491373</v>
      </c>
      <c r="D55">
        <f t="shared" si="6"/>
        <v>3.250089925499041E-2</v>
      </c>
      <c r="E55">
        <f t="shared" si="11"/>
        <v>7.9707490366789767E-6</v>
      </c>
      <c r="F55" s="1">
        <v>15</v>
      </c>
      <c r="G55" s="2" t="s">
        <v>48</v>
      </c>
      <c r="L55">
        <f t="shared" si="24"/>
        <v>7.9707490366789767E-6</v>
      </c>
      <c r="N55">
        <f>+E55*2</f>
        <v>1.5941498073357953E-5</v>
      </c>
      <c r="Q55">
        <f t="shared" si="19"/>
        <v>1.5941498073357953E-5</v>
      </c>
      <c r="V55">
        <f t="shared" si="20"/>
        <v>1.5941498073357953E-5</v>
      </c>
      <c r="Z55">
        <f t="shared" si="21"/>
        <v>1.5941498073357953E-5</v>
      </c>
      <c r="AE55">
        <f t="shared" si="22"/>
        <v>1.5941498073357953E-5</v>
      </c>
      <c r="AJ55">
        <f t="shared" si="23"/>
        <v>1.5941498073357953E-5</v>
      </c>
      <c r="AO55">
        <f t="shared" si="25"/>
        <v>1.5941498073357953E-5</v>
      </c>
      <c r="AT55">
        <f t="shared" ref="AT55:AT93" si="26">+E55*2</f>
        <v>1.5941498073357953E-5</v>
      </c>
      <c r="AY55">
        <f>+E55</f>
        <v>7.9707490366789767E-6</v>
      </c>
      <c r="BI55">
        <f>(1-$C55)*$B55</f>
        <v>1.7351028934874322E-4</v>
      </c>
      <c r="CV55">
        <v>2.5133702061051841E-2</v>
      </c>
      <c r="CW55" s="2" t="s">
        <v>48</v>
      </c>
      <c r="CY55">
        <f>SUM(L55:BE55)/2</f>
        <v>7.1736741330110789E-5</v>
      </c>
    </row>
    <row r="56" spans="2:103" x14ac:dyDescent="0.25">
      <c r="B56" s="5">
        <f>+Inlet!D60</f>
        <v>7.2695341019647397E-5</v>
      </c>
      <c r="C56">
        <f t="shared" si="5"/>
        <v>0.44248415255681423</v>
      </c>
      <c r="D56">
        <f t="shared" si="6"/>
        <v>4.4248415255681427E-2</v>
      </c>
      <c r="E56">
        <f t="shared" si="11"/>
        <v>3.2166536365907297E-6</v>
      </c>
      <c r="F56" s="1">
        <v>16</v>
      </c>
      <c r="G56" s="3" t="s">
        <v>49</v>
      </c>
      <c r="L56">
        <f t="shared" si="24"/>
        <v>3.2166536365907297E-6</v>
      </c>
      <c r="O56">
        <f>+E56*2</f>
        <v>6.4333072731814593E-6</v>
      </c>
      <c r="Q56">
        <f t="shared" si="19"/>
        <v>6.4333072731814593E-6</v>
      </c>
      <c r="V56">
        <f t="shared" si="20"/>
        <v>6.4333072731814593E-6</v>
      </c>
      <c r="Z56">
        <f t="shared" si="21"/>
        <v>6.4333072731814593E-6</v>
      </c>
      <c r="AE56">
        <f t="shared" si="22"/>
        <v>6.4333072731814593E-6</v>
      </c>
      <c r="AJ56">
        <f t="shared" si="23"/>
        <v>6.4333072731814593E-6</v>
      </c>
      <c r="AO56">
        <f t="shared" si="25"/>
        <v>6.4333072731814593E-6</v>
      </c>
      <c r="AT56">
        <f t="shared" si="26"/>
        <v>6.4333072731814593E-6</v>
      </c>
      <c r="AY56">
        <f>+E56*2</f>
        <v>6.4333072731814593E-6</v>
      </c>
      <c r="BE56">
        <f>+E56</f>
        <v>3.2166536365907297E-6</v>
      </c>
      <c r="BJ56">
        <f>(1-$C56)*$B56</f>
        <v>4.0528804653740105E-5</v>
      </c>
      <c r="CV56">
        <v>4.0528804653740105E-5</v>
      </c>
      <c r="CW56" s="3" t="s">
        <v>49</v>
      </c>
      <c r="CY56">
        <f>SUM(L56:BF56)/2</f>
        <v>3.2166536365907292E-5</v>
      </c>
    </row>
    <row r="57" spans="2:103" x14ac:dyDescent="0.25">
      <c r="B57" s="5">
        <f>+Inlet!D61</f>
        <v>9.2880678479418603E-4</v>
      </c>
      <c r="C57">
        <f t="shared" si="5"/>
        <v>0.44248415255681423</v>
      </c>
      <c r="D57">
        <f t="shared" si="6"/>
        <v>4.4248415255681427E-2</v>
      </c>
      <c r="E57">
        <f t="shared" si="11"/>
        <v>4.1098228305867476E-5</v>
      </c>
      <c r="F57" s="1">
        <v>16</v>
      </c>
      <c r="G57" s="2" t="s">
        <v>50</v>
      </c>
      <c r="L57">
        <f t="shared" si="24"/>
        <v>4.1098228305867476E-5</v>
      </c>
      <c r="N57">
        <f>+E57*2</f>
        <v>8.2196456611734951E-5</v>
      </c>
      <c r="Q57">
        <f t="shared" si="19"/>
        <v>8.2196456611734951E-5</v>
      </c>
      <c r="V57">
        <f t="shared" si="20"/>
        <v>8.2196456611734951E-5</v>
      </c>
      <c r="Z57">
        <f t="shared" si="21"/>
        <v>8.2196456611734951E-5</v>
      </c>
      <c r="AE57">
        <f t="shared" si="22"/>
        <v>8.2196456611734951E-5</v>
      </c>
      <c r="AJ57">
        <f t="shared" si="23"/>
        <v>8.2196456611734951E-5</v>
      </c>
      <c r="AO57">
        <f t="shared" si="25"/>
        <v>8.2196456611734951E-5</v>
      </c>
      <c r="AT57">
        <f t="shared" si="26"/>
        <v>8.2196456611734951E-5</v>
      </c>
      <c r="AY57">
        <f t="shared" ref="AY57:AY93" si="27">+E57*2</f>
        <v>8.2196456611734951E-5</v>
      </c>
      <c r="BE57">
        <f>+E57</f>
        <v>4.1098228305867476E-5</v>
      </c>
      <c r="BK57">
        <f>(1-$C57)*$B57</f>
        <v>5.1782450173551138E-4</v>
      </c>
      <c r="CV57">
        <v>1.9881941817091731E-2</v>
      </c>
      <c r="CW57" s="2" t="s">
        <v>50</v>
      </c>
      <c r="CY57">
        <f>SUM(L57:BF57)/2</f>
        <v>4.1098228305867476E-4</v>
      </c>
    </row>
    <row r="58" spans="2:103" x14ac:dyDescent="0.25">
      <c r="B58" s="5">
        <f>+Inlet!D62</f>
        <v>6.1810605848908699E-5</v>
      </c>
      <c r="C58">
        <f t="shared" si="5"/>
        <v>0.66622214181862816</v>
      </c>
      <c r="D58">
        <f t="shared" si="6"/>
        <v>6.0565649256238925E-2</v>
      </c>
      <c r="E58">
        <f t="shared" si="11"/>
        <v>3.7435994741606343E-6</v>
      </c>
      <c r="F58" s="1">
        <v>17</v>
      </c>
      <c r="G58" s="3" t="s">
        <v>51</v>
      </c>
      <c r="L58">
        <f t="shared" si="24"/>
        <v>3.7435994741606343E-6</v>
      </c>
      <c r="O58">
        <f>+E58*2</f>
        <v>7.4871989483212687E-6</v>
      </c>
      <c r="Q58">
        <f t="shared" si="19"/>
        <v>7.4871989483212687E-6</v>
      </c>
      <c r="V58">
        <f t="shared" si="20"/>
        <v>7.4871989483212687E-6</v>
      </c>
      <c r="Z58">
        <f t="shared" si="21"/>
        <v>7.4871989483212687E-6</v>
      </c>
      <c r="AE58">
        <f t="shared" si="22"/>
        <v>7.4871989483212687E-6</v>
      </c>
      <c r="AJ58">
        <f t="shared" si="23"/>
        <v>7.4871989483212687E-6</v>
      </c>
      <c r="AO58">
        <f t="shared" si="25"/>
        <v>7.4871989483212687E-6</v>
      </c>
      <c r="AT58">
        <f t="shared" si="26"/>
        <v>7.4871989483212687E-6</v>
      </c>
      <c r="AY58">
        <f t="shared" si="27"/>
        <v>7.4871989483212687E-6</v>
      </c>
      <c r="BE58">
        <f>+E58*2</f>
        <v>7.4871989483212687E-6</v>
      </c>
      <c r="BG58">
        <f>+E58</f>
        <v>3.7435994741606343E-6</v>
      </c>
      <c r="BL58">
        <f>(1-$C58)*$B58</f>
        <v>2.0631011633141722E-5</v>
      </c>
      <c r="CV58">
        <v>2.0631011633141722E-5</v>
      </c>
      <c r="CW58" s="3" t="s">
        <v>51</v>
      </c>
      <c r="CY58">
        <f>SUM(L58:BK58)/2</f>
        <v>4.1179594215766984E-5</v>
      </c>
    </row>
    <row r="59" spans="2:103" x14ac:dyDescent="0.25">
      <c r="B59" s="5">
        <f>+Inlet!D63</f>
        <v>4.5669906775103099E-3</v>
      </c>
      <c r="C59">
        <f t="shared" si="5"/>
        <v>0.66622214181862816</v>
      </c>
      <c r="D59">
        <f>1/(F59-6)*C59</f>
        <v>6.0565649256238925E-2</v>
      </c>
      <c r="E59">
        <f t="shared" si="11"/>
        <v>2.7660275553060241E-4</v>
      </c>
      <c r="F59" s="1">
        <v>17</v>
      </c>
      <c r="G59" s="2" t="s">
        <v>52</v>
      </c>
      <c r="L59">
        <f t="shared" si="24"/>
        <v>2.7660275553060241E-4</v>
      </c>
      <c r="N59">
        <f>+E59*2</f>
        <v>5.5320551106120483E-4</v>
      </c>
      <c r="Q59">
        <f t="shared" si="19"/>
        <v>5.5320551106120483E-4</v>
      </c>
      <c r="V59">
        <f t="shared" si="20"/>
        <v>5.5320551106120483E-4</v>
      </c>
      <c r="Z59">
        <f t="shared" si="21"/>
        <v>5.5320551106120483E-4</v>
      </c>
      <c r="AE59">
        <f t="shared" si="22"/>
        <v>5.5320551106120483E-4</v>
      </c>
      <c r="AJ59">
        <f t="shared" si="23"/>
        <v>5.5320551106120483E-4</v>
      </c>
      <c r="AO59">
        <f t="shared" si="25"/>
        <v>5.5320551106120483E-4</v>
      </c>
      <c r="AT59">
        <f t="shared" si="26"/>
        <v>5.5320551106120483E-4</v>
      </c>
      <c r="AY59">
        <f t="shared" si="27"/>
        <v>5.5320551106120483E-4</v>
      </c>
      <c r="BE59">
        <f t="shared" ref="BE59:BE93" si="28">+E59*2</f>
        <v>5.5320551106120483E-4</v>
      </c>
      <c r="BG59">
        <f>+E59</f>
        <v>2.7660275553060241E-4</v>
      </c>
      <c r="BM59">
        <f>(1-$C59)*$B59</f>
        <v>1.5243603666736836E-3</v>
      </c>
      <c r="CV59">
        <v>1.6682203521511473E-2</v>
      </c>
      <c r="CW59" s="2" t="s">
        <v>52</v>
      </c>
      <c r="CY59">
        <f>SUM(L59:BL59)/2</f>
        <v>3.0426303108366266E-3</v>
      </c>
    </row>
    <row r="60" spans="2:103" x14ac:dyDescent="0.25">
      <c r="B60" s="5">
        <f>+Inlet!D64</f>
        <v>3.8067033145851602E-2</v>
      </c>
      <c r="C60">
        <v>1</v>
      </c>
      <c r="D60">
        <f t="shared" si="6"/>
        <v>8.3333333333333329E-2</v>
      </c>
      <c r="E60">
        <f t="shared" si="11"/>
        <v>3.1722527621543001E-3</v>
      </c>
      <c r="F60" s="1">
        <v>18</v>
      </c>
      <c r="G60" s="2" t="s">
        <v>53</v>
      </c>
      <c r="L60">
        <f t="shared" si="24"/>
        <v>3.1722527621543001E-3</v>
      </c>
      <c r="N60">
        <f t="shared" ref="N60:N93" si="29">+E60*2</f>
        <v>6.3445055243086003E-3</v>
      </c>
      <c r="Q60">
        <f t="shared" si="19"/>
        <v>6.3445055243086003E-3</v>
      </c>
      <c r="V60">
        <f t="shared" si="20"/>
        <v>6.3445055243086003E-3</v>
      </c>
      <c r="Z60">
        <f t="shared" si="21"/>
        <v>6.3445055243086003E-3</v>
      </c>
      <c r="AE60">
        <f t="shared" si="22"/>
        <v>6.3445055243086003E-3</v>
      </c>
      <c r="AJ60">
        <f t="shared" si="23"/>
        <v>6.3445055243086003E-3</v>
      </c>
      <c r="AO60">
        <f t="shared" si="25"/>
        <v>6.3445055243086003E-3</v>
      </c>
      <c r="AT60">
        <f t="shared" si="26"/>
        <v>6.3445055243086003E-3</v>
      </c>
      <c r="AY60">
        <f t="shared" si="27"/>
        <v>6.3445055243086003E-3</v>
      </c>
      <c r="BE60">
        <f t="shared" si="28"/>
        <v>6.3445055243086003E-3</v>
      </c>
      <c r="BG60">
        <f>+E60*2</f>
        <v>6.3445055243086003E-3</v>
      </c>
      <c r="BI60">
        <f>+E60</f>
        <v>3.1722527621543001E-3</v>
      </c>
      <c r="CV60">
        <v>1.1862925569831919E-2</v>
      </c>
      <c r="CW60" s="2" t="s">
        <v>53</v>
      </c>
      <c r="CY60">
        <f t="shared" ref="CY60" si="30">SUM(L60:BM60)/2</f>
        <v>3.8067033145851588E-2</v>
      </c>
    </row>
    <row r="61" spans="2:103" x14ac:dyDescent="0.25">
      <c r="B61" s="5">
        <f>+Inlet!D65</f>
        <v>3.1509682024503501E-2</v>
      </c>
      <c r="C61">
        <v>1</v>
      </c>
      <c r="D61">
        <f t="shared" si="6"/>
        <v>7.6923076923076927E-2</v>
      </c>
      <c r="E61">
        <f t="shared" si="11"/>
        <v>2.4238216941925772E-3</v>
      </c>
      <c r="F61" s="1">
        <v>19</v>
      </c>
      <c r="G61" s="3" t="s">
        <v>54</v>
      </c>
      <c r="L61">
        <f t="shared" si="24"/>
        <v>2.4238216941925772E-3</v>
      </c>
      <c r="N61">
        <f t="shared" si="29"/>
        <v>4.8476433883851543E-3</v>
      </c>
      <c r="Q61">
        <f t="shared" si="19"/>
        <v>4.8476433883851543E-3</v>
      </c>
      <c r="V61">
        <f t="shared" si="20"/>
        <v>4.8476433883851543E-3</v>
      </c>
      <c r="Z61">
        <f t="shared" si="21"/>
        <v>4.8476433883851543E-3</v>
      </c>
      <c r="AE61">
        <f t="shared" si="22"/>
        <v>4.8476433883851543E-3</v>
      </c>
      <c r="AJ61">
        <f t="shared" si="23"/>
        <v>4.8476433883851543E-3</v>
      </c>
      <c r="AO61">
        <f t="shared" si="25"/>
        <v>4.8476433883851543E-3</v>
      </c>
      <c r="AT61">
        <f t="shared" si="26"/>
        <v>4.8476433883851543E-3</v>
      </c>
      <c r="AY61">
        <f t="shared" si="27"/>
        <v>4.8476433883851543E-3</v>
      </c>
      <c r="BE61">
        <f t="shared" si="28"/>
        <v>4.8476433883851543E-3</v>
      </c>
      <c r="BG61">
        <f t="shared" ref="BG61:BG93" si="31">+E61*2</f>
        <v>4.8476433883851543E-3</v>
      </c>
      <c r="BI61">
        <f>+E61*2</f>
        <v>4.8476433883851543E-3</v>
      </c>
      <c r="BK61">
        <f>+E61</f>
        <v>2.4238216941925772E-3</v>
      </c>
      <c r="CV61">
        <v>9.0743180107670258E-3</v>
      </c>
      <c r="CW61" s="3" t="s">
        <v>54</v>
      </c>
      <c r="CY61">
        <f>SUM(L61:BM61)/2</f>
        <v>3.1509682024503508E-2</v>
      </c>
    </row>
    <row r="62" spans="2:103" x14ac:dyDescent="0.25">
      <c r="B62" s="5">
        <f>+Inlet!D66</f>
        <v>2.4954334528562001E-2</v>
      </c>
      <c r="C62">
        <v>1</v>
      </c>
      <c r="D62">
        <f t="shared" si="6"/>
        <v>7.1428571428571425E-2</v>
      </c>
      <c r="E62">
        <f t="shared" si="11"/>
        <v>1.7824524663258572E-3</v>
      </c>
      <c r="F62" s="1">
        <v>20</v>
      </c>
      <c r="G62" s="2" t="s">
        <v>55</v>
      </c>
      <c r="L62">
        <f>+E62</f>
        <v>1.7824524663258572E-3</v>
      </c>
      <c r="N62">
        <f t="shared" si="29"/>
        <v>3.5649049326517144E-3</v>
      </c>
      <c r="Q62">
        <f t="shared" si="19"/>
        <v>3.5649049326517144E-3</v>
      </c>
      <c r="V62">
        <f t="shared" si="20"/>
        <v>3.5649049326517144E-3</v>
      </c>
      <c r="Z62">
        <f t="shared" si="21"/>
        <v>3.5649049326517144E-3</v>
      </c>
      <c r="AE62">
        <f t="shared" si="22"/>
        <v>3.5649049326517144E-3</v>
      </c>
      <c r="AJ62">
        <f t="shared" si="23"/>
        <v>3.5649049326517144E-3</v>
      </c>
      <c r="AO62">
        <f t="shared" si="25"/>
        <v>3.5649049326517144E-3</v>
      </c>
      <c r="AT62">
        <f t="shared" si="26"/>
        <v>3.5649049326517144E-3</v>
      </c>
      <c r="AY62">
        <f t="shared" si="27"/>
        <v>3.5649049326517144E-3</v>
      </c>
      <c r="BE62">
        <f t="shared" si="28"/>
        <v>3.5649049326517144E-3</v>
      </c>
      <c r="BG62">
        <f t="shared" si="31"/>
        <v>3.5649049326517144E-3</v>
      </c>
      <c r="BI62">
        <f t="shared" ref="BI62:BI93" si="32">+E62*2</f>
        <v>3.5649049326517144E-3</v>
      </c>
      <c r="BK62">
        <f>+E62*2</f>
        <v>3.5649049326517144E-3</v>
      </c>
      <c r="BM62">
        <f>+E62</f>
        <v>1.7824524663258572E-3</v>
      </c>
      <c r="CV62">
        <v>6.7305525851894732E-3</v>
      </c>
      <c r="CW62" s="2" t="s">
        <v>55</v>
      </c>
      <c r="CY62">
        <f t="shared" ref="CY62:CY77" si="33">SUM(L62:CS62)/2</f>
        <v>2.4954334528561998E-2</v>
      </c>
    </row>
    <row r="63" spans="2:103" x14ac:dyDescent="0.25">
      <c r="B63" s="5">
        <f>+Inlet!D67</f>
        <v>2.2686976780200201E-2</v>
      </c>
      <c r="C63">
        <v>1</v>
      </c>
      <c r="D63">
        <f t="shared" si="6"/>
        <v>6.6666666666666666E-2</v>
      </c>
      <c r="E63">
        <f t="shared" si="11"/>
        <v>1.5124651186800135E-3</v>
      </c>
      <c r="F63" s="1">
        <v>21</v>
      </c>
      <c r="G63" s="3" t="s">
        <v>56</v>
      </c>
      <c r="L63">
        <f t="shared" si="24"/>
        <v>1.5124651186800135E-3</v>
      </c>
      <c r="N63">
        <f t="shared" si="29"/>
        <v>3.0249302373600269E-3</v>
      </c>
      <c r="Q63">
        <f t="shared" si="19"/>
        <v>3.0249302373600269E-3</v>
      </c>
      <c r="V63">
        <f t="shared" si="20"/>
        <v>3.0249302373600269E-3</v>
      </c>
      <c r="Z63">
        <f t="shared" si="21"/>
        <v>3.0249302373600269E-3</v>
      </c>
      <c r="AE63">
        <f t="shared" si="22"/>
        <v>3.0249302373600269E-3</v>
      </c>
      <c r="AJ63">
        <f t="shared" si="23"/>
        <v>3.0249302373600269E-3</v>
      </c>
      <c r="AO63">
        <f t="shared" si="25"/>
        <v>3.0249302373600269E-3</v>
      </c>
      <c r="AT63">
        <f t="shared" si="26"/>
        <v>3.0249302373600269E-3</v>
      </c>
      <c r="AY63">
        <f t="shared" si="27"/>
        <v>3.0249302373600269E-3</v>
      </c>
      <c r="BE63">
        <f t="shared" si="28"/>
        <v>3.0249302373600269E-3</v>
      </c>
      <c r="BG63">
        <f t="shared" si="31"/>
        <v>3.0249302373600269E-3</v>
      </c>
      <c r="BI63">
        <f t="shared" si="32"/>
        <v>3.0249302373600269E-3</v>
      </c>
      <c r="BK63">
        <f t="shared" ref="BK63:BK93" si="34">+E63*2</f>
        <v>3.0249302373600269E-3</v>
      </c>
      <c r="BM63">
        <f>+E63*2</f>
        <v>3.0249302373600269E-3</v>
      </c>
      <c r="BN63">
        <f>+E63</f>
        <v>1.5124651186800135E-3</v>
      </c>
      <c r="CV63">
        <v>4.7176402961359529E-3</v>
      </c>
      <c r="CW63" s="3" t="s">
        <v>56</v>
      </c>
      <c r="CY63">
        <f t="shared" si="33"/>
        <v>2.2686976780200208E-2</v>
      </c>
    </row>
    <row r="64" spans="2:103" x14ac:dyDescent="0.25">
      <c r="B64" s="5">
        <f>+Inlet!D68</f>
        <v>2.0418279046158099E-2</v>
      </c>
      <c r="C64">
        <v>1</v>
      </c>
      <c r="D64">
        <f t="shared" si="6"/>
        <v>6.25E-2</v>
      </c>
      <c r="E64">
        <f t="shared" si="11"/>
        <v>1.2761424403848812E-3</v>
      </c>
      <c r="F64" s="1">
        <v>22</v>
      </c>
      <c r="G64" s="2" t="s">
        <v>57</v>
      </c>
      <c r="L64">
        <f t="shared" si="24"/>
        <v>1.2761424403848812E-3</v>
      </c>
      <c r="N64">
        <f t="shared" si="29"/>
        <v>2.5522848807697624E-3</v>
      </c>
      <c r="Q64">
        <f t="shared" si="19"/>
        <v>2.5522848807697624E-3</v>
      </c>
      <c r="V64">
        <f t="shared" si="20"/>
        <v>2.5522848807697624E-3</v>
      </c>
      <c r="Z64">
        <f t="shared" si="21"/>
        <v>2.5522848807697624E-3</v>
      </c>
      <c r="AE64">
        <f t="shared" si="22"/>
        <v>2.5522848807697624E-3</v>
      </c>
      <c r="AJ64">
        <f t="shared" si="23"/>
        <v>2.5522848807697624E-3</v>
      </c>
      <c r="AO64">
        <f t="shared" si="25"/>
        <v>2.5522848807697624E-3</v>
      </c>
      <c r="AT64">
        <f t="shared" si="26"/>
        <v>2.5522848807697624E-3</v>
      </c>
      <c r="AY64">
        <f t="shared" si="27"/>
        <v>2.5522848807697624E-3</v>
      </c>
      <c r="BE64">
        <f t="shared" si="28"/>
        <v>2.5522848807697624E-3</v>
      </c>
      <c r="BG64">
        <f t="shared" si="31"/>
        <v>2.5522848807697624E-3</v>
      </c>
      <c r="BI64">
        <f t="shared" si="32"/>
        <v>2.5522848807697624E-3</v>
      </c>
      <c r="BK64">
        <f t="shared" si="34"/>
        <v>2.5522848807697624E-3</v>
      </c>
      <c r="BM64">
        <f t="shared" ref="BM64:BM93" si="35">+E64*2</f>
        <v>2.5522848807697624E-3</v>
      </c>
      <c r="BN64">
        <f>+E64*2</f>
        <v>2.5522848807697624E-3</v>
      </c>
      <c r="BO64">
        <f>+E64</f>
        <v>1.2761424403848812E-3</v>
      </c>
      <c r="CV64">
        <v>2.9962165630922554E-3</v>
      </c>
      <c r="CW64" s="2" t="s">
        <v>57</v>
      </c>
      <c r="CY64">
        <f t="shared" si="33"/>
        <v>2.0418279046158099E-2</v>
      </c>
    </row>
    <row r="65" spans="2:103" x14ac:dyDescent="0.25">
      <c r="B65" s="5">
        <f>+Inlet!D69</f>
        <v>1.81495907482754E-2</v>
      </c>
      <c r="C65">
        <v>1</v>
      </c>
      <c r="D65">
        <f t="shared" si="6"/>
        <v>5.8823529411764705E-2</v>
      </c>
      <c r="E65">
        <f t="shared" si="11"/>
        <v>1.0676229851926706E-3</v>
      </c>
      <c r="F65" s="1">
        <v>23</v>
      </c>
      <c r="G65" s="3" t="s">
        <v>58</v>
      </c>
      <c r="L65">
        <f t="shared" si="24"/>
        <v>1.0676229851926706E-3</v>
      </c>
      <c r="N65">
        <f t="shared" si="29"/>
        <v>2.1352459703853411E-3</v>
      </c>
      <c r="Q65">
        <f t="shared" si="19"/>
        <v>2.1352459703853411E-3</v>
      </c>
      <c r="V65">
        <f t="shared" si="20"/>
        <v>2.1352459703853411E-3</v>
      </c>
      <c r="Z65">
        <f t="shared" si="21"/>
        <v>2.1352459703853411E-3</v>
      </c>
      <c r="AE65">
        <f t="shared" si="22"/>
        <v>2.1352459703853411E-3</v>
      </c>
      <c r="AJ65">
        <f t="shared" si="23"/>
        <v>2.1352459703853411E-3</v>
      </c>
      <c r="AO65">
        <f t="shared" si="25"/>
        <v>2.1352459703853411E-3</v>
      </c>
      <c r="AT65">
        <f t="shared" si="26"/>
        <v>2.1352459703853411E-3</v>
      </c>
      <c r="AY65">
        <f t="shared" si="27"/>
        <v>2.1352459703853411E-3</v>
      </c>
      <c r="BE65">
        <f t="shared" si="28"/>
        <v>2.1352459703853411E-3</v>
      </c>
      <c r="BG65">
        <f t="shared" si="31"/>
        <v>2.1352459703853411E-3</v>
      </c>
      <c r="BI65">
        <f t="shared" si="32"/>
        <v>2.1352459703853411E-3</v>
      </c>
      <c r="BK65">
        <f t="shared" si="34"/>
        <v>2.1352459703853411E-3</v>
      </c>
      <c r="BM65">
        <f t="shared" si="35"/>
        <v>2.1352459703853411E-3</v>
      </c>
      <c r="BN65">
        <f t="shared" ref="BN65:BN93" si="36">+E65*2</f>
        <v>2.1352459703853411E-3</v>
      </c>
      <c r="BO65">
        <f>+E65*2</f>
        <v>2.1352459703853411E-3</v>
      </c>
      <c r="BP65">
        <f>+E65</f>
        <v>1.0676229851926706E-3</v>
      </c>
      <c r="CV65">
        <v>1.596191748969423E-3</v>
      </c>
      <c r="CW65" s="3" t="s">
        <v>58</v>
      </c>
      <c r="CY65">
        <f t="shared" si="33"/>
        <v>1.8149590748275404E-2</v>
      </c>
    </row>
    <row r="66" spans="2:103" x14ac:dyDescent="0.25">
      <c r="B66" s="5">
        <f>+Inlet!D70</f>
        <v>1.7015207469495301E-2</v>
      </c>
      <c r="C66">
        <v>1</v>
      </c>
      <c r="D66">
        <f t="shared" si="6"/>
        <v>5.5555555555555552E-2</v>
      </c>
      <c r="E66">
        <f t="shared" si="11"/>
        <v>9.4528930386084998E-4</v>
      </c>
      <c r="F66" s="1">
        <v>24</v>
      </c>
      <c r="G66" s="2" t="s">
        <v>59</v>
      </c>
      <c r="L66">
        <f t="shared" si="24"/>
        <v>9.4528930386084998E-4</v>
      </c>
      <c r="N66">
        <f t="shared" si="29"/>
        <v>1.8905786077217E-3</v>
      </c>
      <c r="Q66">
        <f t="shared" si="19"/>
        <v>1.8905786077217E-3</v>
      </c>
      <c r="V66">
        <f t="shared" si="20"/>
        <v>1.8905786077217E-3</v>
      </c>
      <c r="Z66">
        <f t="shared" si="21"/>
        <v>1.8905786077217E-3</v>
      </c>
      <c r="AE66">
        <f t="shared" si="22"/>
        <v>1.8905786077217E-3</v>
      </c>
      <c r="AJ66">
        <f t="shared" si="23"/>
        <v>1.8905786077217E-3</v>
      </c>
      <c r="AO66">
        <f t="shared" si="25"/>
        <v>1.8905786077217E-3</v>
      </c>
      <c r="AT66">
        <f t="shared" si="26"/>
        <v>1.8905786077217E-3</v>
      </c>
      <c r="AY66">
        <f t="shared" si="27"/>
        <v>1.8905786077217E-3</v>
      </c>
      <c r="BE66">
        <f t="shared" si="28"/>
        <v>1.8905786077217E-3</v>
      </c>
      <c r="BG66">
        <f t="shared" si="31"/>
        <v>1.8905786077217E-3</v>
      </c>
      <c r="BI66">
        <f t="shared" si="32"/>
        <v>1.8905786077217E-3</v>
      </c>
      <c r="BK66">
        <f t="shared" si="34"/>
        <v>1.8905786077217E-3</v>
      </c>
      <c r="BM66">
        <f t="shared" si="35"/>
        <v>1.8905786077217E-3</v>
      </c>
      <c r="BN66">
        <f>+E66*2</f>
        <v>1.8905786077217E-3</v>
      </c>
      <c r="BO66">
        <f>+E66*2</f>
        <v>1.8905786077217E-3</v>
      </c>
      <c r="BP66">
        <f>+E66*2</f>
        <v>1.8905786077217E-3</v>
      </c>
      <c r="BQ66">
        <f>+E66</f>
        <v>9.4528930386084998E-4</v>
      </c>
      <c r="CV66">
        <v>4.8615068201471898E-4</v>
      </c>
      <c r="CW66" s="2" t="s">
        <v>59</v>
      </c>
      <c r="CY66">
        <f t="shared" si="33"/>
        <v>1.7015207469495298E-2</v>
      </c>
    </row>
    <row r="67" spans="2:103" x14ac:dyDescent="0.25">
      <c r="B67" s="5">
        <f>+Inlet!D71</f>
        <v>1.47465541544741E-2</v>
      </c>
      <c r="C67">
        <v>1</v>
      </c>
      <c r="D67">
        <f t="shared" si="6"/>
        <v>5.2631578947368418E-2</v>
      </c>
      <c r="E67">
        <f t="shared" si="11"/>
        <v>7.7613442918284729E-4</v>
      </c>
      <c r="F67" s="1">
        <v>25</v>
      </c>
      <c r="G67" s="3" t="s">
        <v>60</v>
      </c>
      <c r="L67">
        <f t="shared" si="24"/>
        <v>7.7613442918284729E-4</v>
      </c>
      <c r="N67">
        <f t="shared" si="29"/>
        <v>1.5522688583656946E-3</v>
      </c>
      <c r="Q67">
        <f t="shared" si="19"/>
        <v>1.5522688583656946E-3</v>
      </c>
      <c r="V67">
        <f t="shared" si="20"/>
        <v>1.5522688583656946E-3</v>
      </c>
      <c r="Z67">
        <f t="shared" si="21"/>
        <v>1.5522688583656946E-3</v>
      </c>
      <c r="AE67">
        <f t="shared" si="22"/>
        <v>1.5522688583656946E-3</v>
      </c>
      <c r="AJ67">
        <f t="shared" si="23"/>
        <v>1.5522688583656946E-3</v>
      </c>
      <c r="AO67">
        <f t="shared" si="25"/>
        <v>1.5522688583656946E-3</v>
      </c>
      <c r="AT67">
        <f t="shared" si="26"/>
        <v>1.5522688583656946E-3</v>
      </c>
      <c r="AY67">
        <f t="shared" si="27"/>
        <v>1.5522688583656946E-3</v>
      </c>
      <c r="BE67">
        <f t="shared" si="28"/>
        <v>1.5522688583656946E-3</v>
      </c>
      <c r="BG67">
        <f t="shared" si="31"/>
        <v>1.5522688583656946E-3</v>
      </c>
      <c r="BI67">
        <f t="shared" si="32"/>
        <v>1.5522688583656946E-3</v>
      </c>
      <c r="BK67">
        <f t="shared" si="34"/>
        <v>1.5522688583656946E-3</v>
      </c>
      <c r="BM67">
        <f t="shared" si="35"/>
        <v>1.5522688583656946E-3</v>
      </c>
      <c r="BN67">
        <f t="shared" si="36"/>
        <v>1.5522688583656946E-3</v>
      </c>
      <c r="BO67">
        <f>+E67*2</f>
        <v>1.5522688583656946E-3</v>
      </c>
      <c r="BP67">
        <f>+E67*2</f>
        <v>1.5522688583656946E-3</v>
      </c>
      <c r="BQ67">
        <f>+E67*2</f>
        <v>1.5522688583656946E-3</v>
      </c>
      <c r="BR67">
        <f>+E67</f>
        <v>7.7613442918284729E-4</v>
      </c>
      <c r="CV67">
        <v>0</v>
      </c>
      <c r="CW67" s="3" t="s">
        <v>60</v>
      </c>
      <c r="CY67">
        <f t="shared" si="33"/>
        <v>1.4746554154474095E-2</v>
      </c>
    </row>
    <row r="68" spans="2:103" x14ac:dyDescent="0.25">
      <c r="B68" s="5">
        <f>+Inlet!D72</f>
        <v>1.2477807698799699E-2</v>
      </c>
      <c r="C68">
        <v>1</v>
      </c>
      <c r="D68">
        <f t="shared" si="6"/>
        <v>0.05</v>
      </c>
      <c r="E68">
        <f t="shared" si="11"/>
        <v>6.2389038493998504E-4</v>
      </c>
      <c r="F68" s="1">
        <v>26</v>
      </c>
      <c r="G68" s="2" t="s">
        <v>61</v>
      </c>
      <c r="L68">
        <f t="shared" si="24"/>
        <v>6.2389038493998504E-4</v>
      </c>
      <c r="N68">
        <f t="shared" si="29"/>
        <v>1.2477807698799701E-3</v>
      </c>
      <c r="Q68">
        <f t="shared" si="19"/>
        <v>1.2477807698799701E-3</v>
      </c>
      <c r="V68">
        <f t="shared" si="20"/>
        <v>1.2477807698799701E-3</v>
      </c>
      <c r="Z68">
        <f t="shared" si="21"/>
        <v>1.2477807698799701E-3</v>
      </c>
      <c r="AE68">
        <f t="shared" si="22"/>
        <v>1.2477807698799701E-3</v>
      </c>
      <c r="AJ68">
        <f t="shared" si="23"/>
        <v>1.2477807698799701E-3</v>
      </c>
      <c r="AO68">
        <f t="shared" si="25"/>
        <v>1.2477807698799701E-3</v>
      </c>
      <c r="AT68">
        <f t="shared" si="26"/>
        <v>1.2477807698799701E-3</v>
      </c>
      <c r="AY68">
        <f t="shared" si="27"/>
        <v>1.2477807698799701E-3</v>
      </c>
      <c r="BE68">
        <f t="shared" si="28"/>
        <v>1.2477807698799701E-3</v>
      </c>
      <c r="BG68">
        <f t="shared" si="31"/>
        <v>1.2477807698799701E-3</v>
      </c>
      <c r="BI68">
        <f t="shared" si="32"/>
        <v>1.2477807698799701E-3</v>
      </c>
      <c r="BK68">
        <f t="shared" si="34"/>
        <v>1.2477807698799701E-3</v>
      </c>
      <c r="BM68">
        <f t="shared" si="35"/>
        <v>1.2477807698799701E-3</v>
      </c>
      <c r="BN68">
        <f t="shared" si="36"/>
        <v>1.2477807698799701E-3</v>
      </c>
      <c r="BO68">
        <f>+E68*2</f>
        <v>1.2477807698799701E-3</v>
      </c>
      <c r="BP68">
        <f>+E68*2</f>
        <v>1.2477807698799701E-3</v>
      </c>
      <c r="BQ68">
        <f>+E68*2</f>
        <v>1.2477807698799701E-3</v>
      </c>
      <c r="BR68">
        <f>+E68*2</f>
        <v>1.2477807698799701E-3</v>
      </c>
      <c r="BS68">
        <f>+E68</f>
        <v>6.2389038493998504E-4</v>
      </c>
      <c r="CV68">
        <v>0</v>
      </c>
      <c r="CW68" s="2" t="s">
        <v>61</v>
      </c>
      <c r="CY68">
        <f t="shared" si="33"/>
        <v>1.2477807698799696E-2</v>
      </c>
    </row>
    <row r="69" spans="2:103" x14ac:dyDescent="0.25">
      <c r="B69" s="5">
        <f>+Inlet!D73</f>
        <v>1.0209164322309099E-2</v>
      </c>
      <c r="C69">
        <v>1</v>
      </c>
      <c r="D69">
        <f>1/(F69-6)*C69</f>
        <v>4.7619047619047616E-2</v>
      </c>
      <c r="E69">
        <f t="shared" si="11"/>
        <v>4.8615068201471898E-4</v>
      </c>
      <c r="F69" s="1">
        <v>27</v>
      </c>
      <c r="G69" s="3" t="s">
        <v>62</v>
      </c>
      <c r="L69">
        <f t="shared" si="24"/>
        <v>4.8615068201471898E-4</v>
      </c>
      <c r="N69">
        <f t="shared" si="29"/>
        <v>9.7230136402943796E-4</v>
      </c>
      <c r="Q69">
        <f t="shared" si="19"/>
        <v>9.7230136402943796E-4</v>
      </c>
      <c r="V69">
        <f t="shared" si="20"/>
        <v>9.7230136402943796E-4</v>
      </c>
      <c r="Z69">
        <f t="shared" si="21"/>
        <v>9.7230136402943796E-4</v>
      </c>
      <c r="AE69">
        <f t="shared" si="22"/>
        <v>9.7230136402943796E-4</v>
      </c>
      <c r="AJ69">
        <f t="shared" si="23"/>
        <v>9.7230136402943796E-4</v>
      </c>
      <c r="AO69">
        <f t="shared" si="25"/>
        <v>9.7230136402943796E-4</v>
      </c>
      <c r="AT69">
        <f t="shared" si="26"/>
        <v>9.7230136402943796E-4</v>
      </c>
      <c r="AY69">
        <f t="shared" si="27"/>
        <v>9.7230136402943796E-4</v>
      </c>
      <c r="BE69">
        <f t="shared" si="28"/>
        <v>9.7230136402943796E-4</v>
      </c>
      <c r="BG69">
        <f t="shared" si="31"/>
        <v>9.7230136402943796E-4</v>
      </c>
      <c r="BI69">
        <f t="shared" si="32"/>
        <v>9.7230136402943796E-4</v>
      </c>
      <c r="BK69">
        <f t="shared" si="34"/>
        <v>9.7230136402943796E-4</v>
      </c>
      <c r="BM69">
        <f t="shared" si="35"/>
        <v>9.7230136402943796E-4</v>
      </c>
      <c r="BN69">
        <f t="shared" si="36"/>
        <v>9.7230136402943796E-4</v>
      </c>
      <c r="BO69">
        <f>+E69*2</f>
        <v>9.7230136402943796E-4</v>
      </c>
      <c r="BP69">
        <f>+E69*2</f>
        <v>9.7230136402943796E-4</v>
      </c>
      <c r="BQ69">
        <f>+E69*2</f>
        <v>9.7230136402943796E-4</v>
      </c>
      <c r="BR69">
        <f>+E69*2</f>
        <v>9.7230136402943796E-4</v>
      </c>
      <c r="BS69">
        <f>+E69*2</f>
        <v>9.7230136402943796E-4</v>
      </c>
      <c r="BT69">
        <f>+E69</f>
        <v>4.8615068201471898E-4</v>
      </c>
      <c r="CV69">
        <v>0</v>
      </c>
      <c r="CW69" s="3" t="s">
        <v>62</v>
      </c>
      <c r="CY69">
        <f t="shared" si="33"/>
        <v>1.0209164322309099E-2</v>
      </c>
    </row>
    <row r="70" spans="2:103" x14ac:dyDescent="0.25">
      <c r="B70" s="5">
        <f>+Inlet!D74</f>
        <v>0</v>
      </c>
      <c r="C70">
        <v>1</v>
      </c>
      <c r="D70">
        <f t="shared" si="6"/>
        <v>4.5454545454545456E-2</v>
      </c>
      <c r="E70">
        <f t="shared" si="11"/>
        <v>0</v>
      </c>
      <c r="F70" s="1">
        <v>28</v>
      </c>
      <c r="G70" s="2" t="s">
        <v>63</v>
      </c>
      <c r="L70">
        <f t="shared" si="24"/>
        <v>0</v>
      </c>
      <c r="N70">
        <f t="shared" si="29"/>
        <v>0</v>
      </c>
      <c r="Q70">
        <f t="shared" si="19"/>
        <v>0</v>
      </c>
      <c r="V70">
        <f t="shared" si="20"/>
        <v>0</v>
      </c>
      <c r="Z70">
        <f t="shared" si="21"/>
        <v>0</v>
      </c>
      <c r="AE70">
        <f t="shared" si="22"/>
        <v>0</v>
      </c>
      <c r="AJ70">
        <f t="shared" si="23"/>
        <v>0</v>
      </c>
      <c r="AO70">
        <f t="shared" si="25"/>
        <v>0</v>
      </c>
      <c r="AT70">
        <f t="shared" si="26"/>
        <v>0</v>
      </c>
      <c r="AY70">
        <f t="shared" si="27"/>
        <v>0</v>
      </c>
      <c r="BE70">
        <f t="shared" si="28"/>
        <v>0</v>
      </c>
      <c r="BG70">
        <f t="shared" si="31"/>
        <v>0</v>
      </c>
      <c r="BI70">
        <f t="shared" si="32"/>
        <v>0</v>
      </c>
      <c r="BK70">
        <f t="shared" si="34"/>
        <v>0</v>
      </c>
      <c r="BM70">
        <f t="shared" si="35"/>
        <v>0</v>
      </c>
      <c r="BN70">
        <f t="shared" si="36"/>
        <v>0</v>
      </c>
      <c r="BO70">
        <f t="shared" ref="BO70:BO93" si="37">+E70*2</f>
        <v>0</v>
      </c>
      <c r="BP70">
        <f t="shared" ref="BP70:BP93" si="38">+E70*2</f>
        <v>0</v>
      </c>
      <c r="BQ70">
        <f t="shared" ref="BQ70:BQ93" si="39">+E70*2</f>
        <v>0</v>
      </c>
      <c r="BR70">
        <f t="shared" ref="BR70:BR93" si="40">+E70*2</f>
        <v>0</v>
      </c>
      <c r="BS70">
        <f t="shared" ref="BS70:BS93" si="41">+E70*2</f>
        <v>0</v>
      </c>
      <c r="BT70">
        <f>+E70*2</f>
        <v>0</v>
      </c>
      <c r="BU70">
        <f>+E70</f>
        <v>0</v>
      </c>
      <c r="CV70">
        <v>0</v>
      </c>
      <c r="CW70" s="2" t="s">
        <v>63</v>
      </c>
      <c r="CY70">
        <f t="shared" si="33"/>
        <v>0</v>
      </c>
    </row>
    <row r="71" spans="2:103" x14ac:dyDescent="0.25">
      <c r="B71" s="5">
        <f>+Inlet!D75</f>
        <v>0</v>
      </c>
      <c r="C71">
        <v>1</v>
      </c>
      <c r="D71">
        <f t="shared" si="6"/>
        <v>4.3478260869565216E-2</v>
      </c>
      <c r="E71">
        <f t="shared" si="11"/>
        <v>0</v>
      </c>
      <c r="F71" s="1">
        <v>29</v>
      </c>
      <c r="G71" s="3" t="s">
        <v>64</v>
      </c>
      <c r="L71">
        <f t="shared" si="24"/>
        <v>0</v>
      </c>
      <c r="N71">
        <f t="shared" si="29"/>
        <v>0</v>
      </c>
      <c r="Q71">
        <f t="shared" si="19"/>
        <v>0</v>
      </c>
      <c r="V71">
        <f t="shared" si="20"/>
        <v>0</v>
      </c>
      <c r="Z71">
        <f t="shared" si="21"/>
        <v>0</v>
      </c>
      <c r="AE71">
        <f t="shared" si="22"/>
        <v>0</v>
      </c>
      <c r="AJ71">
        <f t="shared" si="23"/>
        <v>0</v>
      </c>
      <c r="AO71">
        <f t="shared" si="25"/>
        <v>0</v>
      </c>
      <c r="AT71">
        <f t="shared" si="26"/>
        <v>0</v>
      </c>
      <c r="AY71">
        <f t="shared" si="27"/>
        <v>0</v>
      </c>
      <c r="BE71">
        <f t="shared" si="28"/>
        <v>0</v>
      </c>
      <c r="BG71">
        <f t="shared" si="31"/>
        <v>0</v>
      </c>
      <c r="BI71">
        <f t="shared" si="32"/>
        <v>0</v>
      </c>
      <c r="BK71">
        <f t="shared" si="34"/>
        <v>0</v>
      </c>
      <c r="BM71">
        <f t="shared" si="35"/>
        <v>0</v>
      </c>
      <c r="BN71">
        <f t="shared" si="36"/>
        <v>0</v>
      </c>
      <c r="BO71">
        <f t="shared" si="37"/>
        <v>0</v>
      </c>
      <c r="BP71">
        <f t="shared" si="38"/>
        <v>0</v>
      </c>
      <c r="BQ71">
        <f t="shared" si="39"/>
        <v>0</v>
      </c>
      <c r="BR71">
        <f t="shared" si="40"/>
        <v>0</v>
      </c>
      <c r="BS71">
        <f t="shared" si="41"/>
        <v>0</v>
      </c>
      <c r="BT71">
        <f t="shared" ref="BT71:BT93" si="42">+E71*2</f>
        <v>0</v>
      </c>
      <c r="BU71">
        <f>+E71</f>
        <v>0</v>
      </c>
      <c r="BV71">
        <f>+BU71/2</f>
        <v>0</v>
      </c>
      <c r="CV71">
        <v>0</v>
      </c>
      <c r="CW71" s="3" t="s">
        <v>64</v>
      </c>
      <c r="CY71">
        <f t="shared" si="33"/>
        <v>0</v>
      </c>
    </row>
    <row r="72" spans="2:103" x14ac:dyDescent="0.25">
      <c r="B72" s="5">
        <f>+Inlet!D76</f>
        <v>0</v>
      </c>
      <c r="C72">
        <v>1</v>
      </c>
      <c r="D72">
        <f t="shared" si="6"/>
        <v>4.1666666666666664E-2</v>
      </c>
      <c r="E72">
        <f t="shared" si="11"/>
        <v>0</v>
      </c>
      <c r="F72" s="1">
        <v>30</v>
      </c>
      <c r="G72" s="2" t="s">
        <v>65</v>
      </c>
      <c r="L72">
        <f t="shared" si="24"/>
        <v>0</v>
      </c>
      <c r="N72">
        <f t="shared" si="29"/>
        <v>0</v>
      </c>
      <c r="Q72">
        <f t="shared" si="19"/>
        <v>0</v>
      </c>
      <c r="V72">
        <f t="shared" si="20"/>
        <v>0</v>
      </c>
      <c r="Z72">
        <f t="shared" si="21"/>
        <v>0</v>
      </c>
      <c r="AE72">
        <f t="shared" si="22"/>
        <v>0</v>
      </c>
      <c r="AJ72">
        <f t="shared" si="23"/>
        <v>0</v>
      </c>
      <c r="AO72">
        <f t="shared" si="25"/>
        <v>0</v>
      </c>
      <c r="AT72">
        <f t="shared" si="26"/>
        <v>0</v>
      </c>
      <c r="AY72">
        <f t="shared" si="27"/>
        <v>0</v>
      </c>
      <c r="BE72">
        <f t="shared" si="28"/>
        <v>0</v>
      </c>
      <c r="BG72">
        <f t="shared" si="31"/>
        <v>0</v>
      </c>
      <c r="BI72">
        <f t="shared" si="32"/>
        <v>0</v>
      </c>
      <c r="BK72">
        <f t="shared" si="34"/>
        <v>0</v>
      </c>
      <c r="BM72">
        <f t="shared" si="35"/>
        <v>0</v>
      </c>
      <c r="BN72">
        <f t="shared" si="36"/>
        <v>0</v>
      </c>
      <c r="BO72">
        <f t="shared" si="37"/>
        <v>0</v>
      </c>
      <c r="BP72">
        <f t="shared" si="38"/>
        <v>0</v>
      </c>
      <c r="BQ72">
        <f t="shared" si="39"/>
        <v>0</v>
      </c>
      <c r="BR72">
        <f t="shared" si="40"/>
        <v>0</v>
      </c>
      <c r="BS72">
        <f t="shared" si="41"/>
        <v>0</v>
      </c>
      <c r="BT72">
        <f t="shared" si="42"/>
        <v>0</v>
      </c>
      <c r="BU72">
        <f t="shared" ref="BU72:BU93" si="43">+E72</f>
        <v>0</v>
      </c>
      <c r="BV72">
        <f t="shared" ref="BV72" si="44">+BU72</f>
        <v>0</v>
      </c>
      <c r="BW72">
        <f>+BV72/2</f>
        <v>0</v>
      </c>
      <c r="CV72">
        <v>0</v>
      </c>
      <c r="CW72" s="2" t="s">
        <v>65</v>
      </c>
      <c r="CY72">
        <f t="shared" si="33"/>
        <v>0</v>
      </c>
    </row>
    <row r="73" spans="2:103" x14ac:dyDescent="0.25">
      <c r="B73" s="5">
        <f>+Inlet!D77</f>
        <v>0</v>
      </c>
      <c r="C73">
        <v>1</v>
      </c>
      <c r="D73">
        <f t="shared" si="6"/>
        <v>0.04</v>
      </c>
      <c r="E73">
        <f t="shared" si="11"/>
        <v>0</v>
      </c>
      <c r="F73" s="1">
        <v>31</v>
      </c>
      <c r="G73" s="3" t="s">
        <v>66</v>
      </c>
      <c r="L73">
        <f t="shared" si="24"/>
        <v>0</v>
      </c>
      <c r="N73">
        <f t="shared" si="29"/>
        <v>0</v>
      </c>
      <c r="Q73">
        <f t="shared" si="19"/>
        <v>0</v>
      </c>
      <c r="V73">
        <f t="shared" si="20"/>
        <v>0</v>
      </c>
      <c r="Z73">
        <f t="shared" si="21"/>
        <v>0</v>
      </c>
      <c r="AE73">
        <f t="shared" si="22"/>
        <v>0</v>
      </c>
      <c r="AJ73">
        <f t="shared" si="23"/>
        <v>0</v>
      </c>
      <c r="AO73">
        <f t="shared" si="25"/>
        <v>0</v>
      </c>
      <c r="AT73">
        <f t="shared" si="26"/>
        <v>0</v>
      </c>
      <c r="AY73">
        <f t="shared" si="27"/>
        <v>0</v>
      </c>
      <c r="BE73">
        <f t="shared" si="28"/>
        <v>0</v>
      </c>
      <c r="BG73">
        <f t="shared" si="31"/>
        <v>0</v>
      </c>
      <c r="BI73">
        <f t="shared" si="32"/>
        <v>0</v>
      </c>
      <c r="BK73">
        <f t="shared" si="34"/>
        <v>0</v>
      </c>
      <c r="BM73">
        <f t="shared" si="35"/>
        <v>0</v>
      </c>
      <c r="BN73">
        <f t="shared" si="36"/>
        <v>0</v>
      </c>
      <c r="BO73">
        <f t="shared" si="37"/>
        <v>0</v>
      </c>
      <c r="BP73">
        <f t="shared" si="38"/>
        <v>0</v>
      </c>
      <c r="BQ73">
        <f t="shared" si="39"/>
        <v>0</v>
      </c>
      <c r="BR73">
        <f t="shared" si="40"/>
        <v>0</v>
      </c>
      <c r="BS73">
        <f t="shared" si="41"/>
        <v>0</v>
      </c>
      <c r="BT73">
        <f t="shared" si="42"/>
        <v>0</v>
      </c>
      <c r="BU73">
        <f t="shared" si="43"/>
        <v>0</v>
      </c>
      <c r="BV73">
        <f t="shared" ref="BV73:BW73" si="45">+BU73</f>
        <v>0</v>
      </c>
      <c r="BW73">
        <f t="shared" si="45"/>
        <v>0</v>
      </c>
      <c r="BX73">
        <f>+BW73/2</f>
        <v>0</v>
      </c>
      <c r="CV73">
        <v>0</v>
      </c>
      <c r="CW73" s="3" t="s">
        <v>66</v>
      </c>
      <c r="CY73">
        <f t="shared" si="33"/>
        <v>0</v>
      </c>
    </row>
    <row r="74" spans="2:103" x14ac:dyDescent="0.25">
      <c r="B74" s="5">
        <f>+Inlet!D78</f>
        <v>0</v>
      </c>
      <c r="C74">
        <v>1</v>
      </c>
      <c r="D74">
        <f t="shared" si="6"/>
        <v>3.8461538461538464E-2</v>
      </c>
      <c r="E74">
        <f t="shared" si="11"/>
        <v>0</v>
      </c>
      <c r="F74" s="1">
        <v>32</v>
      </c>
      <c r="G74" s="2" t="s">
        <v>67</v>
      </c>
      <c r="L74">
        <f t="shared" si="24"/>
        <v>0</v>
      </c>
      <c r="N74">
        <f t="shared" si="29"/>
        <v>0</v>
      </c>
      <c r="Q74">
        <f t="shared" si="19"/>
        <v>0</v>
      </c>
      <c r="V74">
        <f t="shared" si="20"/>
        <v>0</v>
      </c>
      <c r="Z74">
        <f t="shared" si="21"/>
        <v>0</v>
      </c>
      <c r="AE74">
        <f t="shared" si="22"/>
        <v>0</v>
      </c>
      <c r="AJ74">
        <f t="shared" si="23"/>
        <v>0</v>
      </c>
      <c r="AO74">
        <f t="shared" si="25"/>
        <v>0</v>
      </c>
      <c r="AT74">
        <f t="shared" si="26"/>
        <v>0</v>
      </c>
      <c r="AY74">
        <f t="shared" si="27"/>
        <v>0</v>
      </c>
      <c r="BE74">
        <f t="shared" si="28"/>
        <v>0</v>
      </c>
      <c r="BG74">
        <f t="shared" si="31"/>
        <v>0</v>
      </c>
      <c r="BI74">
        <f t="shared" si="32"/>
        <v>0</v>
      </c>
      <c r="BK74">
        <f t="shared" si="34"/>
        <v>0</v>
      </c>
      <c r="BM74">
        <f t="shared" si="35"/>
        <v>0</v>
      </c>
      <c r="BN74">
        <f t="shared" si="36"/>
        <v>0</v>
      </c>
      <c r="BO74">
        <f t="shared" si="37"/>
        <v>0</v>
      </c>
      <c r="BP74">
        <f t="shared" si="38"/>
        <v>0</v>
      </c>
      <c r="BQ74">
        <f t="shared" si="39"/>
        <v>0</v>
      </c>
      <c r="BR74">
        <f t="shared" si="40"/>
        <v>0</v>
      </c>
      <c r="BS74">
        <f t="shared" si="41"/>
        <v>0</v>
      </c>
      <c r="BT74">
        <f t="shared" si="42"/>
        <v>0</v>
      </c>
      <c r="BU74">
        <f t="shared" si="43"/>
        <v>0</v>
      </c>
      <c r="BV74">
        <f t="shared" ref="BV74:BX74" si="46">+BU74</f>
        <v>0</v>
      </c>
      <c r="BW74">
        <f t="shared" si="46"/>
        <v>0</v>
      </c>
      <c r="BX74">
        <f t="shared" si="46"/>
        <v>0</v>
      </c>
      <c r="BY74">
        <f>+BX74/2</f>
        <v>0</v>
      </c>
      <c r="CV74">
        <v>0</v>
      </c>
      <c r="CW74" s="2" t="s">
        <v>67</v>
      </c>
      <c r="CY74">
        <f t="shared" si="33"/>
        <v>0</v>
      </c>
    </row>
    <row r="75" spans="2:103" x14ac:dyDescent="0.25">
      <c r="B75" s="5">
        <f>+Inlet!D79</f>
        <v>0</v>
      </c>
      <c r="C75">
        <v>1</v>
      </c>
      <c r="D75">
        <f t="shared" si="6"/>
        <v>3.7037037037037035E-2</v>
      </c>
      <c r="E75">
        <f t="shared" si="11"/>
        <v>0</v>
      </c>
      <c r="F75" s="1">
        <v>33</v>
      </c>
      <c r="G75" s="3" t="s">
        <v>68</v>
      </c>
      <c r="L75">
        <f t="shared" si="24"/>
        <v>0</v>
      </c>
      <c r="N75">
        <f t="shared" si="29"/>
        <v>0</v>
      </c>
      <c r="Q75">
        <f t="shared" si="19"/>
        <v>0</v>
      </c>
      <c r="V75">
        <f t="shared" si="20"/>
        <v>0</v>
      </c>
      <c r="Z75">
        <f t="shared" si="21"/>
        <v>0</v>
      </c>
      <c r="AE75">
        <f t="shared" si="22"/>
        <v>0</v>
      </c>
      <c r="AJ75">
        <f t="shared" si="23"/>
        <v>0</v>
      </c>
      <c r="AO75">
        <f t="shared" si="25"/>
        <v>0</v>
      </c>
      <c r="AT75">
        <f t="shared" si="26"/>
        <v>0</v>
      </c>
      <c r="AY75">
        <f t="shared" si="27"/>
        <v>0</v>
      </c>
      <c r="BE75">
        <f t="shared" si="28"/>
        <v>0</v>
      </c>
      <c r="BG75">
        <f t="shared" si="31"/>
        <v>0</v>
      </c>
      <c r="BI75">
        <f t="shared" si="32"/>
        <v>0</v>
      </c>
      <c r="BK75">
        <f t="shared" si="34"/>
        <v>0</v>
      </c>
      <c r="BM75">
        <f t="shared" si="35"/>
        <v>0</v>
      </c>
      <c r="BN75">
        <f t="shared" si="36"/>
        <v>0</v>
      </c>
      <c r="BO75">
        <f t="shared" si="37"/>
        <v>0</v>
      </c>
      <c r="BP75">
        <f t="shared" si="38"/>
        <v>0</v>
      </c>
      <c r="BQ75">
        <f t="shared" si="39"/>
        <v>0</v>
      </c>
      <c r="BR75">
        <f t="shared" si="40"/>
        <v>0</v>
      </c>
      <c r="BS75">
        <f t="shared" si="41"/>
        <v>0</v>
      </c>
      <c r="BT75">
        <f t="shared" si="42"/>
        <v>0</v>
      </c>
      <c r="BU75">
        <f t="shared" si="43"/>
        <v>0</v>
      </c>
      <c r="BV75">
        <f t="shared" ref="BV75:BY75" si="47">+BU75</f>
        <v>0</v>
      </c>
      <c r="BW75">
        <f t="shared" si="47"/>
        <v>0</v>
      </c>
      <c r="BX75">
        <f t="shared" si="47"/>
        <v>0</v>
      </c>
      <c r="BY75">
        <f t="shared" si="47"/>
        <v>0</v>
      </c>
      <c r="BZ75">
        <f>+BY75/2</f>
        <v>0</v>
      </c>
      <c r="CV75">
        <v>0</v>
      </c>
      <c r="CW75" s="3" t="s">
        <v>68</v>
      </c>
      <c r="CY75">
        <f t="shared" si="33"/>
        <v>0</v>
      </c>
    </row>
    <row r="76" spans="2:103" x14ac:dyDescent="0.25">
      <c r="B76" s="5">
        <f>+Inlet!D80</f>
        <v>0</v>
      </c>
      <c r="C76">
        <v>1</v>
      </c>
      <c r="D76">
        <f t="shared" si="6"/>
        <v>3.5714285714285712E-2</v>
      </c>
      <c r="E76">
        <f t="shared" si="11"/>
        <v>0</v>
      </c>
      <c r="F76" s="1">
        <v>34</v>
      </c>
      <c r="G76" s="2" t="s">
        <v>69</v>
      </c>
      <c r="L76">
        <f t="shared" si="24"/>
        <v>0</v>
      </c>
      <c r="N76">
        <f t="shared" si="29"/>
        <v>0</v>
      </c>
      <c r="Q76">
        <f t="shared" si="19"/>
        <v>0</v>
      </c>
      <c r="V76">
        <f t="shared" si="20"/>
        <v>0</v>
      </c>
      <c r="Z76">
        <f t="shared" si="21"/>
        <v>0</v>
      </c>
      <c r="AE76">
        <f t="shared" si="22"/>
        <v>0</v>
      </c>
      <c r="AJ76">
        <f t="shared" si="23"/>
        <v>0</v>
      </c>
      <c r="AO76">
        <f t="shared" si="25"/>
        <v>0</v>
      </c>
      <c r="AT76">
        <f t="shared" si="26"/>
        <v>0</v>
      </c>
      <c r="AY76">
        <f t="shared" si="27"/>
        <v>0</v>
      </c>
      <c r="BE76">
        <f t="shared" si="28"/>
        <v>0</v>
      </c>
      <c r="BG76">
        <f t="shared" si="31"/>
        <v>0</v>
      </c>
      <c r="BI76">
        <f t="shared" si="32"/>
        <v>0</v>
      </c>
      <c r="BK76">
        <f t="shared" si="34"/>
        <v>0</v>
      </c>
      <c r="BM76">
        <f t="shared" si="35"/>
        <v>0</v>
      </c>
      <c r="BN76">
        <f t="shared" si="36"/>
        <v>0</v>
      </c>
      <c r="BO76">
        <f t="shared" si="37"/>
        <v>0</v>
      </c>
      <c r="BP76">
        <f t="shared" si="38"/>
        <v>0</v>
      </c>
      <c r="BQ76">
        <f t="shared" si="39"/>
        <v>0</v>
      </c>
      <c r="BR76">
        <f t="shared" si="40"/>
        <v>0</v>
      </c>
      <c r="BS76">
        <f t="shared" si="41"/>
        <v>0</v>
      </c>
      <c r="BT76">
        <f t="shared" si="42"/>
        <v>0</v>
      </c>
      <c r="BU76">
        <f t="shared" si="43"/>
        <v>0</v>
      </c>
      <c r="BV76">
        <f t="shared" ref="BV76:BZ76" si="48">+BU76</f>
        <v>0</v>
      </c>
      <c r="BW76">
        <f t="shared" si="48"/>
        <v>0</v>
      </c>
      <c r="BX76">
        <f t="shared" si="48"/>
        <v>0</v>
      </c>
      <c r="BY76">
        <f t="shared" si="48"/>
        <v>0</v>
      </c>
      <c r="BZ76">
        <f t="shared" si="48"/>
        <v>0</v>
      </c>
      <c r="CA76">
        <f>+BZ76/2</f>
        <v>0</v>
      </c>
      <c r="CV76">
        <v>0</v>
      </c>
      <c r="CW76" s="2" t="s">
        <v>69</v>
      </c>
      <c r="CY76">
        <f t="shared" si="33"/>
        <v>0</v>
      </c>
    </row>
    <row r="77" spans="2:103" x14ac:dyDescent="0.25">
      <c r="B77" s="5">
        <f>+Inlet!D81</f>
        <v>0</v>
      </c>
      <c r="C77">
        <v>1</v>
      </c>
      <c r="D77">
        <f t="shared" si="6"/>
        <v>3.4482758620689655E-2</v>
      </c>
      <c r="E77">
        <f t="shared" si="11"/>
        <v>0</v>
      </c>
      <c r="F77" s="1">
        <v>35</v>
      </c>
      <c r="G77" s="3" t="s">
        <v>70</v>
      </c>
      <c r="L77">
        <f t="shared" si="24"/>
        <v>0</v>
      </c>
      <c r="N77">
        <f t="shared" si="29"/>
        <v>0</v>
      </c>
      <c r="Q77">
        <f t="shared" si="19"/>
        <v>0</v>
      </c>
      <c r="V77">
        <f t="shared" si="20"/>
        <v>0</v>
      </c>
      <c r="Z77">
        <f t="shared" si="21"/>
        <v>0</v>
      </c>
      <c r="AE77">
        <f t="shared" si="22"/>
        <v>0</v>
      </c>
      <c r="AJ77">
        <f t="shared" si="23"/>
        <v>0</v>
      </c>
      <c r="AO77">
        <f t="shared" si="25"/>
        <v>0</v>
      </c>
      <c r="AT77">
        <f t="shared" si="26"/>
        <v>0</v>
      </c>
      <c r="AY77">
        <f t="shared" si="27"/>
        <v>0</v>
      </c>
      <c r="BE77">
        <f t="shared" si="28"/>
        <v>0</v>
      </c>
      <c r="BG77">
        <f t="shared" si="31"/>
        <v>0</v>
      </c>
      <c r="BI77">
        <f t="shared" si="32"/>
        <v>0</v>
      </c>
      <c r="BK77">
        <f t="shared" si="34"/>
        <v>0</v>
      </c>
      <c r="BM77">
        <f t="shared" si="35"/>
        <v>0</v>
      </c>
      <c r="BN77">
        <f t="shared" si="36"/>
        <v>0</v>
      </c>
      <c r="BO77">
        <f t="shared" si="37"/>
        <v>0</v>
      </c>
      <c r="BP77">
        <f t="shared" si="38"/>
        <v>0</v>
      </c>
      <c r="BQ77">
        <f t="shared" si="39"/>
        <v>0</v>
      </c>
      <c r="BR77">
        <f t="shared" si="40"/>
        <v>0</v>
      </c>
      <c r="BS77">
        <f t="shared" si="41"/>
        <v>0</v>
      </c>
      <c r="BT77">
        <f t="shared" si="42"/>
        <v>0</v>
      </c>
      <c r="BU77">
        <f t="shared" si="43"/>
        <v>0</v>
      </c>
      <c r="BV77">
        <f t="shared" ref="BV77:CA77" si="49">+BU77</f>
        <v>0</v>
      </c>
      <c r="BW77">
        <f t="shared" si="49"/>
        <v>0</v>
      </c>
      <c r="BX77">
        <f t="shared" si="49"/>
        <v>0</v>
      </c>
      <c r="BY77">
        <f t="shared" si="49"/>
        <v>0</v>
      </c>
      <c r="BZ77">
        <f t="shared" si="49"/>
        <v>0</v>
      </c>
      <c r="CA77">
        <f t="shared" si="49"/>
        <v>0</v>
      </c>
      <c r="CB77">
        <f>+CA77/2</f>
        <v>0</v>
      </c>
      <c r="CV77">
        <v>0</v>
      </c>
      <c r="CW77" s="3" t="s">
        <v>70</v>
      </c>
      <c r="CY77">
        <f t="shared" si="33"/>
        <v>0</v>
      </c>
    </row>
    <row r="78" spans="2:103" x14ac:dyDescent="0.25">
      <c r="B78" s="5">
        <f>+Inlet!D82</f>
        <v>0</v>
      </c>
      <c r="C78">
        <v>1</v>
      </c>
      <c r="D78">
        <f t="shared" si="6"/>
        <v>3.3333333333333333E-2</v>
      </c>
      <c r="E78">
        <f t="shared" si="11"/>
        <v>0</v>
      </c>
      <c r="F78" s="1">
        <v>36</v>
      </c>
      <c r="G78" s="2" t="s">
        <v>71</v>
      </c>
      <c r="L78">
        <f t="shared" si="24"/>
        <v>0</v>
      </c>
      <c r="N78">
        <f t="shared" si="29"/>
        <v>0</v>
      </c>
      <c r="Q78">
        <f t="shared" si="19"/>
        <v>0</v>
      </c>
      <c r="V78">
        <f t="shared" si="20"/>
        <v>0</v>
      </c>
      <c r="Z78">
        <f t="shared" si="21"/>
        <v>0</v>
      </c>
      <c r="AE78">
        <f t="shared" si="22"/>
        <v>0</v>
      </c>
      <c r="AJ78">
        <f t="shared" si="23"/>
        <v>0</v>
      </c>
      <c r="AO78">
        <f t="shared" si="25"/>
        <v>0</v>
      </c>
      <c r="AT78">
        <f t="shared" si="26"/>
        <v>0</v>
      </c>
      <c r="AY78">
        <f t="shared" si="27"/>
        <v>0</v>
      </c>
      <c r="BE78">
        <f t="shared" si="28"/>
        <v>0</v>
      </c>
      <c r="BG78">
        <f t="shared" si="31"/>
        <v>0</v>
      </c>
      <c r="BI78">
        <f t="shared" si="32"/>
        <v>0</v>
      </c>
      <c r="BK78">
        <f t="shared" si="34"/>
        <v>0</v>
      </c>
      <c r="BM78">
        <f t="shared" si="35"/>
        <v>0</v>
      </c>
      <c r="BN78">
        <f t="shared" si="36"/>
        <v>0</v>
      </c>
      <c r="BO78">
        <f t="shared" si="37"/>
        <v>0</v>
      </c>
      <c r="BP78">
        <f t="shared" si="38"/>
        <v>0</v>
      </c>
      <c r="BQ78">
        <f t="shared" si="39"/>
        <v>0</v>
      </c>
      <c r="BR78">
        <f t="shared" si="40"/>
        <v>0</v>
      </c>
      <c r="BS78">
        <f t="shared" si="41"/>
        <v>0</v>
      </c>
      <c r="BT78">
        <f t="shared" si="42"/>
        <v>0</v>
      </c>
      <c r="BU78">
        <f t="shared" si="43"/>
        <v>0</v>
      </c>
      <c r="BV78">
        <f t="shared" ref="BV78:CB78" si="50">+BU78</f>
        <v>0</v>
      </c>
      <c r="BW78">
        <f t="shared" si="50"/>
        <v>0</v>
      </c>
      <c r="BX78">
        <f t="shared" si="50"/>
        <v>0</v>
      </c>
      <c r="BY78">
        <f t="shared" si="50"/>
        <v>0</v>
      </c>
      <c r="BZ78">
        <f t="shared" si="50"/>
        <v>0</v>
      </c>
      <c r="CA78">
        <f t="shared" si="50"/>
        <v>0</v>
      </c>
      <c r="CB78">
        <f t="shared" si="50"/>
        <v>0</v>
      </c>
      <c r="CC78">
        <f>+CB78/2</f>
        <v>0</v>
      </c>
      <c r="CV78">
        <v>0</v>
      </c>
      <c r="CW78" s="2" t="s">
        <v>71</v>
      </c>
      <c r="CY78">
        <f>SUM(L78:CS78)/2</f>
        <v>0</v>
      </c>
    </row>
    <row r="79" spans="2:103" x14ac:dyDescent="0.25">
      <c r="B79" s="5">
        <f>+Inlet!D83</f>
        <v>0</v>
      </c>
      <c r="C79">
        <v>1</v>
      </c>
      <c r="D79">
        <f t="shared" si="6"/>
        <v>3.2258064516129031E-2</v>
      </c>
      <c r="E79">
        <f t="shared" si="11"/>
        <v>0</v>
      </c>
      <c r="F79" s="1">
        <v>37</v>
      </c>
      <c r="G79" s="3" t="s">
        <v>72</v>
      </c>
      <c r="L79">
        <f t="shared" si="24"/>
        <v>0</v>
      </c>
      <c r="N79">
        <f t="shared" si="29"/>
        <v>0</v>
      </c>
      <c r="Q79">
        <f t="shared" si="19"/>
        <v>0</v>
      </c>
      <c r="V79">
        <f t="shared" si="20"/>
        <v>0</v>
      </c>
      <c r="Z79">
        <f t="shared" si="21"/>
        <v>0</v>
      </c>
      <c r="AE79">
        <f t="shared" si="22"/>
        <v>0</v>
      </c>
      <c r="AJ79">
        <f t="shared" si="23"/>
        <v>0</v>
      </c>
      <c r="AO79">
        <f t="shared" si="25"/>
        <v>0</v>
      </c>
      <c r="AT79">
        <f t="shared" si="26"/>
        <v>0</v>
      </c>
      <c r="AY79">
        <f t="shared" si="27"/>
        <v>0</v>
      </c>
      <c r="BE79">
        <f t="shared" si="28"/>
        <v>0</v>
      </c>
      <c r="BG79">
        <f t="shared" si="31"/>
        <v>0</v>
      </c>
      <c r="BI79">
        <f t="shared" si="32"/>
        <v>0</v>
      </c>
      <c r="BK79">
        <f t="shared" si="34"/>
        <v>0</v>
      </c>
      <c r="BM79">
        <f t="shared" si="35"/>
        <v>0</v>
      </c>
      <c r="BN79">
        <f t="shared" si="36"/>
        <v>0</v>
      </c>
      <c r="BO79">
        <f t="shared" si="37"/>
        <v>0</v>
      </c>
      <c r="BP79">
        <f t="shared" si="38"/>
        <v>0</v>
      </c>
      <c r="BQ79">
        <f t="shared" si="39"/>
        <v>0</v>
      </c>
      <c r="BR79">
        <f t="shared" si="40"/>
        <v>0</v>
      </c>
      <c r="BS79">
        <f t="shared" si="41"/>
        <v>0</v>
      </c>
      <c r="BT79">
        <f t="shared" si="42"/>
        <v>0</v>
      </c>
      <c r="BU79">
        <f t="shared" si="43"/>
        <v>0</v>
      </c>
      <c r="BV79">
        <f t="shared" ref="BV79:CC79" si="51">+BU79</f>
        <v>0</v>
      </c>
      <c r="BW79">
        <f t="shared" si="51"/>
        <v>0</v>
      </c>
      <c r="BX79">
        <f t="shared" si="51"/>
        <v>0</v>
      </c>
      <c r="BY79">
        <f t="shared" si="51"/>
        <v>0</v>
      </c>
      <c r="BZ79">
        <f t="shared" si="51"/>
        <v>0</v>
      </c>
      <c r="CA79">
        <f t="shared" si="51"/>
        <v>0</v>
      </c>
      <c r="CB79">
        <f t="shared" si="51"/>
        <v>0</v>
      </c>
      <c r="CC79">
        <f t="shared" si="51"/>
        <v>0</v>
      </c>
      <c r="CD79">
        <f>+CC79/2</f>
        <v>0</v>
      </c>
      <c r="CV79">
        <v>0</v>
      </c>
      <c r="CW79" s="3" t="s">
        <v>72</v>
      </c>
      <c r="CY79">
        <f t="shared" ref="CY79:CY92" si="52">SUM(L79:CS79)/2</f>
        <v>0</v>
      </c>
    </row>
    <row r="80" spans="2:103" x14ac:dyDescent="0.25">
      <c r="B80" s="5">
        <f>+Inlet!D84</f>
        <v>0</v>
      </c>
      <c r="C80">
        <v>1</v>
      </c>
      <c r="D80">
        <f t="shared" si="6"/>
        <v>3.125E-2</v>
      </c>
      <c r="E80">
        <f t="shared" si="11"/>
        <v>0</v>
      </c>
      <c r="F80" s="1">
        <v>38</v>
      </c>
      <c r="G80" s="2" t="s">
        <v>73</v>
      </c>
      <c r="L80">
        <f t="shared" si="24"/>
        <v>0</v>
      </c>
      <c r="N80">
        <f t="shared" si="29"/>
        <v>0</v>
      </c>
      <c r="Q80">
        <f t="shared" si="19"/>
        <v>0</v>
      </c>
      <c r="V80">
        <f t="shared" si="20"/>
        <v>0</v>
      </c>
      <c r="Z80">
        <f t="shared" si="21"/>
        <v>0</v>
      </c>
      <c r="AE80">
        <f t="shared" si="22"/>
        <v>0</v>
      </c>
      <c r="AJ80">
        <f t="shared" si="23"/>
        <v>0</v>
      </c>
      <c r="AO80">
        <f t="shared" si="25"/>
        <v>0</v>
      </c>
      <c r="AT80">
        <f t="shared" si="26"/>
        <v>0</v>
      </c>
      <c r="AY80">
        <f t="shared" si="27"/>
        <v>0</v>
      </c>
      <c r="BE80">
        <f t="shared" si="28"/>
        <v>0</v>
      </c>
      <c r="BG80">
        <f t="shared" si="31"/>
        <v>0</v>
      </c>
      <c r="BI80">
        <f t="shared" si="32"/>
        <v>0</v>
      </c>
      <c r="BK80">
        <f t="shared" si="34"/>
        <v>0</v>
      </c>
      <c r="BM80">
        <f t="shared" si="35"/>
        <v>0</v>
      </c>
      <c r="BN80">
        <f t="shared" si="36"/>
        <v>0</v>
      </c>
      <c r="BO80">
        <f t="shared" si="37"/>
        <v>0</v>
      </c>
      <c r="BP80">
        <f t="shared" si="38"/>
        <v>0</v>
      </c>
      <c r="BQ80">
        <f t="shared" si="39"/>
        <v>0</v>
      </c>
      <c r="BR80">
        <f t="shared" si="40"/>
        <v>0</v>
      </c>
      <c r="BS80">
        <f t="shared" si="41"/>
        <v>0</v>
      </c>
      <c r="BT80">
        <f t="shared" si="42"/>
        <v>0</v>
      </c>
      <c r="BU80">
        <f t="shared" si="43"/>
        <v>0</v>
      </c>
      <c r="BV80">
        <f t="shared" ref="BV80:CD80" si="53">+BU80</f>
        <v>0</v>
      </c>
      <c r="BW80">
        <f t="shared" si="53"/>
        <v>0</v>
      </c>
      <c r="BX80">
        <f t="shared" si="53"/>
        <v>0</v>
      </c>
      <c r="BY80">
        <f t="shared" si="53"/>
        <v>0</v>
      </c>
      <c r="BZ80">
        <f t="shared" si="53"/>
        <v>0</v>
      </c>
      <c r="CA80">
        <f t="shared" si="53"/>
        <v>0</v>
      </c>
      <c r="CB80">
        <f t="shared" si="53"/>
        <v>0</v>
      </c>
      <c r="CC80">
        <f t="shared" si="53"/>
        <v>0</v>
      </c>
      <c r="CD80">
        <f t="shared" si="53"/>
        <v>0</v>
      </c>
      <c r="CE80">
        <f>+CD80/2</f>
        <v>0</v>
      </c>
      <c r="CV80">
        <v>0</v>
      </c>
      <c r="CW80" s="2" t="s">
        <v>73</v>
      </c>
      <c r="CY80">
        <f t="shared" si="52"/>
        <v>0</v>
      </c>
    </row>
    <row r="81" spans="2:103" x14ac:dyDescent="0.25">
      <c r="B81" s="5">
        <f>+Inlet!D85</f>
        <v>0</v>
      </c>
      <c r="C81">
        <v>1</v>
      </c>
      <c r="D81">
        <f t="shared" si="6"/>
        <v>3.0303030303030304E-2</v>
      </c>
      <c r="E81">
        <f t="shared" si="11"/>
        <v>0</v>
      </c>
      <c r="F81" s="1">
        <v>39</v>
      </c>
      <c r="G81" s="3" t="s">
        <v>74</v>
      </c>
      <c r="L81">
        <f t="shared" si="24"/>
        <v>0</v>
      </c>
      <c r="N81">
        <f t="shared" si="29"/>
        <v>0</v>
      </c>
      <c r="Q81">
        <f t="shared" si="19"/>
        <v>0</v>
      </c>
      <c r="V81">
        <f t="shared" si="20"/>
        <v>0</v>
      </c>
      <c r="Z81">
        <f t="shared" si="21"/>
        <v>0</v>
      </c>
      <c r="AE81">
        <f t="shared" si="22"/>
        <v>0</v>
      </c>
      <c r="AJ81">
        <f t="shared" si="23"/>
        <v>0</v>
      </c>
      <c r="AO81">
        <f t="shared" si="25"/>
        <v>0</v>
      </c>
      <c r="AT81">
        <f t="shared" si="26"/>
        <v>0</v>
      </c>
      <c r="AY81">
        <f t="shared" si="27"/>
        <v>0</v>
      </c>
      <c r="BE81">
        <f t="shared" si="28"/>
        <v>0</v>
      </c>
      <c r="BG81">
        <f t="shared" si="31"/>
        <v>0</v>
      </c>
      <c r="BI81">
        <f t="shared" si="32"/>
        <v>0</v>
      </c>
      <c r="BK81">
        <f t="shared" si="34"/>
        <v>0</v>
      </c>
      <c r="BM81">
        <f t="shared" si="35"/>
        <v>0</v>
      </c>
      <c r="BN81">
        <f t="shared" si="36"/>
        <v>0</v>
      </c>
      <c r="BO81">
        <f t="shared" si="37"/>
        <v>0</v>
      </c>
      <c r="BP81">
        <f t="shared" si="38"/>
        <v>0</v>
      </c>
      <c r="BQ81">
        <f t="shared" si="39"/>
        <v>0</v>
      </c>
      <c r="BR81">
        <f t="shared" si="40"/>
        <v>0</v>
      </c>
      <c r="BS81">
        <f t="shared" si="41"/>
        <v>0</v>
      </c>
      <c r="BT81">
        <f t="shared" si="42"/>
        <v>0</v>
      </c>
      <c r="BU81">
        <f t="shared" si="43"/>
        <v>0</v>
      </c>
      <c r="BV81">
        <f t="shared" ref="BV81:CE81" si="54">+BU81</f>
        <v>0</v>
      </c>
      <c r="BW81">
        <f t="shared" si="54"/>
        <v>0</v>
      </c>
      <c r="BX81">
        <f t="shared" si="54"/>
        <v>0</v>
      </c>
      <c r="BY81">
        <f t="shared" si="54"/>
        <v>0</v>
      </c>
      <c r="BZ81">
        <f t="shared" si="54"/>
        <v>0</v>
      </c>
      <c r="CA81">
        <f t="shared" si="54"/>
        <v>0</v>
      </c>
      <c r="CB81">
        <f t="shared" si="54"/>
        <v>0</v>
      </c>
      <c r="CC81">
        <f t="shared" si="54"/>
        <v>0</v>
      </c>
      <c r="CD81">
        <f t="shared" si="54"/>
        <v>0</v>
      </c>
      <c r="CE81">
        <f t="shared" si="54"/>
        <v>0</v>
      </c>
      <c r="CF81">
        <f>+CE81/2</f>
        <v>0</v>
      </c>
      <c r="CV81">
        <v>0</v>
      </c>
      <c r="CW81" s="3" t="s">
        <v>74</v>
      </c>
      <c r="CY81">
        <f t="shared" si="52"/>
        <v>0</v>
      </c>
    </row>
    <row r="82" spans="2:103" x14ac:dyDescent="0.25">
      <c r="B82" s="5">
        <f>+Inlet!D86</f>
        <v>0</v>
      </c>
      <c r="C82">
        <v>1</v>
      </c>
      <c r="D82">
        <f t="shared" si="6"/>
        <v>2.9411764705882353E-2</v>
      </c>
      <c r="E82">
        <f t="shared" si="11"/>
        <v>0</v>
      </c>
      <c r="F82" s="1">
        <v>40</v>
      </c>
      <c r="G82" s="2" t="s">
        <v>75</v>
      </c>
      <c r="L82">
        <f t="shared" si="24"/>
        <v>0</v>
      </c>
      <c r="N82">
        <f t="shared" si="29"/>
        <v>0</v>
      </c>
      <c r="Q82">
        <f t="shared" si="19"/>
        <v>0</v>
      </c>
      <c r="V82">
        <f t="shared" si="20"/>
        <v>0</v>
      </c>
      <c r="Z82">
        <f t="shared" si="21"/>
        <v>0</v>
      </c>
      <c r="AE82">
        <f t="shared" si="22"/>
        <v>0</v>
      </c>
      <c r="AJ82">
        <f t="shared" si="23"/>
        <v>0</v>
      </c>
      <c r="AO82">
        <f t="shared" si="25"/>
        <v>0</v>
      </c>
      <c r="AT82">
        <f t="shared" si="26"/>
        <v>0</v>
      </c>
      <c r="AY82">
        <f t="shared" si="27"/>
        <v>0</v>
      </c>
      <c r="BE82">
        <f t="shared" si="28"/>
        <v>0</v>
      </c>
      <c r="BG82">
        <f t="shared" si="31"/>
        <v>0</v>
      </c>
      <c r="BI82">
        <f t="shared" si="32"/>
        <v>0</v>
      </c>
      <c r="BK82">
        <f t="shared" si="34"/>
        <v>0</v>
      </c>
      <c r="BM82">
        <f t="shared" si="35"/>
        <v>0</v>
      </c>
      <c r="BN82">
        <f t="shared" si="36"/>
        <v>0</v>
      </c>
      <c r="BO82">
        <f t="shared" si="37"/>
        <v>0</v>
      </c>
      <c r="BP82">
        <f t="shared" si="38"/>
        <v>0</v>
      </c>
      <c r="BQ82">
        <f t="shared" si="39"/>
        <v>0</v>
      </c>
      <c r="BR82">
        <f t="shared" si="40"/>
        <v>0</v>
      </c>
      <c r="BS82">
        <f t="shared" si="41"/>
        <v>0</v>
      </c>
      <c r="BT82">
        <f t="shared" si="42"/>
        <v>0</v>
      </c>
      <c r="BU82">
        <f t="shared" si="43"/>
        <v>0</v>
      </c>
      <c r="BV82">
        <f t="shared" ref="BV82:CF82" si="55">+BU82</f>
        <v>0</v>
      </c>
      <c r="BW82">
        <f t="shared" si="55"/>
        <v>0</v>
      </c>
      <c r="BX82">
        <f t="shared" si="55"/>
        <v>0</v>
      </c>
      <c r="BY82">
        <f t="shared" si="55"/>
        <v>0</v>
      </c>
      <c r="BZ82">
        <f t="shared" si="55"/>
        <v>0</v>
      </c>
      <c r="CA82">
        <f t="shared" si="55"/>
        <v>0</v>
      </c>
      <c r="CB82">
        <f t="shared" si="55"/>
        <v>0</v>
      </c>
      <c r="CC82">
        <f t="shared" si="55"/>
        <v>0</v>
      </c>
      <c r="CD82">
        <f t="shared" si="55"/>
        <v>0</v>
      </c>
      <c r="CE82">
        <f t="shared" si="55"/>
        <v>0</v>
      </c>
      <c r="CF82">
        <f t="shared" si="55"/>
        <v>0</v>
      </c>
      <c r="CG82">
        <f>+CF82/2</f>
        <v>0</v>
      </c>
      <c r="CV82">
        <v>0</v>
      </c>
      <c r="CW82" s="2" t="s">
        <v>75</v>
      </c>
      <c r="CY82">
        <f t="shared" si="52"/>
        <v>0</v>
      </c>
    </row>
    <row r="83" spans="2:103" x14ac:dyDescent="0.25">
      <c r="B83" s="5">
        <f>+Inlet!D87</f>
        <v>0</v>
      </c>
      <c r="C83">
        <v>1</v>
      </c>
      <c r="D83">
        <f t="shared" si="6"/>
        <v>2.8571428571428571E-2</v>
      </c>
      <c r="E83">
        <f t="shared" si="11"/>
        <v>0</v>
      </c>
      <c r="F83" s="1">
        <v>41</v>
      </c>
      <c r="G83" s="3" t="s">
        <v>76</v>
      </c>
      <c r="L83">
        <f t="shared" si="24"/>
        <v>0</v>
      </c>
      <c r="N83">
        <f t="shared" si="29"/>
        <v>0</v>
      </c>
      <c r="Q83">
        <f t="shared" si="19"/>
        <v>0</v>
      </c>
      <c r="V83">
        <f t="shared" si="20"/>
        <v>0</v>
      </c>
      <c r="Z83">
        <f t="shared" si="21"/>
        <v>0</v>
      </c>
      <c r="AE83">
        <f t="shared" si="22"/>
        <v>0</v>
      </c>
      <c r="AJ83">
        <f t="shared" si="23"/>
        <v>0</v>
      </c>
      <c r="AO83">
        <f t="shared" si="25"/>
        <v>0</v>
      </c>
      <c r="AT83">
        <f t="shared" si="26"/>
        <v>0</v>
      </c>
      <c r="AY83">
        <f t="shared" si="27"/>
        <v>0</v>
      </c>
      <c r="BE83">
        <f t="shared" si="28"/>
        <v>0</v>
      </c>
      <c r="BG83">
        <f t="shared" si="31"/>
        <v>0</v>
      </c>
      <c r="BI83">
        <f t="shared" si="32"/>
        <v>0</v>
      </c>
      <c r="BK83">
        <f t="shared" si="34"/>
        <v>0</v>
      </c>
      <c r="BM83">
        <f t="shared" si="35"/>
        <v>0</v>
      </c>
      <c r="BN83">
        <f t="shared" si="36"/>
        <v>0</v>
      </c>
      <c r="BO83">
        <f t="shared" si="37"/>
        <v>0</v>
      </c>
      <c r="BP83">
        <f t="shared" si="38"/>
        <v>0</v>
      </c>
      <c r="BQ83">
        <f t="shared" si="39"/>
        <v>0</v>
      </c>
      <c r="BR83">
        <f t="shared" si="40"/>
        <v>0</v>
      </c>
      <c r="BS83">
        <f t="shared" si="41"/>
        <v>0</v>
      </c>
      <c r="BT83">
        <f t="shared" si="42"/>
        <v>0</v>
      </c>
      <c r="BU83">
        <f t="shared" si="43"/>
        <v>0</v>
      </c>
      <c r="BV83">
        <f t="shared" ref="BV83:CG83" si="56">+BU83</f>
        <v>0</v>
      </c>
      <c r="BW83">
        <f t="shared" si="56"/>
        <v>0</v>
      </c>
      <c r="BX83">
        <f t="shared" si="56"/>
        <v>0</v>
      </c>
      <c r="BY83">
        <f t="shared" si="56"/>
        <v>0</v>
      </c>
      <c r="BZ83">
        <f t="shared" si="56"/>
        <v>0</v>
      </c>
      <c r="CA83">
        <f t="shared" si="56"/>
        <v>0</v>
      </c>
      <c r="CB83">
        <f t="shared" si="56"/>
        <v>0</v>
      </c>
      <c r="CC83">
        <f t="shared" si="56"/>
        <v>0</v>
      </c>
      <c r="CD83">
        <f t="shared" si="56"/>
        <v>0</v>
      </c>
      <c r="CE83">
        <f t="shared" si="56"/>
        <v>0</v>
      </c>
      <c r="CF83">
        <f t="shared" si="56"/>
        <v>0</v>
      </c>
      <c r="CG83">
        <f t="shared" si="56"/>
        <v>0</v>
      </c>
      <c r="CH83">
        <f>+CG83/2</f>
        <v>0</v>
      </c>
      <c r="CV83">
        <v>0</v>
      </c>
      <c r="CW83" s="3" t="s">
        <v>76</v>
      </c>
      <c r="CY83">
        <f t="shared" si="52"/>
        <v>0</v>
      </c>
    </row>
    <row r="84" spans="2:103" x14ac:dyDescent="0.25">
      <c r="B84" s="5">
        <f>+Inlet!D88</f>
        <v>0</v>
      </c>
      <c r="C84">
        <v>1</v>
      </c>
      <c r="D84">
        <f t="shared" si="6"/>
        <v>2.7777777777777776E-2</v>
      </c>
      <c r="E84">
        <f t="shared" si="11"/>
        <v>0</v>
      </c>
      <c r="F84" s="1">
        <v>42</v>
      </c>
      <c r="G84" s="2" t="s">
        <v>77</v>
      </c>
      <c r="L84">
        <f t="shared" si="24"/>
        <v>0</v>
      </c>
      <c r="N84">
        <f t="shared" si="29"/>
        <v>0</v>
      </c>
      <c r="Q84">
        <f t="shared" si="19"/>
        <v>0</v>
      </c>
      <c r="V84">
        <f t="shared" si="20"/>
        <v>0</v>
      </c>
      <c r="Z84">
        <f t="shared" si="21"/>
        <v>0</v>
      </c>
      <c r="AE84">
        <f t="shared" si="22"/>
        <v>0</v>
      </c>
      <c r="AJ84">
        <f t="shared" si="23"/>
        <v>0</v>
      </c>
      <c r="AO84">
        <f t="shared" si="25"/>
        <v>0</v>
      </c>
      <c r="AT84">
        <f t="shared" si="26"/>
        <v>0</v>
      </c>
      <c r="AY84">
        <f t="shared" si="27"/>
        <v>0</v>
      </c>
      <c r="BE84">
        <f t="shared" si="28"/>
        <v>0</v>
      </c>
      <c r="BG84">
        <f t="shared" si="31"/>
        <v>0</v>
      </c>
      <c r="BI84">
        <f t="shared" si="32"/>
        <v>0</v>
      </c>
      <c r="BK84">
        <f t="shared" si="34"/>
        <v>0</v>
      </c>
      <c r="BM84">
        <f t="shared" si="35"/>
        <v>0</v>
      </c>
      <c r="BN84">
        <f t="shared" si="36"/>
        <v>0</v>
      </c>
      <c r="BO84">
        <f t="shared" si="37"/>
        <v>0</v>
      </c>
      <c r="BP84">
        <f t="shared" si="38"/>
        <v>0</v>
      </c>
      <c r="BQ84">
        <f t="shared" si="39"/>
        <v>0</v>
      </c>
      <c r="BR84">
        <f t="shared" si="40"/>
        <v>0</v>
      </c>
      <c r="BS84">
        <f t="shared" si="41"/>
        <v>0</v>
      </c>
      <c r="BT84">
        <f t="shared" si="42"/>
        <v>0</v>
      </c>
      <c r="BU84">
        <f t="shared" si="43"/>
        <v>0</v>
      </c>
      <c r="BV84">
        <f t="shared" ref="BV84:CH84" si="57">+BU84</f>
        <v>0</v>
      </c>
      <c r="BW84">
        <f t="shared" si="57"/>
        <v>0</v>
      </c>
      <c r="BX84">
        <f t="shared" si="57"/>
        <v>0</v>
      </c>
      <c r="BY84">
        <f t="shared" si="57"/>
        <v>0</v>
      </c>
      <c r="BZ84">
        <f t="shared" si="57"/>
        <v>0</v>
      </c>
      <c r="CA84">
        <f t="shared" si="57"/>
        <v>0</v>
      </c>
      <c r="CB84">
        <f t="shared" si="57"/>
        <v>0</v>
      </c>
      <c r="CC84">
        <f t="shared" si="57"/>
        <v>0</v>
      </c>
      <c r="CD84">
        <f t="shared" si="57"/>
        <v>0</v>
      </c>
      <c r="CE84">
        <f t="shared" si="57"/>
        <v>0</v>
      </c>
      <c r="CF84">
        <f t="shared" si="57"/>
        <v>0</v>
      </c>
      <c r="CG84">
        <f t="shared" si="57"/>
        <v>0</v>
      </c>
      <c r="CH84">
        <f t="shared" si="57"/>
        <v>0</v>
      </c>
      <c r="CI84">
        <f>+CH84/2</f>
        <v>0</v>
      </c>
      <c r="CV84">
        <v>0</v>
      </c>
      <c r="CW84" s="2" t="s">
        <v>77</v>
      </c>
      <c r="CY84">
        <f t="shared" si="52"/>
        <v>0</v>
      </c>
    </row>
    <row r="85" spans="2:103" x14ac:dyDescent="0.25">
      <c r="B85" s="5">
        <f>+Inlet!D89</f>
        <v>0</v>
      </c>
      <c r="C85">
        <v>1</v>
      </c>
      <c r="D85">
        <f t="shared" si="6"/>
        <v>2.7027027027027029E-2</v>
      </c>
      <c r="E85">
        <f t="shared" si="11"/>
        <v>0</v>
      </c>
      <c r="F85" s="1">
        <v>43</v>
      </c>
      <c r="G85" s="3" t="s">
        <v>78</v>
      </c>
      <c r="L85">
        <f t="shared" si="24"/>
        <v>0</v>
      </c>
      <c r="N85">
        <f t="shared" si="29"/>
        <v>0</v>
      </c>
      <c r="Q85">
        <f t="shared" si="19"/>
        <v>0</v>
      </c>
      <c r="V85">
        <f t="shared" si="20"/>
        <v>0</v>
      </c>
      <c r="Z85">
        <f t="shared" si="21"/>
        <v>0</v>
      </c>
      <c r="AE85">
        <f t="shared" si="22"/>
        <v>0</v>
      </c>
      <c r="AJ85">
        <f t="shared" si="23"/>
        <v>0</v>
      </c>
      <c r="AO85">
        <f t="shared" si="25"/>
        <v>0</v>
      </c>
      <c r="AT85">
        <f t="shared" si="26"/>
        <v>0</v>
      </c>
      <c r="AY85">
        <f t="shared" si="27"/>
        <v>0</v>
      </c>
      <c r="BE85">
        <f t="shared" si="28"/>
        <v>0</v>
      </c>
      <c r="BG85">
        <f t="shared" si="31"/>
        <v>0</v>
      </c>
      <c r="BI85">
        <f t="shared" si="32"/>
        <v>0</v>
      </c>
      <c r="BK85">
        <f t="shared" si="34"/>
        <v>0</v>
      </c>
      <c r="BM85">
        <f t="shared" si="35"/>
        <v>0</v>
      </c>
      <c r="BN85">
        <f t="shared" si="36"/>
        <v>0</v>
      </c>
      <c r="BO85">
        <f t="shared" si="37"/>
        <v>0</v>
      </c>
      <c r="BP85">
        <f t="shared" si="38"/>
        <v>0</v>
      </c>
      <c r="BQ85">
        <f t="shared" si="39"/>
        <v>0</v>
      </c>
      <c r="BR85">
        <f t="shared" si="40"/>
        <v>0</v>
      </c>
      <c r="BS85">
        <f t="shared" si="41"/>
        <v>0</v>
      </c>
      <c r="BT85">
        <f t="shared" si="42"/>
        <v>0</v>
      </c>
      <c r="BU85">
        <f t="shared" si="43"/>
        <v>0</v>
      </c>
      <c r="BV85">
        <f t="shared" ref="BV85:CI85" si="58">+BU85</f>
        <v>0</v>
      </c>
      <c r="BW85">
        <f t="shared" si="58"/>
        <v>0</v>
      </c>
      <c r="BX85">
        <f t="shared" si="58"/>
        <v>0</v>
      </c>
      <c r="BY85">
        <f t="shared" si="58"/>
        <v>0</v>
      </c>
      <c r="BZ85">
        <f t="shared" si="58"/>
        <v>0</v>
      </c>
      <c r="CA85">
        <f t="shared" si="58"/>
        <v>0</v>
      </c>
      <c r="CB85">
        <f t="shared" si="58"/>
        <v>0</v>
      </c>
      <c r="CC85">
        <f t="shared" si="58"/>
        <v>0</v>
      </c>
      <c r="CD85">
        <f t="shared" si="58"/>
        <v>0</v>
      </c>
      <c r="CE85">
        <f t="shared" si="58"/>
        <v>0</v>
      </c>
      <c r="CF85">
        <f t="shared" si="58"/>
        <v>0</v>
      </c>
      <c r="CG85">
        <f t="shared" si="58"/>
        <v>0</v>
      </c>
      <c r="CH85">
        <f t="shared" si="58"/>
        <v>0</v>
      </c>
      <c r="CI85">
        <f t="shared" si="58"/>
        <v>0</v>
      </c>
      <c r="CJ85">
        <f>+CI85/2</f>
        <v>0</v>
      </c>
      <c r="CV85">
        <v>0</v>
      </c>
      <c r="CW85" s="3" t="s">
        <v>78</v>
      </c>
      <c r="CY85">
        <f t="shared" si="52"/>
        <v>0</v>
      </c>
    </row>
    <row r="86" spans="2:103" x14ac:dyDescent="0.25">
      <c r="B86" s="5">
        <f>+Inlet!D90</f>
        <v>0</v>
      </c>
      <c r="C86">
        <v>1</v>
      </c>
      <c r="D86">
        <f t="shared" ref="D86:D94" si="59">1/(F86-6)*C86</f>
        <v>2.6315789473684209E-2</v>
      </c>
      <c r="E86">
        <f t="shared" ref="E86:E93" si="60">1/(F86-6)*C86*B86</f>
        <v>0</v>
      </c>
      <c r="F86" s="1">
        <v>44</v>
      </c>
      <c r="G86" s="2" t="s">
        <v>79</v>
      </c>
      <c r="L86">
        <f t="shared" si="24"/>
        <v>0</v>
      </c>
      <c r="N86">
        <f t="shared" si="29"/>
        <v>0</v>
      </c>
      <c r="Q86">
        <f t="shared" si="19"/>
        <v>0</v>
      </c>
      <c r="V86">
        <f t="shared" si="20"/>
        <v>0</v>
      </c>
      <c r="Z86">
        <f t="shared" si="21"/>
        <v>0</v>
      </c>
      <c r="AE86">
        <f t="shared" si="22"/>
        <v>0</v>
      </c>
      <c r="AJ86">
        <f t="shared" si="23"/>
        <v>0</v>
      </c>
      <c r="AO86">
        <f t="shared" si="25"/>
        <v>0</v>
      </c>
      <c r="AT86">
        <f t="shared" si="26"/>
        <v>0</v>
      </c>
      <c r="AY86">
        <f t="shared" si="27"/>
        <v>0</v>
      </c>
      <c r="BE86">
        <f t="shared" si="28"/>
        <v>0</v>
      </c>
      <c r="BG86">
        <f t="shared" si="31"/>
        <v>0</v>
      </c>
      <c r="BI86">
        <f t="shared" si="32"/>
        <v>0</v>
      </c>
      <c r="BK86">
        <f t="shared" si="34"/>
        <v>0</v>
      </c>
      <c r="BM86">
        <f t="shared" si="35"/>
        <v>0</v>
      </c>
      <c r="BN86">
        <f t="shared" si="36"/>
        <v>0</v>
      </c>
      <c r="BO86">
        <f t="shared" si="37"/>
        <v>0</v>
      </c>
      <c r="BP86">
        <f t="shared" si="38"/>
        <v>0</v>
      </c>
      <c r="BQ86">
        <f t="shared" si="39"/>
        <v>0</v>
      </c>
      <c r="BR86">
        <f t="shared" si="40"/>
        <v>0</v>
      </c>
      <c r="BS86">
        <f t="shared" si="41"/>
        <v>0</v>
      </c>
      <c r="BT86">
        <f t="shared" si="42"/>
        <v>0</v>
      </c>
      <c r="BU86">
        <f t="shared" si="43"/>
        <v>0</v>
      </c>
      <c r="BV86">
        <f t="shared" ref="BV86:CP93" si="61">+BU86</f>
        <v>0</v>
      </c>
      <c r="BW86">
        <f t="shared" si="61"/>
        <v>0</v>
      </c>
      <c r="BX86">
        <f t="shared" si="61"/>
        <v>0</v>
      </c>
      <c r="BY86">
        <f t="shared" si="61"/>
        <v>0</v>
      </c>
      <c r="BZ86">
        <f t="shared" si="61"/>
        <v>0</v>
      </c>
      <c r="CA86">
        <f t="shared" si="61"/>
        <v>0</v>
      </c>
      <c r="CB86">
        <f t="shared" si="61"/>
        <v>0</v>
      </c>
      <c r="CC86">
        <f t="shared" si="61"/>
        <v>0</v>
      </c>
      <c r="CD86">
        <f t="shared" si="61"/>
        <v>0</v>
      </c>
      <c r="CE86">
        <f t="shared" si="61"/>
        <v>0</v>
      </c>
      <c r="CF86">
        <f t="shared" si="61"/>
        <v>0</v>
      </c>
      <c r="CG86">
        <f t="shared" si="61"/>
        <v>0</v>
      </c>
      <c r="CH86">
        <f t="shared" si="61"/>
        <v>0</v>
      </c>
      <c r="CI86">
        <f t="shared" si="61"/>
        <v>0</v>
      </c>
      <c r="CJ86">
        <f t="shared" si="61"/>
        <v>0</v>
      </c>
      <c r="CK86">
        <f>+CJ86/2</f>
        <v>0</v>
      </c>
      <c r="CV86">
        <v>0</v>
      </c>
      <c r="CW86" s="2" t="s">
        <v>79</v>
      </c>
      <c r="CY86">
        <f t="shared" si="52"/>
        <v>0</v>
      </c>
    </row>
    <row r="87" spans="2:103" x14ac:dyDescent="0.25">
      <c r="B87" s="5">
        <f>+Inlet!D91</f>
        <v>0</v>
      </c>
      <c r="C87">
        <v>1</v>
      </c>
      <c r="D87">
        <f t="shared" si="59"/>
        <v>2.564102564102564E-2</v>
      </c>
      <c r="E87">
        <f t="shared" si="60"/>
        <v>0</v>
      </c>
      <c r="F87" s="1">
        <v>45</v>
      </c>
      <c r="G87" s="3" t="s">
        <v>80</v>
      </c>
      <c r="L87">
        <f t="shared" si="24"/>
        <v>0</v>
      </c>
      <c r="N87">
        <f t="shared" si="29"/>
        <v>0</v>
      </c>
      <c r="Q87">
        <f t="shared" si="19"/>
        <v>0</v>
      </c>
      <c r="V87">
        <f t="shared" si="20"/>
        <v>0</v>
      </c>
      <c r="Z87">
        <f t="shared" si="21"/>
        <v>0</v>
      </c>
      <c r="AE87">
        <f t="shared" si="22"/>
        <v>0</v>
      </c>
      <c r="AJ87">
        <f t="shared" si="23"/>
        <v>0</v>
      </c>
      <c r="AO87">
        <f t="shared" si="25"/>
        <v>0</v>
      </c>
      <c r="AT87">
        <f t="shared" si="26"/>
        <v>0</v>
      </c>
      <c r="AY87">
        <f t="shared" si="27"/>
        <v>0</v>
      </c>
      <c r="BE87">
        <f t="shared" si="28"/>
        <v>0</v>
      </c>
      <c r="BG87">
        <f t="shared" si="31"/>
        <v>0</v>
      </c>
      <c r="BI87">
        <f t="shared" si="32"/>
        <v>0</v>
      </c>
      <c r="BK87">
        <f t="shared" si="34"/>
        <v>0</v>
      </c>
      <c r="BM87">
        <f t="shared" si="35"/>
        <v>0</v>
      </c>
      <c r="BN87">
        <f t="shared" si="36"/>
        <v>0</v>
      </c>
      <c r="BO87">
        <f t="shared" si="37"/>
        <v>0</v>
      </c>
      <c r="BP87">
        <f t="shared" si="38"/>
        <v>0</v>
      </c>
      <c r="BQ87">
        <f t="shared" si="39"/>
        <v>0</v>
      </c>
      <c r="BR87">
        <f t="shared" si="40"/>
        <v>0</v>
      </c>
      <c r="BS87">
        <f t="shared" si="41"/>
        <v>0</v>
      </c>
      <c r="BT87">
        <f t="shared" si="42"/>
        <v>0</v>
      </c>
      <c r="BU87">
        <f t="shared" si="43"/>
        <v>0</v>
      </c>
      <c r="BV87">
        <f t="shared" si="61"/>
        <v>0</v>
      </c>
      <c r="BW87">
        <f t="shared" si="61"/>
        <v>0</v>
      </c>
      <c r="BX87">
        <f t="shared" si="61"/>
        <v>0</v>
      </c>
      <c r="BY87">
        <f t="shared" si="61"/>
        <v>0</v>
      </c>
      <c r="BZ87">
        <f t="shared" si="61"/>
        <v>0</v>
      </c>
      <c r="CA87">
        <f t="shared" si="61"/>
        <v>0</v>
      </c>
      <c r="CB87">
        <f t="shared" si="61"/>
        <v>0</v>
      </c>
      <c r="CC87">
        <f t="shared" si="61"/>
        <v>0</v>
      </c>
      <c r="CD87">
        <f t="shared" si="61"/>
        <v>0</v>
      </c>
      <c r="CE87">
        <f t="shared" si="61"/>
        <v>0</v>
      </c>
      <c r="CF87">
        <f t="shared" si="61"/>
        <v>0</v>
      </c>
      <c r="CG87">
        <f t="shared" si="61"/>
        <v>0</v>
      </c>
      <c r="CH87">
        <f t="shared" si="61"/>
        <v>0</v>
      </c>
      <c r="CI87">
        <f t="shared" si="61"/>
        <v>0</v>
      </c>
      <c r="CJ87">
        <f t="shared" si="61"/>
        <v>0</v>
      </c>
      <c r="CK87">
        <f t="shared" si="61"/>
        <v>0</v>
      </c>
      <c r="CL87">
        <f>+CK87/2</f>
        <v>0</v>
      </c>
      <c r="CV87">
        <v>0</v>
      </c>
      <c r="CW87" s="3" t="s">
        <v>80</v>
      </c>
      <c r="CY87">
        <f t="shared" si="52"/>
        <v>0</v>
      </c>
    </row>
    <row r="88" spans="2:103" x14ac:dyDescent="0.25">
      <c r="B88" s="5">
        <f>+Inlet!D92</f>
        <v>0</v>
      </c>
      <c r="C88">
        <v>1</v>
      </c>
      <c r="D88">
        <f t="shared" si="59"/>
        <v>2.5000000000000001E-2</v>
      </c>
      <c r="E88">
        <f t="shared" si="60"/>
        <v>0</v>
      </c>
      <c r="F88" s="1">
        <v>46</v>
      </c>
      <c r="G88" s="2" t="s">
        <v>81</v>
      </c>
      <c r="L88">
        <f t="shared" si="24"/>
        <v>0</v>
      </c>
      <c r="N88">
        <f t="shared" si="29"/>
        <v>0</v>
      </c>
      <c r="Q88">
        <f t="shared" si="19"/>
        <v>0</v>
      </c>
      <c r="V88">
        <f t="shared" si="20"/>
        <v>0</v>
      </c>
      <c r="Z88">
        <f t="shared" si="21"/>
        <v>0</v>
      </c>
      <c r="AE88">
        <f t="shared" si="22"/>
        <v>0</v>
      </c>
      <c r="AJ88">
        <f t="shared" si="23"/>
        <v>0</v>
      </c>
      <c r="AO88">
        <f t="shared" si="25"/>
        <v>0</v>
      </c>
      <c r="AT88">
        <f t="shared" si="26"/>
        <v>0</v>
      </c>
      <c r="AY88">
        <f t="shared" si="27"/>
        <v>0</v>
      </c>
      <c r="BE88">
        <f t="shared" si="28"/>
        <v>0</v>
      </c>
      <c r="BG88">
        <f t="shared" si="31"/>
        <v>0</v>
      </c>
      <c r="BI88">
        <f t="shared" si="32"/>
        <v>0</v>
      </c>
      <c r="BK88">
        <f t="shared" si="34"/>
        <v>0</v>
      </c>
      <c r="BM88">
        <f t="shared" si="35"/>
        <v>0</v>
      </c>
      <c r="BN88">
        <f t="shared" si="36"/>
        <v>0</v>
      </c>
      <c r="BO88">
        <f t="shared" si="37"/>
        <v>0</v>
      </c>
      <c r="BP88">
        <f t="shared" si="38"/>
        <v>0</v>
      </c>
      <c r="BQ88">
        <f t="shared" si="39"/>
        <v>0</v>
      </c>
      <c r="BR88">
        <f t="shared" si="40"/>
        <v>0</v>
      </c>
      <c r="BS88">
        <f t="shared" si="41"/>
        <v>0</v>
      </c>
      <c r="BT88">
        <f t="shared" si="42"/>
        <v>0</v>
      </c>
      <c r="BU88">
        <f t="shared" si="43"/>
        <v>0</v>
      </c>
      <c r="BV88">
        <f t="shared" si="61"/>
        <v>0</v>
      </c>
      <c r="BW88">
        <f t="shared" si="61"/>
        <v>0</v>
      </c>
      <c r="BX88">
        <f t="shared" si="61"/>
        <v>0</v>
      </c>
      <c r="BY88">
        <f t="shared" si="61"/>
        <v>0</v>
      </c>
      <c r="BZ88">
        <f t="shared" si="61"/>
        <v>0</v>
      </c>
      <c r="CA88">
        <f t="shared" si="61"/>
        <v>0</v>
      </c>
      <c r="CB88">
        <f t="shared" si="61"/>
        <v>0</v>
      </c>
      <c r="CC88">
        <f t="shared" si="61"/>
        <v>0</v>
      </c>
      <c r="CD88">
        <f t="shared" si="61"/>
        <v>0</v>
      </c>
      <c r="CE88">
        <f t="shared" si="61"/>
        <v>0</v>
      </c>
      <c r="CF88">
        <f t="shared" si="61"/>
        <v>0</v>
      </c>
      <c r="CG88">
        <f t="shared" si="61"/>
        <v>0</v>
      </c>
      <c r="CH88">
        <f t="shared" si="61"/>
        <v>0</v>
      </c>
      <c r="CI88">
        <f t="shared" si="61"/>
        <v>0</v>
      </c>
      <c r="CJ88">
        <f t="shared" si="61"/>
        <v>0</v>
      </c>
      <c r="CK88">
        <f t="shared" si="61"/>
        <v>0</v>
      </c>
      <c r="CL88">
        <f t="shared" si="61"/>
        <v>0</v>
      </c>
      <c r="CM88">
        <f>+CL88</f>
        <v>0</v>
      </c>
      <c r="CV88">
        <v>0</v>
      </c>
      <c r="CW88" s="2" t="s">
        <v>81</v>
      </c>
      <c r="CY88">
        <f t="shared" si="52"/>
        <v>0</v>
      </c>
    </row>
    <row r="89" spans="2:103" x14ac:dyDescent="0.25">
      <c r="B89" s="5">
        <f>+Inlet!D93</f>
        <v>0</v>
      </c>
      <c r="C89">
        <v>1</v>
      </c>
      <c r="D89">
        <f t="shared" si="59"/>
        <v>2.3809523809523808E-2</v>
      </c>
      <c r="E89">
        <f t="shared" si="60"/>
        <v>0</v>
      </c>
      <c r="F89" s="1">
        <v>48</v>
      </c>
      <c r="G89" s="2" t="s">
        <v>82</v>
      </c>
      <c r="L89">
        <f t="shared" si="24"/>
        <v>0</v>
      </c>
      <c r="N89">
        <f t="shared" si="29"/>
        <v>0</v>
      </c>
      <c r="Q89">
        <f t="shared" si="19"/>
        <v>0</v>
      </c>
      <c r="V89">
        <f t="shared" si="20"/>
        <v>0</v>
      </c>
      <c r="Z89">
        <f t="shared" si="21"/>
        <v>0</v>
      </c>
      <c r="AE89">
        <f t="shared" si="22"/>
        <v>0</v>
      </c>
      <c r="AJ89">
        <f t="shared" si="23"/>
        <v>0</v>
      </c>
      <c r="AO89">
        <f t="shared" si="25"/>
        <v>0</v>
      </c>
      <c r="AT89">
        <f t="shared" si="26"/>
        <v>0</v>
      </c>
      <c r="AY89">
        <f t="shared" si="27"/>
        <v>0</v>
      </c>
      <c r="BE89">
        <f t="shared" si="28"/>
        <v>0</v>
      </c>
      <c r="BG89">
        <f t="shared" si="31"/>
        <v>0</v>
      </c>
      <c r="BI89">
        <f t="shared" si="32"/>
        <v>0</v>
      </c>
      <c r="BK89">
        <f t="shared" si="34"/>
        <v>0</v>
      </c>
      <c r="BM89">
        <f t="shared" si="35"/>
        <v>0</v>
      </c>
      <c r="BN89">
        <f t="shared" si="36"/>
        <v>0</v>
      </c>
      <c r="BO89">
        <f t="shared" si="37"/>
        <v>0</v>
      </c>
      <c r="BP89">
        <f t="shared" si="38"/>
        <v>0</v>
      </c>
      <c r="BQ89">
        <f t="shared" si="39"/>
        <v>0</v>
      </c>
      <c r="BR89">
        <f t="shared" si="40"/>
        <v>0</v>
      </c>
      <c r="BS89">
        <f t="shared" si="41"/>
        <v>0</v>
      </c>
      <c r="BT89">
        <f t="shared" si="42"/>
        <v>0</v>
      </c>
      <c r="BU89">
        <f t="shared" si="43"/>
        <v>0</v>
      </c>
      <c r="BV89">
        <f t="shared" si="61"/>
        <v>0</v>
      </c>
      <c r="BW89">
        <f t="shared" si="61"/>
        <v>0</v>
      </c>
      <c r="BX89">
        <f t="shared" si="61"/>
        <v>0</v>
      </c>
      <c r="BY89">
        <f t="shared" si="61"/>
        <v>0</v>
      </c>
      <c r="BZ89">
        <f t="shared" si="61"/>
        <v>0</v>
      </c>
      <c r="CA89">
        <f t="shared" si="61"/>
        <v>0</v>
      </c>
      <c r="CB89">
        <f t="shared" si="61"/>
        <v>0</v>
      </c>
      <c r="CC89">
        <f t="shared" si="61"/>
        <v>0</v>
      </c>
      <c r="CD89">
        <f t="shared" si="61"/>
        <v>0</v>
      </c>
      <c r="CE89">
        <f t="shared" si="61"/>
        <v>0</v>
      </c>
      <c r="CF89">
        <f t="shared" si="61"/>
        <v>0</v>
      </c>
      <c r="CG89">
        <f t="shared" si="61"/>
        <v>0</v>
      </c>
      <c r="CH89">
        <f t="shared" si="61"/>
        <v>0</v>
      </c>
      <c r="CI89">
        <f t="shared" si="61"/>
        <v>0</v>
      </c>
      <c r="CJ89">
        <f t="shared" si="61"/>
        <v>0</v>
      </c>
      <c r="CK89">
        <f t="shared" si="61"/>
        <v>0</v>
      </c>
      <c r="CL89">
        <f t="shared" si="61"/>
        <v>0</v>
      </c>
      <c r="CM89">
        <f t="shared" si="61"/>
        <v>0</v>
      </c>
      <c r="CN89">
        <f t="shared" si="61"/>
        <v>0</v>
      </c>
      <c r="CO89">
        <f>+CN89</f>
        <v>0</v>
      </c>
      <c r="CV89">
        <v>0</v>
      </c>
      <c r="CW89" s="2" t="s">
        <v>82</v>
      </c>
      <c r="CY89">
        <f t="shared" si="52"/>
        <v>0</v>
      </c>
    </row>
    <row r="90" spans="2:103" x14ac:dyDescent="0.25">
      <c r="B90" s="5">
        <f>+Inlet!D94</f>
        <v>0</v>
      </c>
      <c r="C90">
        <v>1</v>
      </c>
      <c r="D90">
        <f t="shared" si="59"/>
        <v>2.2727272727272728E-2</v>
      </c>
      <c r="E90">
        <f t="shared" si="60"/>
        <v>0</v>
      </c>
      <c r="F90" s="1">
        <v>50</v>
      </c>
      <c r="G90" s="2" t="s">
        <v>83</v>
      </c>
      <c r="L90">
        <f t="shared" si="24"/>
        <v>0</v>
      </c>
      <c r="N90">
        <f t="shared" si="29"/>
        <v>0</v>
      </c>
      <c r="Q90">
        <f t="shared" si="19"/>
        <v>0</v>
      </c>
      <c r="V90">
        <f t="shared" si="20"/>
        <v>0</v>
      </c>
      <c r="Z90">
        <f t="shared" si="21"/>
        <v>0</v>
      </c>
      <c r="AE90">
        <f t="shared" si="22"/>
        <v>0</v>
      </c>
      <c r="AJ90">
        <f t="shared" si="23"/>
        <v>0</v>
      </c>
      <c r="AO90">
        <f t="shared" si="25"/>
        <v>0</v>
      </c>
      <c r="AT90">
        <f t="shared" si="26"/>
        <v>0</v>
      </c>
      <c r="AY90">
        <f t="shared" si="27"/>
        <v>0</v>
      </c>
      <c r="BE90">
        <f t="shared" si="28"/>
        <v>0</v>
      </c>
      <c r="BG90">
        <f t="shared" si="31"/>
        <v>0</v>
      </c>
      <c r="BI90">
        <f t="shared" si="32"/>
        <v>0</v>
      </c>
      <c r="BK90">
        <f t="shared" si="34"/>
        <v>0</v>
      </c>
      <c r="BM90">
        <f t="shared" si="35"/>
        <v>0</v>
      </c>
      <c r="BN90">
        <f t="shared" si="36"/>
        <v>0</v>
      </c>
      <c r="BO90">
        <f t="shared" si="37"/>
        <v>0</v>
      </c>
      <c r="BP90">
        <f t="shared" si="38"/>
        <v>0</v>
      </c>
      <c r="BQ90">
        <f t="shared" si="39"/>
        <v>0</v>
      </c>
      <c r="BR90">
        <f t="shared" si="40"/>
        <v>0</v>
      </c>
      <c r="BS90">
        <f t="shared" si="41"/>
        <v>0</v>
      </c>
      <c r="BT90">
        <f t="shared" si="42"/>
        <v>0</v>
      </c>
      <c r="BU90">
        <f t="shared" si="43"/>
        <v>0</v>
      </c>
      <c r="BV90">
        <f t="shared" si="61"/>
        <v>0</v>
      </c>
      <c r="BW90">
        <f t="shared" si="61"/>
        <v>0</v>
      </c>
      <c r="BX90">
        <f t="shared" si="61"/>
        <v>0</v>
      </c>
      <c r="BY90">
        <f t="shared" si="61"/>
        <v>0</v>
      </c>
      <c r="BZ90">
        <f t="shared" si="61"/>
        <v>0</v>
      </c>
      <c r="CA90">
        <f t="shared" si="61"/>
        <v>0</v>
      </c>
      <c r="CB90">
        <f t="shared" si="61"/>
        <v>0</v>
      </c>
      <c r="CC90">
        <f t="shared" si="61"/>
        <v>0</v>
      </c>
      <c r="CD90">
        <f t="shared" si="61"/>
        <v>0</v>
      </c>
      <c r="CE90">
        <f t="shared" si="61"/>
        <v>0</v>
      </c>
      <c r="CF90">
        <f t="shared" si="61"/>
        <v>0</v>
      </c>
      <c r="CG90">
        <f t="shared" si="61"/>
        <v>0</v>
      </c>
      <c r="CH90">
        <f t="shared" si="61"/>
        <v>0</v>
      </c>
      <c r="CI90">
        <f t="shared" si="61"/>
        <v>0</v>
      </c>
      <c r="CJ90">
        <f t="shared" si="61"/>
        <v>0</v>
      </c>
      <c r="CK90">
        <f t="shared" si="61"/>
        <v>0</v>
      </c>
      <c r="CL90">
        <f t="shared" si="61"/>
        <v>0</v>
      </c>
      <c r="CM90">
        <f t="shared" si="61"/>
        <v>0</v>
      </c>
      <c r="CN90">
        <f t="shared" si="61"/>
        <v>0</v>
      </c>
      <c r="CO90">
        <f t="shared" si="61"/>
        <v>0</v>
      </c>
      <c r="CP90">
        <f>+CO90</f>
        <v>0</v>
      </c>
      <c r="CQ90">
        <f>+CO90</f>
        <v>0</v>
      </c>
      <c r="CV90">
        <v>0</v>
      </c>
      <c r="CW90" s="2" t="s">
        <v>83</v>
      </c>
      <c r="CY90">
        <f t="shared" si="52"/>
        <v>0</v>
      </c>
    </row>
    <row r="91" spans="2:103" x14ac:dyDescent="0.25">
      <c r="B91" s="5">
        <f>+Inlet!D95</f>
        <v>0</v>
      </c>
      <c r="C91">
        <v>1</v>
      </c>
      <c r="D91">
        <f t="shared" si="59"/>
        <v>2.2222222222222223E-2</v>
      </c>
      <c r="E91">
        <f t="shared" si="60"/>
        <v>0</v>
      </c>
      <c r="F91" s="1">
        <v>51</v>
      </c>
      <c r="G91" s="3" t="s">
        <v>84</v>
      </c>
      <c r="L91">
        <f t="shared" si="24"/>
        <v>0</v>
      </c>
      <c r="N91">
        <f t="shared" si="29"/>
        <v>0</v>
      </c>
      <c r="Q91">
        <f t="shared" si="19"/>
        <v>0</v>
      </c>
      <c r="V91">
        <f t="shared" si="20"/>
        <v>0</v>
      </c>
      <c r="Z91">
        <f t="shared" si="21"/>
        <v>0</v>
      </c>
      <c r="AE91">
        <f t="shared" si="22"/>
        <v>0</v>
      </c>
      <c r="AJ91">
        <f t="shared" si="23"/>
        <v>0</v>
      </c>
      <c r="AO91">
        <f t="shared" si="25"/>
        <v>0</v>
      </c>
      <c r="AT91">
        <f t="shared" si="26"/>
        <v>0</v>
      </c>
      <c r="AY91">
        <f t="shared" si="27"/>
        <v>0</v>
      </c>
      <c r="BE91">
        <f t="shared" si="28"/>
        <v>0</v>
      </c>
      <c r="BG91">
        <f t="shared" si="31"/>
        <v>0</v>
      </c>
      <c r="BI91">
        <f t="shared" si="32"/>
        <v>0</v>
      </c>
      <c r="BK91">
        <f t="shared" si="34"/>
        <v>0</v>
      </c>
      <c r="BM91">
        <f t="shared" si="35"/>
        <v>0</v>
      </c>
      <c r="BN91">
        <f t="shared" si="36"/>
        <v>0</v>
      </c>
      <c r="BO91">
        <f t="shared" si="37"/>
        <v>0</v>
      </c>
      <c r="BP91">
        <f t="shared" si="38"/>
        <v>0</v>
      </c>
      <c r="BQ91">
        <f t="shared" si="39"/>
        <v>0</v>
      </c>
      <c r="BR91">
        <f t="shared" si="40"/>
        <v>0</v>
      </c>
      <c r="BS91">
        <f t="shared" si="41"/>
        <v>0</v>
      </c>
      <c r="BT91">
        <f t="shared" si="42"/>
        <v>0</v>
      </c>
      <c r="BU91">
        <f t="shared" si="43"/>
        <v>0</v>
      </c>
      <c r="BV91">
        <f t="shared" si="61"/>
        <v>0</v>
      </c>
      <c r="BW91">
        <f t="shared" si="61"/>
        <v>0</v>
      </c>
      <c r="BX91">
        <f t="shared" si="61"/>
        <v>0</v>
      </c>
      <c r="BY91">
        <f t="shared" si="61"/>
        <v>0</v>
      </c>
      <c r="BZ91">
        <f t="shared" si="61"/>
        <v>0</v>
      </c>
      <c r="CA91">
        <f t="shared" si="61"/>
        <v>0</v>
      </c>
      <c r="CB91">
        <f t="shared" si="61"/>
        <v>0</v>
      </c>
      <c r="CC91">
        <f t="shared" si="61"/>
        <v>0</v>
      </c>
      <c r="CD91">
        <f t="shared" si="61"/>
        <v>0</v>
      </c>
      <c r="CE91">
        <f t="shared" si="61"/>
        <v>0</v>
      </c>
      <c r="CF91">
        <f t="shared" si="61"/>
        <v>0</v>
      </c>
      <c r="CG91">
        <f t="shared" si="61"/>
        <v>0</v>
      </c>
      <c r="CH91">
        <f t="shared" si="61"/>
        <v>0</v>
      </c>
      <c r="CI91">
        <f t="shared" si="61"/>
        <v>0</v>
      </c>
      <c r="CJ91">
        <f t="shared" si="61"/>
        <v>0</v>
      </c>
      <c r="CK91">
        <f t="shared" si="61"/>
        <v>0</v>
      </c>
      <c r="CL91">
        <f t="shared" si="61"/>
        <v>0</v>
      </c>
      <c r="CM91">
        <f t="shared" si="61"/>
        <v>0</v>
      </c>
      <c r="CN91">
        <f t="shared" si="61"/>
        <v>0</v>
      </c>
      <c r="CO91">
        <f t="shared" si="61"/>
        <v>0</v>
      </c>
      <c r="CP91">
        <f>+CO91*2</f>
        <v>0</v>
      </c>
      <c r="CQ91">
        <f>+CO91</f>
        <v>0</v>
      </c>
      <c r="CV91">
        <v>0</v>
      </c>
      <c r="CW91" s="3" t="s">
        <v>84</v>
      </c>
      <c r="CY91">
        <f t="shared" si="52"/>
        <v>0</v>
      </c>
    </row>
    <row r="92" spans="2:103" x14ac:dyDescent="0.25">
      <c r="B92" s="5">
        <f>+Inlet!D96</f>
        <v>0</v>
      </c>
      <c r="C92">
        <v>1</v>
      </c>
      <c r="D92">
        <f t="shared" si="59"/>
        <v>2.1739130434782608E-2</v>
      </c>
      <c r="E92">
        <f t="shared" si="60"/>
        <v>0</v>
      </c>
      <c r="F92" s="1">
        <v>52</v>
      </c>
      <c r="G92" s="2" t="s">
        <v>85</v>
      </c>
      <c r="L92">
        <f t="shared" si="24"/>
        <v>0</v>
      </c>
      <c r="N92">
        <f t="shared" si="29"/>
        <v>0</v>
      </c>
      <c r="Q92">
        <f t="shared" si="19"/>
        <v>0</v>
      </c>
      <c r="V92">
        <f t="shared" si="20"/>
        <v>0</v>
      </c>
      <c r="Z92">
        <f t="shared" si="21"/>
        <v>0</v>
      </c>
      <c r="AE92">
        <f t="shared" si="22"/>
        <v>0</v>
      </c>
      <c r="AJ92">
        <f t="shared" si="23"/>
        <v>0</v>
      </c>
      <c r="AO92">
        <f t="shared" si="25"/>
        <v>0</v>
      </c>
      <c r="AT92">
        <f t="shared" si="26"/>
        <v>0</v>
      </c>
      <c r="AY92">
        <f t="shared" si="27"/>
        <v>0</v>
      </c>
      <c r="BE92">
        <f t="shared" si="28"/>
        <v>0</v>
      </c>
      <c r="BG92">
        <f t="shared" si="31"/>
        <v>0</v>
      </c>
      <c r="BI92">
        <f t="shared" si="32"/>
        <v>0</v>
      </c>
      <c r="BK92">
        <f t="shared" si="34"/>
        <v>0</v>
      </c>
      <c r="BM92">
        <f t="shared" si="35"/>
        <v>0</v>
      </c>
      <c r="BN92">
        <f t="shared" si="36"/>
        <v>0</v>
      </c>
      <c r="BO92">
        <f t="shared" si="37"/>
        <v>0</v>
      </c>
      <c r="BP92">
        <f t="shared" si="38"/>
        <v>0</v>
      </c>
      <c r="BQ92">
        <f t="shared" si="39"/>
        <v>0</v>
      </c>
      <c r="BR92">
        <f t="shared" si="40"/>
        <v>0</v>
      </c>
      <c r="BS92">
        <f t="shared" si="41"/>
        <v>0</v>
      </c>
      <c r="BT92">
        <f t="shared" si="42"/>
        <v>0</v>
      </c>
      <c r="BU92">
        <f t="shared" si="43"/>
        <v>0</v>
      </c>
      <c r="BV92">
        <f t="shared" si="61"/>
        <v>0</v>
      </c>
      <c r="BW92">
        <f t="shared" si="61"/>
        <v>0</v>
      </c>
      <c r="BX92">
        <f t="shared" si="61"/>
        <v>0</v>
      </c>
      <c r="BY92">
        <f t="shared" si="61"/>
        <v>0</v>
      </c>
      <c r="BZ92">
        <f t="shared" si="61"/>
        <v>0</v>
      </c>
      <c r="CA92">
        <f t="shared" si="61"/>
        <v>0</v>
      </c>
      <c r="CB92">
        <f t="shared" si="61"/>
        <v>0</v>
      </c>
      <c r="CC92">
        <f t="shared" si="61"/>
        <v>0</v>
      </c>
      <c r="CD92">
        <f t="shared" si="61"/>
        <v>0</v>
      </c>
      <c r="CE92">
        <f t="shared" si="61"/>
        <v>0</v>
      </c>
      <c r="CF92">
        <f t="shared" si="61"/>
        <v>0</v>
      </c>
      <c r="CG92">
        <f t="shared" si="61"/>
        <v>0</v>
      </c>
      <c r="CH92">
        <f t="shared" si="61"/>
        <v>0</v>
      </c>
      <c r="CI92">
        <f t="shared" si="61"/>
        <v>0</v>
      </c>
      <c r="CJ92">
        <f t="shared" si="61"/>
        <v>0</v>
      </c>
      <c r="CK92">
        <f t="shared" si="61"/>
        <v>0</v>
      </c>
      <c r="CL92">
        <f t="shared" si="61"/>
        <v>0</v>
      </c>
      <c r="CM92">
        <f t="shared" si="61"/>
        <v>0</v>
      </c>
      <c r="CN92">
        <f t="shared" si="61"/>
        <v>0</v>
      </c>
      <c r="CO92">
        <f t="shared" si="61"/>
        <v>0</v>
      </c>
      <c r="CP92">
        <f t="shared" si="61"/>
        <v>0</v>
      </c>
      <c r="CQ92">
        <f>+CP92*2</f>
        <v>0</v>
      </c>
      <c r="CR92">
        <f>+CP92</f>
        <v>0</v>
      </c>
      <c r="CV92">
        <v>0</v>
      </c>
      <c r="CW92" s="2" t="s">
        <v>85</v>
      </c>
      <c r="CY92">
        <f t="shared" si="52"/>
        <v>0</v>
      </c>
    </row>
    <row r="93" spans="2:103" x14ac:dyDescent="0.25">
      <c r="B93" s="5">
        <f>+Inlet!D97</f>
        <v>0</v>
      </c>
      <c r="C93">
        <v>1</v>
      </c>
      <c r="D93">
        <f t="shared" si="59"/>
        <v>2.0833333333333332E-2</v>
      </c>
      <c r="E93">
        <f t="shared" si="60"/>
        <v>0</v>
      </c>
      <c r="F93" s="1">
        <v>54</v>
      </c>
      <c r="G93" s="3" t="s">
        <v>86</v>
      </c>
      <c r="L93">
        <f t="shared" si="24"/>
        <v>0</v>
      </c>
      <c r="N93">
        <f t="shared" si="29"/>
        <v>0</v>
      </c>
      <c r="Q93">
        <f t="shared" si="19"/>
        <v>0</v>
      </c>
      <c r="V93">
        <f t="shared" si="20"/>
        <v>0</v>
      </c>
      <c r="Z93">
        <f t="shared" si="21"/>
        <v>0</v>
      </c>
      <c r="AE93">
        <f t="shared" si="22"/>
        <v>0</v>
      </c>
      <c r="AJ93">
        <f t="shared" si="23"/>
        <v>0</v>
      </c>
      <c r="AO93">
        <f t="shared" si="25"/>
        <v>0</v>
      </c>
      <c r="AT93">
        <f t="shared" si="26"/>
        <v>0</v>
      </c>
      <c r="AY93">
        <f t="shared" si="27"/>
        <v>0</v>
      </c>
      <c r="BE93">
        <f t="shared" si="28"/>
        <v>0</v>
      </c>
      <c r="BG93">
        <f t="shared" si="31"/>
        <v>0</v>
      </c>
      <c r="BI93">
        <f t="shared" si="32"/>
        <v>0</v>
      </c>
      <c r="BK93">
        <f t="shared" si="34"/>
        <v>0</v>
      </c>
      <c r="BM93">
        <f t="shared" si="35"/>
        <v>0</v>
      </c>
      <c r="BN93">
        <f t="shared" si="36"/>
        <v>0</v>
      </c>
      <c r="BO93">
        <f t="shared" si="37"/>
        <v>0</v>
      </c>
      <c r="BP93">
        <f t="shared" si="38"/>
        <v>0</v>
      </c>
      <c r="BQ93">
        <f t="shared" si="39"/>
        <v>0</v>
      </c>
      <c r="BR93">
        <f t="shared" si="40"/>
        <v>0</v>
      </c>
      <c r="BS93">
        <f t="shared" si="41"/>
        <v>0</v>
      </c>
      <c r="BT93">
        <f t="shared" si="42"/>
        <v>0</v>
      </c>
      <c r="BU93">
        <f t="shared" si="43"/>
        <v>0</v>
      </c>
      <c r="BV93">
        <f t="shared" si="61"/>
        <v>0</v>
      </c>
      <c r="BW93">
        <f t="shared" si="61"/>
        <v>0</v>
      </c>
      <c r="BX93">
        <f t="shared" si="61"/>
        <v>0</v>
      </c>
      <c r="BY93">
        <f t="shared" si="61"/>
        <v>0</v>
      </c>
      <c r="BZ93">
        <f t="shared" si="61"/>
        <v>0</v>
      </c>
      <c r="CA93">
        <f t="shared" si="61"/>
        <v>0</v>
      </c>
      <c r="CB93">
        <f t="shared" si="61"/>
        <v>0</v>
      </c>
      <c r="CC93">
        <f t="shared" si="61"/>
        <v>0</v>
      </c>
      <c r="CD93">
        <f t="shared" si="61"/>
        <v>0</v>
      </c>
      <c r="CE93">
        <f t="shared" si="61"/>
        <v>0</v>
      </c>
      <c r="CF93">
        <f t="shared" si="61"/>
        <v>0</v>
      </c>
      <c r="CG93">
        <f t="shared" si="61"/>
        <v>0</v>
      </c>
      <c r="CH93">
        <f t="shared" si="61"/>
        <v>0</v>
      </c>
      <c r="CI93">
        <f t="shared" si="61"/>
        <v>0</v>
      </c>
      <c r="CJ93">
        <f t="shared" si="61"/>
        <v>0</v>
      </c>
      <c r="CK93">
        <f t="shared" si="61"/>
        <v>0</v>
      </c>
      <c r="CL93">
        <f t="shared" si="61"/>
        <v>0</v>
      </c>
      <c r="CM93">
        <f t="shared" si="61"/>
        <v>0</v>
      </c>
      <c r="CN93">
        <f t="shared" si="61"/>
        <v>0</v>
      </c>
      <c r="CO93">
        <f t="shared" si="61"/>
        <v>0</v>
      </c>
      <c r="CP93">
        <f t="shared" si="61"/>
        <v>0</v>
      </c>
      <c r="CQ93">
        <f>+CP93*2</f>
        <v>0</v>
      </c>
      <c r="CR93">
        <f>+CP93*2</f>
        <v>0</v>
      </c>
      <c r="CS93">
        <f>+CP93</f>
        <v>0</v>
      </c>
      <c r="CV93">
        <v>0</v>
      </c>
      <c r="CW93" s="3" t="s">
        <v>86</v>
      </c>
      <c r="CY93">
        <f>SUM(L93:CS93)/2</f>
        <v>0</v>
      </c>
    </row>
    <row r="94" spans="2:103" x14ac:dyDescent="0.25">
      <c r="D94">
        <f t="shared" si="59"/>
        <v>0</v>
      </c>
      <c r="H94" s="2" t="s">
        <v>1</v>
      </c>
      <c r="I94" s="3" t="s">
        <v>2</v>
      </c>
      <c r="J94" s="3" t="s">
        <v>4</v>
      </c>
      <c r="K94" s="2" t="s">
        <v>5</v>
      </c>
      <c r="L94" s="2" t="s">
        <v>6</v>
      </c>
      <c r="M94" s="3" t="s">
        <v>7</v>
      </c>
      <c r="N94" s="2" t="s">
        <v>8</v>
      </c>
      <c r="O94" s="3" t="s">
        <v>9</v>
      </c>
      <c r="P94" s="3" t="s">
        <v>10</v>
      </c>
      <c r="Q94" s="2" t="s">
        <v>11</v>
      </c>
      <c r="R94" s="2" t="s">
        <v>96</v>
      </c>
      <c r="S94" s="2" t="s">
        <v>12</v>
      </c>
      <c r="T94" s="2" t="s">
        <v>98</v>
      </c>
      <c r="U94" s="2" t="s">
        <v>13</v>
      </c>
      <c r="V94" s="3" t="s">
        <v>14</v>
      </c>
      <c r="W94" s="3" t="s">
        <v>15</v>
      </c>
      <c r="X94" s="3" t="s">
        <v>99</v>
      </c>
      <c r="Y94" s="3" t="s">
        <v>100</v>
      </c>
      <c r="Z94" s="3" t="s">
        <v>16</v>
      </c>
      <c r="AA94" s="2" t="s">
        <v>17</v>
      </c>
      <c r="AB94" s="3" t="s">
        <v>18</v>
      </c>
      <c r="AC94" s="2" t="s">
        <v>19</v>
      </c>
      <c r="AD94" s="2" t="s">
        <v>101</v>
      </c>
      <c r="AE94" s="3" t="s">
        <v>20</v>
      </c>
      <c r="AF94" s="2" t="s">
        <v>21</v>
      </c>
      <c r="AG94" s="2" t="s">
        <v>22</v>
      </c>
      <c r="AH94" s="3" t="s">
        <v>23</v>
      </c>
      <c r="AI94" s="2" t="s">
        <v>24</v>
      </c>
      <c r="AJ94" s="2" t="s">
        <v>25</v>
      </c>
      <c r="AK94" s="3" t="s">
        <v>26</v>
      </c>
      <c r="AL94" s="2" t="s">
        <v>27</v>
      </c>
      <c r="AM94" s="3" t="s">
        <v>28</v>
      </c>
      <c r="AN94" s="2" t="s">
        <v>29</v>
      </c>
      <c r="AO94" s="3" t="s">
        <v>30</v>
      </c>
      <c r="AP94" s="2" t="s">
        <v>31</v>
      </c>
      <c r="AQ94" s="3" t="s">
        <v>32</v>
      </c>
      <c r="AR94" s="2" t="s">
        <v>33</v>
      </c>
      <c r="AS94" s="3" t="s">
        <v>34</v>
      </c>
      <c r="AT94" s="3" t="s">
        <v>35</v>
      </c>
      <c r="AU94" s="2" t="s">
        <v>36</v>
      </c>
      <c r="AV94" s="2" t="s">
        <v>37</v>
      </c>
      <c r="AW94" s="2" t="s">
        <v>106</v>
      </c>
      <c r="AX94" s="2" t="s">
        <v>38</v>
      </c>
      <c r="AY94" s="3" t="s">
        <v>39</v>
      </c>
      <c r="AZ94" s="3" t="s">
        <v>40</v>
      </c>
      <c r="BA94" s="2" t="s">
        <v>41</v>
      </c>
      <c r="BB94" s="2" t="s">
        <v>103</v>
      </c>
      <c r="BC94" s="2" t="s">
        <v>42</v>
      </c>
      <c r="BD94" s="3" t="s">
        <v>43</v>
      </c>
      <c r="BE94" s="2" t="s">
        <v>44</v>
      </c>
      <c r="BF94" s="3" t="s">
        <v>45</v>
      </c>
      <c r="BG94" s="2" t="s">
        <v>46</v>
      </c>
      <c r="BH94" s="3" t="s">
        <v>47</v>
      </c>
      <c r="BI94" s="2" t="s">
        <v>48</v>
      </c>
      <c r="BJ94" s="3" t="s">
        <v>49</v>
      </c>
      <c r="BK94" s="2" t="s">
        <v>50</v>
      </c>
      <c r="BL94" s="3" t="s">
        <v>51</v>
      </c>
      <c r="BM94" s="2" t="s">
        <v>52</v>
      </c>
      <c r="BN94" s="2" t="s">
        <v>53</v>
      </c>
      <c r="BO94" s="3" t="s">
        <v>54</v>
      </c>
      <c r="BP94" s="2" t="s">
        <v>55</v>
      </c>
      <c r="BQ94" s="3" t="s">
        <v>56</v>
      </c>
      <c r="BR94" s="2" t="s">
        <v>57</v>
      </c>
      <c r="BS94" s="3" t="s">
        <v>58</v>
      </c>
      <c r="BT94" s="2" t="s">
        <v>59</v>
      </c>
      <c r="BU94" s="3" t="s">
        <v>60</v>
      </c>
      <c r="BV94" s="2" t="s">
        <v>61</v>
      </c>
      <c r="BW94" s="3" t="s">
        <v>62</v>
      </c>
      <c r="BX94" s="2" t="s">
        <v>63</v>
      </c>
      <c r="BY94" s="3" t="s">
        <v>64</v>
      </c>
      <c r="BZ94" s="2" t="s">
        <v>65</v>
      </c>
      <c r="CA94" s="3" t="s">
        <v>66</v>
      </c>
      <c r="CB94" s="2" t="s">
        <v>67</v>
      </c>
      <c r="CC94" s="3" t="s">
        <v>68</v>
      </c>
      <c r="CD94" s="2" t="s">
        <v>69</v>
      </c>
      <c r="CE94" s="3" t="s">
        <v>70</v>
      </c>
      <c r="CF94" s="2" t="s">
        <v>71</v>
      </c>
      <c r="CG94" s="3" t="s">
        <v>72</v>
      </c>
      <c r="CH94" s="2" t="s">
        <v>73</v>
      </c>
      <c r="CI94" s="3" t="s">
        <v>74</v>
      </c>
      <c r="CJ94" s="2" t="s">
        <v>75</v>
      </c>
      <c r="CK94" s="3" t="s">
        <v>76</v>
      </c>
      <c r="CL94" s="2" t="s">
        <v>77</v>
      </c>
      <c r="CM94" s="3" t="s">
        <v>78</v>
      </c>
      <c r="CN94" s="2" t="s">
        <v>79</v>
      </c>
      <c r="CO94" s="3" t="s">
        <v>80</v>
      </c>
      <c r="CP94" s="2" t="s">
        <v>81</v>
      </c>
      <c r="CQ94" s="2" t="s">
        <v>82</v>
      </c>
      <c r="CR94" s="2" t="s">
        <v>83</v>
      </c>
      <c r="CS94" s="3" t="s">
        <v>84</v>
      </c>
      <c r="CT94" s="2" t="s">
        <v>85</v>
      </c>
      <c r="CU94" s="3" t="s">
        <v>86</v>
      </c>
    </row>
    <row r="95" spans="2:103" x14ac:dyDescent="0.25">
      <c r="G95" t="s">
        <v>0</v>
      </c>
      <c r="H95" s="1">
        <v>1</v>
      </c>
      <c r="I95" s="1">
        <v>1</v>
      </c>
      <c r="J95" s="1">
        <v>2</v>
      </c>
      <c r="K95" s="1">
        <v>2</v>
      </c>
      <c r="L95" s="1">
        <v>3</v>
      </c>
      <c r="M95" s="1">
        <v>3</v>
      </c>
      <c r="N95" s="1">
        <v>4</v>
      </c>
      <c r="O95" s="1">
        <v>4</v>
      </c>
      <c r="P95" s="1">
        <v>4</v>
      </c>
      <c r="Q95" s="1">
        <v>5</v>
      </c>
      <c r="R95" s="1">
        <v>5</v>
      </c>
      <c r="S95" s="1">
        <v>5</v>
      </c>
      <c r="T95" s="1">
        <v>5</v>
      </c>
      <c r="U95" s="1">
        <v>6</v>
      </c>
      <c r="V95" s="1">
        <v>6</v>
      </c>
      <c r="W95" s="1">
        <v>6</v>
      </c>
      <c r="X95" s="1">
        <v>6</v>
      </c>
      <c r="Y95" s="1">
        <v>6</v>
      </c>
      <c r="Z95" s="1">
        <v>7</v>
      </c>
      <c r="AA95" s="1">
        <v>7</v>
      </c>
      <c r="AB95" s="1">
        <v>7</v>
      </c>
      <c r="AC95" s="1">
        <v>7</v>
      </c>
      <c r="AD95" s="1">
        <v>7</v>
      </c>
      <c r="AE95" s="1">
        <v>8</v>
      </c>
      <c r="AF95" s="1">
        <v>8</v>
      </c>
      <c r="AG95" s="1">
        <v>8</v>
      </c>
      <c r="AH95" s="1">
        <v>8</v>
      </c>
      <c r="AI95" s="1">
        <v>8</v>
      </c>
      <c r="AJ95" s="1">
        <v>9</v>
      </c>
      <c r="AK95" s="1">
        <v>9</v>
      </c>
      <c r="AL95" s="1">
        <v>9</v>
      </c>
      <c r="AM95" s="1">
        <v>9</v>
      </c>
      <c r="AN95" s="1">
        <v>9</v>
      </c>
      <c r="AO95" s="1">
        <v>10</v>
      </c>
      <c r="AP95" s="1">
        <v>10</v>
      </c>
      <c r="AQ95" s="1">
        <v>10</v>
      </c>
      <c r="AR95" s="1">
        <v>10</v>
      </c>
      <c r="AS95" s="1">
        <v>10</v>
      </c>
      <c r="AT95" s="1">
        <v>11</v>
      </c>
      <c r="AU95" s="1">
        <v>11</v>
      </c>
      <c r="AV95" s="1">
        <v>11</v>
      </c>
      <c r="AW95" s="1">
        <v>11</v>
      </c>
      <c r="AX95" s="1">
        <v>12</v>
      </c>
      <c r="AY95" s="1">
        <v>12</v>
      </c>
      <c r="AZ95" s="1">
        <v>12</v>
      </c>
      <c r="BA95" s="1">
        <v>12</v>
      </c>
      <c r="BB95" s="1">
        <v>12</v>
      </c>
      <c r="BC95" s="1">
        <v>13</v>
      </c>
      <c r="BD95" s="1">
        <v>13</v>
      </c>
      <c r="BE95" s="1">
        <v>13</v>
      </c>
      <c r="BF95" s="1">
        <v>14</v>
      </c>
      <c r="BG95" s="1">
        <v>14</v>
      </c>
      <c r="BH95" s="1">
        <v>15</v>
      </c>
      <c r="BI95" s="1">
        <v>15</v>
      </c>
      <c r="BJ95" s="1">
        <v>16</v>
      </c>
      <c r="BK95" s="1">
        <v>16</v>
      </c>
      <c r="BL95" s="1">
        <v>17</v>
      </c>
      <c r="BM95" s="1">
        <v>17</v>
      </c>
      <c r="BN95" s="1">
        <v>18</v>
      </c>
      <c r="BO95" s="1">
        <v>19</v>
      </c>
      <c r="BP95" s="1">
        <v>20</v>
      </c>
      <c r="BQ95" s="1">
        <v>21</v>
      </c>
      <c r="BR95" s="1">
        <v>22</v>
      </c>
      <c r="BS95" s="1">
        <v>23</v>
      </c>
      <c r="BT95" s="1">
        <v>24</v>
      </c>
      <c r="BU95" s="1">
        <v>25</v>
      </c>
      <c r="BV95" s="1">
        <v>26</v>
      </c>
      <c r="BW95" s="1">
        <v>27</v>
      </c>
      <c r="BX95" s="1">
        <v>28</v>
      </c>
      <c r="BY95" s="1">
        <v>29</v>
      </c>
      <c r="BZ95" s="1">
        <v>30</v>
      </c>
      <c r="CA95" s="1">
        <v>31</v>
      </c>
      <c r="CB95" s="1">
        <v>32</v>
      </c>
      <c r="CC95" s="1">
        <v>33</v>
      </c>
      <c r="CD95" s="1">
        <v>34</v>
      </c>
      <c r="CE95" s="1">
        <v>35</v>
      </c>
      <c r="CF95" s="1">
        <v>36</v>
      </c>
      <c r="CG95" s="1">
        <v>37</v>
      </c>
      <c r="CH95" s="1">
        <v>38</v>
      </c>
      <c r="CI95" s="1">
        <v>39</v>
      </c>
      <c r="CJ95" s="1">
        <v>40</v>
      </c>
      <c r="CK95" s="1">
        <v>41</v>
      </c>
      <c r="CL95" s="1">
        <v>42</v>
      </c>
      <c r="CM95" s="1">
        <v>43</v>
      </c>
      <c r="CN95" s="1">
        <v>44</v>
      </c>
      <c r="CO95" s="1">
        <v>45</v>
      </c>
      <c r="CP95" s="1">
        <v>46</v>
      </c>
      <c r="CQ95" s="1">
        <v>48</v>
      </c>
      <c r="CR95" s="1">
        <v>50</v>
      </c>
      <c r="CS95" s="1">
        <v>51</v>
      </c>
      <c r="CT95" s="1">
        <v>52</v>
      </c>
      <c r="CU95" s="1">
        <v>54</v>
      </c>
      <c r="CW95" t="s">
        <v>0</v>
      </c>
    </row>
    <row r="96" spans="2:103" x14ac:dyDescent="0.25">
      <c r="G96" t="s">
        <v>91</v>
      </c>
      <c r="H96" s="5">
        <f>SUM(H2:H93)</f>
        <v>7.1114470114353595E-4</v>
      </c>
      <c r="I96">
        <f t="shared" ref="H96:AM96" si="62">SUM(I2:I93)</f>
        <v>1.15915726277396E-3</v>
      </c>
      <c r="J96">
        <f t="shared" si="62"/>
        <v>2.5701200645325E-3</v>
      </c>
      <c r="K96">
        <f t="shared" si="62"/>
        <v>0</v>
      </c>
      <c r="L96">
        <f t="shared" si="62"/>
        <v>3.8202128189215881E-2</v>
      </c>
      <c r="M96">
        <f t="shared" si="62"/>
        <v>1.1449167841188555E-8</v>
      </c>
      <c r="N96">
        <f t="shared" si="62"/>
        <v>5.2157349925587217E-2</v>
      </c>
      <c r="O96">
        <f t="shared" si="62"/>
        <v>8.7688471000871231E-5</v>
      </c>
      <c r="P96">
        <f t="shared" si="62"/>
        <v>8.1154749464936498E-23</v>
      </c>
      <c r="Q96">
        <f t="shared" si="62"/>
        <v>4.1243721045750262E-2</v>
      </c>
      <c r="R96">
        <f t="shared" si="62"/>
        <v>7.9740251659888401E-4</v>
      </c>
      <c r="S96">
        <f t="shared" si="62"/>
        <v>4.9454120758277598E-20</v>
      </c>
      <c r="T96">
        <f t="shared" si="62"/>
        <v>7.7846204715078602E-5</v>
      </c>
      <c r="U96">
        <f t="shared" si="62"/>
        <v>2.94082363397296E-3</v>
      </c>
      <c r="V96">
        <f t="shared" si="62"/>
        <v>3.3540807671867665E-2</v>
      </c>
      <c r="W96">
        <f t="shared" si="62"/>
        <v>1.63131923146749E-17</v>
      </c>
      <c r="X96">
        <f t="shared" si="62"/>
        <v>4.3282018242143298E-19</v>
      </c>
      <c r="Y96">
        <f t="shared" si="62"/>
        <v>2.0961080448768401E-4</v>
      </c>
      <c r="Z96">
        <f t="shared" si="62"/>
        <v>2.9972459814883948E-2</v>
      </c>
      <c r="AA96">
        <f t="shared" si="62"/>
        <v>1.44797760949513E-3</v>
      </c>
      <c r="AB96">
        <f t="shared" si="62"/>
        <v>1.61549255798959E-15</v>
      </c>
      <c r="AC96">
        <f t="shared" si="62"/>
        <v>1.1090436396881701E-15</v>
      </c>
      <c r="AD96">
        <f t="shared" si="62"/>
        <v>1.9452524184119399E-4</v>
      </c>
      <c r="AE96">
        <f t="shared" si="62"/>
        <v>2.9582865180567526E-2</v>
      </c>
      <c r="AF96">
        <f t="shared" si="62"/>
        <v>5.1982099576249085E-4</v>
      </c>
      <c r="AG96">
        <f t="shared" si="62"/>
        <v>6.6700119975318329E-13</v>
      </c>
      <c r="AH96">
        <f t="shared" si="62"/>
        <v>3.6401436079514898E-4</v>
      </c>
      <c r="AI96">
        <f t="shared" si="62"/>
        <v>3.55320707761801E-12</v>
      </c>
      <c r="AJ96">
        <f t="shared" si="62"/>
        <v>2.8933820163736929E-2</v>
      </c>
      <c r="AK96">
        <f t="shared" si="62"/>
        <v>3.3128812319603205E-4</v>
      </c>
      <c r="AL96">
        <f t="shared" si="62"/>
        <v>2.8449274953858978E-11</v>
      </c>
      <c r="AM96">
        <f t="shared" si="62"/>
        <v>8.4212847972979201E-5</v>
      </c>
      <c r="AN96">
        <f t="shared" ref="AN96:BW96" si="63">SUM(AN2:AN93)</f>
        <v>6.2978783674192802E-9</v>
      </c>
      <c r="AO96">
        <f t="shared" si="63"/>
        <v>2.8853410545116684E-2</v>
      </c>
      <c r="AP96">
        <f t="shared" si="63"/>
        <v>3.8749231207488604E-5</v>
      </c>
      <c r="AQ96">
        <f t="shared" si="63"/>
        <v>2.8168944490474935E-8</v>
      </c>
      <c r="AR96">
        <f t="shared" si="63"/>
        <v>1.2093808049619699E-5</v>
      </c>
      <c r="AS96">
        <f t="shared" si="63"/>
        <v>3.2000962591801201E-7</v>
      </c>
      <c r="AT96">
        <f t="shared" si="63"/>
        <v>2.8806019105484783E-2</v>
      </c>
      <c r="AU96">
        <f t="shared" si="63"/>
        <v>6.6045750165336401E-7</v>
      </c>
      <c r="AV96">
        <f t="shared" si="63"/>
        <v>1.65554693590926E-7</v>
      </c>
      <c r="AW96">
        <f t="shared" si="63"/>
        <v>2.7525267832290686E-7</v>
      </c>
      <c r="AX96">
        <f t="shared" si="63"/>
        <v>1.0590442559488057E-6</v>
      </c>
      <c r="AY96">
        <f t="shared" si="63"/>
        <v>2.8794735851316984E-2</v>
      </c>
      <c r="AZ96">
        <f t="shared" si="63"/>
        <v>1.3152635407435234E-7</v>
      </c>
      <c r="BA96">
        <f t="shared" si="63"/>
        <v>5.4930049786511697E-7</v>
      </c>
      <c r="BB96">
        <f t="shared" si="63"/>
        <v>9.8777101473426203E-8</v>
      </c>
      <c r="BC96">
        <f t="shared" si="63"/>
        <v>1.5554226230979695E-6</v>
      </c>
      <c r="BD96">
        <f t="shared" si="63"/>
        <v>1.8080612828803075E-7</v>
      </c>
      <c r="BE96">
        <f t="shared" si="63"/>
        <v>2.8749988232886357E-2</v>
      </c>
      <c r="BF96">
        <f t="shared" si="63"/>
        <v>1.4054765706094218E-6</v>
      </c>
      <c r="BG96">
        <f t="shared" si="63"/>
        <v>2.8463972914584565E-2</v>
      </c>
      <c r="BH96">
        <f t="shared" si="63"/>
        <v>7.55552403588452E-6</v>
      </c>
      <c r="BI96">
        <f t="shared" si="63"/>
        <v>2.5133702061051841E-2</v>
      </c>
      <c r="BJ96">
        <f t="shared" si="63"/>
        <v>4.0528804653740105E-5</v>
      </c>
      <c r="BK96">
        <f t="shared" si="63"/>
        <v>1.9881941817091731E-2</v>
      </c>
      <c r="BL96">
        <f t="shared" si="63"/>
        <v>2.0631011633141722E-5</v>
      </c>
      <c r="BM96">
        <f t="shared" si="63"/>
        <v>1.6682203521511473E-2</v>
      </c>
      <c r="BN96">
        <f t="shared" si="63"/>
        <v>1.1862925569831919E-2</v>
      </c>
      <c r="BO96">
        <f t="shared" si="63"/>
        <v>9.0743180107670258E-3</v>
      </c>
      <c r="BP96">
        <f t="shared" si="63"/>
        <v>6.7305525851894732E-3</v>
      </c>
      <c r="BQ96">
        <f t="shared" si="63"/>
        <v>4.7176402961359529E-3</v>
      </c>
      <c r="BR96">
        <f t="shared" si="63"/>
        <v>2.9962165630922554E-3</v>
      </c>
      <c r="BS96">
        <f t="shared" si="63"/>
        <v>1.596191748969423E-3</v>
      </c>
      <c r="BT96">
        <f t="shared" si="63"/>
        <v>4.8615068201471898E-4</v>
      </c>
      <c r="BU96">
        <f t="shared" si="63"/>
        <v>0</v>
      </c>
      <c r="BV96">
        <f t="shared" si="63"/>
        <v>0</v>
      </c>
      <c r="BW96">
        <f t="shared" si="63"/>
        <v>0</v>
      </c>
      <c r="BX96">
        <f t="shared" ref="BX96:CU96" si="64">SUM(BX2:BX93)</f>
        <v>0</v>
      </c>
      <c r="BY96">
        <f t="shared" si="64"/>
        <v>0</v>
      </c>
      <c r="BZ96">
        <f t="shared" si="64"/>
        <v>0</v>
      </c>
      <c r="CA96">
        <f t="shared" si="64"/>
        <v>0</v>
      </c>
      <c r="CB96">
        <f t="shared" si="64"/>
        <v>0</v>
      </c>
      <c r="CC96">
        <f t="shared" si="64"/>
        <v>0</v>
      </c>
      <c r="CD96">
        <f t="shared" si="64"/>
        <v>0</v>
      </c>
      <c r="CE96">
        <f t="shared" si="64"/>
        <v>0</v>
      </c>
      <c r="CF96">
        <f t="shared" si="64"/>
        <v>0</v>
      </c>
      <c r="CG96">
        <f t="shared" si="64"/>
        <v>0</v>
      </c>
      <c r="CH96">
        <f t="shared" si="64"/>
        <v>0</v>
      </c>
      <c r="CI96">
        <f t="shared" si="64"/>
        <v>0</v>
      </c>
      <c r="CJ96">
        <f t="shared" si="64"/>
        <v>0</v>
      </c>
      <c r="CK96">
        <f t="shared" si="64"/>
        <v>0</v>
      </c>
      <c r="CL96">
        <f t="shared" si="64"/>
        <v>0</v>
      </c>
      <c r="CM96">
        <f t="shared" si="64"/>
        <v>0</v>
      </c>
      <c r="CN96">
        <f t="shared" si="64"/>
        <v>0</v>
      </c>
      <c r="CO96">
        <f t="shared" si="64"/>
        <v>0</v>
      </c>
      <c r="CP96">
        <f t="shared" si="64"/>
        <v>0</v>
      </c>
      <c r="CQ96">
        <f t="shared" si="64"/>
        <v>0</v>
      </c>
      <c r="CR96">
        <f t="shared" si="64"/>
        <v>0</v>
      </c>
      <c r="CS96">
        <f t="shared" si="64"/>
        <v>0</v>
      </c>
      <c r="CT96">
        <f t="shared" si="64"/>
        <v>0</v>
      </c>
      <c r="CU96">
        <f t="shared" si="64"/>
        <v>0</v>
      </c>
      <c r="CW96" t="s">
        <v>91</v>
      </c>
      <c r="CY96">
        <f>+SUM(CY2:CY93)</f>
        <v>0.21422285439431871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C9C9-DF88-0449-A30B-C123CD77EA2C}">
  <dimension ref="A1:CY98"/>
  <sheetViews>
    <sheetView topLeftCell="BA1" zoomScale="75" zoomScaleNormal="75" workbookViewId="0">
      <pane ySplit="1" topLeftCell="A9" activePane="bottomLeft" state="frozen"/>
      <selection pane="bottomLeft" activeCell="C42" sqref="C42"/>
    </sheetView>
  </sheetViews>
  <sheetFormatPr defaultColWidth="11" defaultRowHeight="15.75" x14ac:dyDescent="0.25"/>
  <sheetData>
    <row r="1" spans="1:103" x14ac:dyDescent="0.25">
      <c r="B1" s="1" t="s">
        <v>89</v>
      </c>
      <c r="C1" t="s">
        <v>88</v>
      </c>
      <c r="E1" t="s">
        <v>90</v>
      </c>
      <c r="F1" t="s">
        <v>0</v>
      </c>
      <c r="H1" s="2" t="s">
        <v>1</v>
      </c>
      <c r="I1" s="3" t="s">
        <v>2</v>
      </c>
      <c r="J1" s="3" t="s">
        <v>4</v>
      </c>
      <c r="K1" s="2" t="s">
        <v>5</v>
      </c>
      <c r="L1" s="2" t="s">
        <v>6</v>
      </c>
      <c r="M1" s="3" t="s">
        <v>7</v>
      </c>
      <c r="N1" s="2" t="s">
        <v>8</v>
      </c>
      <c r="O1" s="3" t="s">
        <v>9</v>
      </c>
      <c r="P1" s="3" t="s">
        <v>10</v>
      </c>
      <c r="Q1" s="2" t="s">
        <v>11</v>
      </c>
      <c r="R1" s="2" t="s">
        <v>96</v>
      </c>
      <c r="S1" s="2" t="s">
        <v>12</v>
      </c>
      <c r="T1" s="2" t="s">
        <v>98</v>
      </c>
      <c r="U1" s="2" t="s">
        <v>13</v>
      </c>
      <c r="V1" s="3" t="s">
        <v>14</v>
      </c>
      <c r="W1" s="3" t="s">
        <v>15</v>
      </c>
      <c r="X1" s="3" t="s">
        <v>99</v>
      </c>
      <c r="Y1" s="3" t="s">
        <v>100</v>
      </c>
      <c r="Z1" s="3" t="s">
        <v>16</v>
      </c>
      <c r="AA1" s="2" t="s">
        <v>17</v>
      </c>
      <c r="AB1" s="3" t="s">
        <v>18</v>
      </c>
      <c r="AC1" s="2" t="s">
        <v>19</v>
      </c>
      <c r="AD1" s="2" t="s">
        <v>101</v>
      </c>
      <c r="AE1" s="3" t="s">
        <v>20</v>
      </c>
      <c r="AF1" s="2" t="s">
        <v>21</v>
      </c>
      <c r="AG1" s="2" t="s">
        <v>22</v>
      </c>
      <c r="AH1" s="3" t="s">
        <v>23</v>
      </c>
      <c r="AI1" s="2" t="s">
        <v>24</v>
      </c>
      <c r="AJ1" s="2" t="s">
        <v>25</v>
      </c>
      <c r="AK1" s="3" t="s">
        <v>26</v>
      </c>
      <c r="AL1" s="2" t="s">
        <v>27</v>
      </c>
      <c r="AM1" s="3" t="s">
        <v>28</v>
      </c>
      <c r="AN1" s="2" t="s">
        <v>29</v>
      </c>
      <c r="AO1" s="3" t="s">
        <v>30</v>
      </c>
      <c r="AP1" s="2" t="s">
        <v>31</v>
      </c>
      <c r="AQ1" s="3" t="s">
        <v>32</v>
      </c>
      <c r="AR1" s="2" t="s">
        <v>33</v>
      </c>
      <c r="AS1" s="3" t="s">
        <v>34</v>
      </c>
      <c r="AT1" s="3" t="s">
        <v>35</v>
      </c>
      <c r="AU1" s="2" t="s">
        <v>36</v>
      </c>
      <c r="AV1" s="2" t="s">
        <v>37</v>
      </c>
      <c r="AW1" s="2" t="s">
        <v>102</v>
      </c>
      <c r="AX1" s="2" t="s">
        <v>38</v>
      </c>
      <c r="AY1" s="3" t="s">
        <v>39</v>
      </c>
      <c r="AZ1" s="3" t="s">
        <v>40</v>
      </c>
      <c r="BA1" s="2" t="s">
        <v>41</v>
      </c>
      <c r="BB1" s="2" t="s">
        <v>103</v>
      </c>
      <c r="BC1" s="2" t="s">
        <v>42</v>
      </c>
      <c r="BD1" s="3" t="s">
        <v>43</v>
      </c>
      <c r="BE1" s="2" t="s">
        <v>44</v>
      </c>
      <c r="BF1" s="3" t="s">
        <v>45</v>
      </c>
      <c r="BG1" s="2" t="s">
        <v>46</v>
      </c>
      <c r="BH1" s="3" t="s">
        <v>47</v>
      </c>
      <c r="BI1" s="2" t="s">
        <v>48</v>
      </c>
      <c r="BJ1" s="3" t="s">
        <v>49</v>
      </c>
      <c r="BK1" s="2" t="s">
        <v>50</v>
      </c>
      <c r="BL1" s="3" t="s">
        <v>51</v>
      </c>
      <c r="BM1" s="2" t="s">
        <v>52</v>
      </c>
      <c r="BN1" s="2" t="s">
        <v>53</v>
      </c>
      <c r="BO1" s="3" t="s">
        <v>54</v>
      </c>
      <c r="BP1" s="2" t="s">
        <v>55</v>
      </c>
      <c r="BQ1" s="3" t="s">
        <v>56</v>
      </c>
      <c r="BR1" s="2" t="s">
        <v>57</v>
      </c>
      <c r="BS1" s="3" t="s">
        <v>58</v>
      </c>
      <c r="BT1" s="2" t="s">
        <v>59</v>
      </c>
      <c r="BU1" s="3" t="s">
        <v>60</v>
      </c>
      <c r="BV1" s="2" t="s">
        <v>61</v>
      </c>
      <c r="BW1" s="3" t="s">
        <v>62</v>
      </c>
      <c r="BX1" s="2" t="s">
        <v>63</v>
      </c>
      <c r="BY1" s="3" t="s">
        <v>64</v>
      </c>
      <c r="BZ1" s="2" t="s">
        <v>65</v>
      </c>
      <c r="CA1" s="3" t="s">
        <v>66</v>
      </c>
      <c r="CB1" s="2" t="s">
        <v>67</v>
      </c>
      <c r="CC1" s="3" t="s">
        <v>68</v>
      </c>
      <c r="CD1" s="2" t="s">
        <v>69</v>
      </c>
      <c r="CE1" s="3" t="s">
        <v>70</v>
      </c>
      <c r="CF1" s="2" t="s">
        <v>71</v>
      </c>
      <c r="CG1" s="3" t="s">
        <v>72</v>
      </c>
      <c r="CH1" s="2" t="s">
        <v>73</v>
      </c>
      <c r="CI1" s="3" t="s">
        <v>74</v>
      </c>
      <c r="CJ1" s="2" t="s">
        <v>75</v>
      </c>
      <c r="CK1" s="3" t="s">
        <v>76</v>
      </c>
      <c r="CL1" s="2" t="s">
        <v>77</v>
      </c>
      <c r="CM1" s="3" t="s">
        <v>78</v>
      </c>
      <c r="CN1" s="2" t="s">
        <v>79</v>
      </c>
      <c r="CO1" s="3" t="s">
        <v>80</v>
      </c>
      <c r="CP1" s="2" t="s">
        <v>81</v>
      </c>
      <c r="CQ1" s="2" t="s">
        <v>82</v>
      </c>
      <c r="CR1" s="2" t="s">
        <v>83</v>
      </c>
      <c r="CS1" s="3" t="s">
        <v>84</v>
      </c>
      <c r="CT1" s="2" t="s">
        <v>85</v>
      </c>
      <c r="CU1" s="3" t="s">
        <v>86</v>
      </c>
      <c r="CV1" s="4" t="s">
        <v>92</v>
      </c>
    </row>
    <row r="2" spans="1:103" x14ac:dyDescent="0.25">
      <c r="A2" t="s">
        <v>87</v>
      </c>
      <c r="B2">
        <f>Primary!CV2</f>
        <v>7.1114470114353595E-4</v>
      </c>
      <c r="C2">
        <v>0</v>
      </c>
      <c r="E2">
        <f t="shared" ref="E2:E22" si="0">B2</f>
        <v>7.1114470114353595E-4</v>
      </c>
      <c r="F2" s="1">
        <v>1</v>
      </c>
      <c r="G2" s="2" t="s">
        <v>1</v>
      </c>
      <c r="H2" s="5">
        <f>(1-$C2)*$B2</f>
        <v>7.1114470114353595E-4</v>
      </c>
      <c r="CV2" cm="1">
        <f t="array" ref="CV2:CV93">TRANSPOSE(H96:CU96)</f>
        <v>7.1114470114353595E-4</v>
      </c>
      <c r="CW2" s="2" t="s">
        <v>1</v>
      </c>
      <c r="CY2">
        <v>0</v>
      </c>
    </row>
    <row r="3" spans="1:103" x14ac:dyDescent="0.25">
      <c r="A3">
        <v>0.4</v>
      </c>
      <c r="B3">
        <f>Primary!CV3</f>
        <v>1.15915726277396E-3</v>
      </c>
      <c r="C3">
        <v>0</v>
      </c>
      <c r="E3">
        <f t="shared" si="0"/>
        <v>1.15915726277396E-3</v>
      </c>
      <c r="F3" s="1">
        <v>1</v>
      </c>
      <c r="G3" s="3" t="s">
        <v>2</v>
      </c>
      <c r="I3">
        <f>(1-$C3)*$B3</f>
        <v>1.15915726277396E-3</v>
      </c>
      <c r="CV3">
        <v>1.15915726277396E-3</v>
      </c>
      <c r="CW3" s="3" t="s">
        <v>2</v>
      </c>
      <c r="CY3">
        <v>0</v>
      </c>
    </row>
    <row r="4" spans="1:103" x14ac:dyDescent="0.25">
      <c r="B4">
        <f>Primary!CV4</f>
        <v>2.5701200645325E-3</v>
      </c>
      <c r="C4">
        <v>0</v>
      </c>
      <c r="E4">
        <f t="shared" si="0"/>
        <v>2.5701200645325E-3</v>
      </c>
      <c r="F4" s="1">
        <v>2</v>
      </c>
      <c r="G4" s="3" t="s">
        <v>4</v>
      </c>
      <c r="J4">
        <f>(1-$C4)*$B4</f>
        <v>2.5701200645325E-3</v>
      </c>
      <c r="CV4">
        <v>2.5701200645325E-3</v>
      </c>
      <c r="CW4" s="3" t="s">
        <v>4</v>
      </c>
      <c r="CY4">
        <v>0</v>
      </c>
    </row>
    <row r="5" spans="1:103" x14ac:dyDescent="0.25">
      <c r="B5">
        <f>Primary!CV5</f>
        <v>0</v>
      </c>
      <c r="C5">
        <f>C504</f>
        <v>0</v>
      </c>
      <c r="E5">
        <f t="shared" si="0"/>
        <v>0</v>
      </c>
      <c r="F5" s="1">
        <v>2</v>
      </c>
      <c r="G5" s="2" t="s">
        <v>5</v>
      </c>
      <c r="K5">
        <f>(1-$C5)*$B5</f>
        <v>0</v>
      </c>
      <c r="CV5">
        <v>0</v>
      </c>
      <c r="CW5" s="2" t="s">
        <v>5</v>
      </c>
      <c r="CY5">
        <v>0</v>
      </c>
    </row>
    <row r="6" spans="1:103" x14ac:dyDescent="0.25">
      <c r="B6">
        <f>Primary!CV6</f>
        <v>3.8202128189215881E-2</v>
      </c>
      <c r="C6">
        <v>0</v>
      </c>
      <c r="E6">
        <f t="shared" si="0"/>
        <v>3.8202128189215881E-2</v>
      </c>
      <c r="F6" s="1">
        <v>3</v>
      </c>
      <c r="G6" s="2" t="s">
        <v>6</v>
      </c>
      <c r="L6">
        <f>(1-$C6)*$B6</f>
        <v>3.8202128189215881E-2</v>
      </c>
      <c r="CV6">
        <v>4.6010387801789364E-2</v>
      </c>
      <c r="CW6" s="2" t="s">
        <v>6</v>
      </c>
      <c r="CY6">
        <v>0</v>
      </c>
    </row>
    <row r="7" spans="1:103" x14ac:dyDescent="0.25">
      <c r="B7">
        <f>Primary!CV7</f>
        <v>1.1449167841188555E-8</v>
      </c>
      <c r="C7">
        <v>0</v>
      </c>
      <c r="E7">
        <f t="shared" si="0"/>
        <v>1.1449167841188555E-8</v>
      </c>
      <c r="F7" s="1">
        <v>3</v>
      </c>
      <c r="G7" s="3" t="s">
        <v>7</v>
      </c>
      <c r="M7">
        <f>(1-$C7)*$B7</f>
        <v>1.1449167841188555E-8</v>
      </c>
      <c r="CV7">
        <v>1.6611306944078475E-8</v>
      </c>
      <c r="CW7" s="3" t="s">
        <v>7</v>
      </c>
      <c r="CY7">
        <v>0</v>
      </c>
    </row>
    <row r="8" spans="1:103" x14ac:dyDescent="0.25">
      <c r="B8">
        <f>Primary!CV8</f>
        <v>5.2157349925587217E-2</v>
      </c>
      <c r="C8">
        <v>0</v>
      </c>
      <c r="E8">
        <f t="shared" si="0"/>
        <v>5.2157349925587217E-2</v>
      </c>
      <c r="F8" s="1">
        <v>4</v>
      </c>
      <c r="G8" s="2" t="s">
        <v>8</v>
      </c>
      <c r="N8">
        <f>(1-$C8)*$B8</f>
        <v>5.2157349925587217E-2</v>
      </c>
      <c r="CV8">
        <v>6.7760037757795585E-2</v>
      </c>
      <c r="CW8" s="2" t="s">
        <v>8</v>
      </c>
      <c r="CY8">
        <v>0</v>
      </c>
    </row>
    <row r="9" spans="1:103" x14ac:dyDescent="0.25">
      <c r="B9">
        <f>Primary!CV9</f>
        <v>8.7688471000871231E-5</v>
      </c>
      <c r="C9">
        <v>0</v>
      </c>
      <c r="E9">
        <f t="shared" si="0"/>
        <v>8.7688471000871231E-5</v>
      </c>
      <c r="F9" s="1">
        <v>4</v>
      </c>
      <c r="G9" s="3" t="s">
        <v>9</v>
      </c>
      <c r="O9">
        <f>(1-$C9)*$B9</f>
        <v>8.7688471000871231E-5</v>
      </c>
      <c r="CV9">
        <v>1.0153018821769684E-4</v>
      </c>
      <c r="CW9" s="3" t="s">
        <v>9</v>
      </c>
      <c r="CY9">
        <v>0</v>
      </c>
    </row>
    <row r="10" spans="1:103" x14ac:dyDescent="0.25">
      <c r="B10">
        <f>Primary!CV10</f>
        <v>8.1154749464936498E-23</v>
      </c>
      <c r="C10">
        <v>0</v>
      </c>
      <c r="E10">
        <f t="shared" si="0"/>
        <v>8.1154749464936498E-23</v>
      </c>
      <c r="F10" s="1">
        <v>4</v>
      </c>
      <c r="G10" s="3" t="s">
        <v>10</v>
      </c>
      <c r="P10">
        <f>(1-$C10)*$B10</f>
        <v>8.1154749464936498E-23</v>
      </c>
      <c r="CV10">
        <v>8.1154749464936498E-23</v>
      </c>
      <c r="CW10" s="3" t="s">
        <v>10</v>
      </c>
      <c r="CY10">
        <v>0</v>
      </c>
    </row>
    <row r="11" spans="1:103" x14ac:dyDescent="0.25">
      <c r="B11">
        <f>Primary!CV11</f>
        <v>4.1243721045750262E-2</v>
      </c>
      <c r="C11">
        <v>0</v>
      </c>
      <c r="E11">
        <f t="shared" si="0"/>
        <v>4.1243721045750262E-2</v>
      </c>
      <c r="F11" s="1">
        <v>5</v>
      </c>
      <c r="G11" s="2" t="s">
        <v>11</v>
      </c>
      <c r="Q11">
        <f>(1-$C11)*$B11</f>
        <v>4.1243721045750262E-2</v>
      </c>
      <c r="CV11">
        <v>5.6768236395870496E-2</v>
      </c>
      <c r="CW11" s="2" t="s">
        <v>11</v>
      </c>
      <c r="CY11">
        <v>0</v>
      </c>
    </row>
    <row r="12" spans="1:103" x14ac:dyDescent="0.25">
      <c r="B12">
        <f>Primary!CV12</f>
        <v>7.9740251659888401E-4</v>
      </c>
      <c r="C12">
        <v>0</v>
      </c>
      <c r="E12">
        <f t="shared" ref="E12" si="1">B12</f>
        <v>7.9740251659888401E-4</v>
      </c>
      <c r="F12" s="1">
        <v>5</v>
      </c>
      <c r="G12" s="2" t="s">
        <v>96</v>
      </c>
      <c r="R12">
        <f>(1-$C12)*$B12</f>
        <v>7.9740251659888401E-4</v>
      </c>
      <c r="CV12">
        <v>7.9740251659888401E-4</v>
      </c>
      <c r="CW12" s="2"/>
      <c r="CY12">
        <v>0</v>
      </c>
    </row>
    <row r="13" spans="1:103" x14ac:dyDescent="0.25">
      <c r="B13">
        <f>Primary!CV13</f>
        <v>4.9454120758277598E-20</v>
      </c>
      <c r="C13">
        <v>0</v>
      </c>
      <c r="E13">
        <f t="shared" si="0"/>
        <v>4.9454120758277598E-20</v>
      </c>
      <c r="F13" s="1">
        <v>5</v>
      </c>
      <c r="G13" s="2" t="s">
        <v>12</v>
      </c>
      <c r="S13">
        <f>(1-$C13)*$B13</f>
        <v>4.9454120758277598E-20</v>
      </c>
      <c r="CV13">
        <v>4.9454120758277598E-20</v>
      </c>
      <c r="CW13" s="2" t="s">
        <v>12</v>
      </c>
      <c r="CY13">
        <v>0</v>
      </c>
    </row>
    <row r="14" spans="1:103" x14ac:dyDescent="0.25">
      <c r="B14">
        <f>Primary!CV14</f>
        <v>7.7846204715078602E-5</v>
      </c>
      <c r="C14">
        <v>0</v>
      </c>
      <c r="E14">
        <f t="shared" ref="E14" si="2">B14</f>
        <v>7.7846204715078602E-5</v>
      </c>
      <c r="F14" s="1">
        <v>5</v>
      </c>
      <c r="G14" s="2" t="s">
        <v>98</v>
      </c>
      <c r="T14">
        <f>(1-$C14)*$B14</f>
        <v>7.7846204715078602E-5</v>
      </c>
      <c r="CV14">
        <v>7.7846204715078602E-5</v>
      </c>
      <c r="CW14" s="2"/>
      <c r="CY14">
        <v>0</v>
      </c>
    </row>
    <row r="15" spans="1:103" x14ac:dyDescent="0.25">
      <c r="B15">
        <f>Primary!CV15</f>
        <v>2.94082363397296E-3</v>
      </c>
      <c r="C15">
        <v>0</v>
      </c>
      <c r="E15">
        <f t="shared" si="0"/>
        <v>2.94082363397296E-3</v>
      </c>
      <c r="F15" s="1">
        <v>6</v>
      </c>
      <c r="G15" s="2" t="s">
        <v>13</v>
      </c>
      <c r="U15">
        <f>(1-$C15)*$B15</f>
        <v>2.94082363397296E-3</v>
      </c>
      <c r="CV15">
        <v>2.94082363397296E-3</v>
      </c>
      <c r="CW15" s="2" t="s">
        <v>13</v>
      </c>
      <c r="CY15">
        <v>0</v>
      </c>
    </row>
    <row r="16" spans="1:103" x14ac:dyDescent="0.25">
      <c r="B16">
        <f>Primary!CV16</f>
        <v>3.3540807671867665E-2</v>
      </c>
      <c r="C16">
        <v>0</v>
      </c>
      <c r="E16">
        <f t="shared" si="0"/>
        <v>3.3540807671867665E-2</v>
      </c>
      <c r="F16" s="1">
        <v>6</v>
      </c>
      <c r="G16" s="3" t="s">
        <v>14</v>
      </c>
      <c r="V16">
        <f>(1-$C16)*$B16</f>
        <v>3.3540807671867665E-2</v>
      </c>
      <c r="CV16">
        <v>4.8824706374951239E-2</v>
      </c>
      <c r="CW16" s="3" t="s">
        <v>14</v>
      </c>
      <c r="CY16">
        <v>0</v>
      </c>
    </row>
    <row r="17" spans="2:103" ht="17.100000000000001" customHeight="1" x14ac:dyDescent="0.25">
      <c r="B17">
        <f>Primary!CV17</f>
        <v>1.63131923146749E-17</v>
      </c>
      <c r="C17">
        <v>0</v>
      </c>
      <c r="E17">
        <f t="shared" si="0"/>
        <v>1.63131923146749E-17</v>
      </c>
      <c r="F17" s="1">
        <v>6</v>
      </c>
      <c r="G17" s="3" t="s">
        <v>15</v>
      </c>
      <c r="W17">
        <f>(1-$C17)*$B17</f>
        <v>1.63131923146749E-17</v>
      </c>
      <c r="CV17">
        <v>1.63131923146749E-17</v>
      </c>
      <c r="CW17" s="3" t="s">
        <v>15</v>
      </c>
      <c r="CY17">
        <f t="shared" ref="CY17:CY18" si="3">SUM(L17:S17)/2</f>
        <v>0</v>
      </c>
    </row>
    <row r="18" spans="2:103" ht="17.100000000000001" customHeight="1" x14ac:dyDescent="0.25">
      <c r="B18">
        <f>Primary!CV18</f>
        <v>4.3282018242143298E-19</v>
      </c>
      <c r="C18">
        <v>0</v>
      </c>
      <c r="E18">
        <f t="shared" ref="E18" si="4">B18</f>
        <v>4.3282018242143298E-19</v>
      </c>
      <c r="F18" s="1">
        <v>6</v>
      </c>
      <c r="G18" s="3" t="s">
        <v>99</v>
      </c>
      <c r="X18">
        <f>(1-$C18)*$B18</f>
        <v>4.3282018242143298E-19</v>
      </c>
      <c r="CV18">
        <v>4.3282018242143298E-19</v>
      </c>
      <c r="CW18" s="3"/>
      <c r="CY18">
        <f t="shared" si="3"/>
        <v>0</v>
      </c>
    </row>
    <row r="19" spans="2:103" ht="17.100000000000001" customHeight="1" x14ac:dyDescent="0.25">
      <c r="B19">
        <f>Primary!CV19</f>
        <v>2.0961080448768401E-4</v>
      </c>
      <c r="C19">
        <v>0</v>
      </c>
      <c r="E19">
        <f t="shared" ref="E19" si="5">B19</f>
        <v>2.0961080448768401E-4</v>
      </c>
      <c r="F19" s="1">
        <v>6</v>
      </c>
      <c r="G19" s="3" t="s">
        <v>100</v>
      </c>
      <c r="Y19">
        <f>(1-$C19)*$B19</f>
        <v>2.0961080448768401E-4</v>
      </c>
      <c r="CV19">
        <v>2.0961080448768401E-4</v>
      </c>
      <c r="CW19" s="3"/>
      <c r="CY19">
        <f>SUM(L19:S19)/2</f>
        <v>0</v>
      </c>
    </row>
    <row r="20" spans="2:103" x14ac:dyDescent="0.25">
      <c r="B20">
        <f>Primary!CV20</f>
        <v>2.9972459814883948E-2</v>
      </c>
      <c r="C20">
        <f t="shared" ref="C20:C59" si="6">(EXP($A$3*(F20-7))-1)/(EXP($A$3*(18-7))-1)</f>
        <v>0</v>
      </c>
      <c r="D20">
        <f>1/(F20-6)*C20</f>
        <v>0</v>
      </c>
      <c r="E20">
        <f t="shared" si="0"/>
        <v>2.9972459814883948E-2</v>
      </c>
      <c r="F20" s="1">
        <v>7</v>
      </c>
      <c r="G20" s="3" t="s">
        <v>16</v>
      </c>
      <c r="Z20">
        <f>(1-$C20)*$B20</f>
        <v>2.9972459814883948E-2</v>
      </c>
      <c r="CV20">
        <v>4.4899451128042292E-2</v>
      </c>
      <c r="CW20" s="3" t="s">
        <v>16</v>
      </c>
      <c r="CY20">
        <f>SUM(L20:S20)/2</f>
        <v>0</v>
      </c>
    </row>
    <row r="21" spans="2:103" x14ac:dyDescent="0.25">
      <c r="B21">
        <f>Primary!CV21</f>
        <v>1.44797760949513E-3</v>
      </c>
      <c r="C21">
        <f t="shared" si="6"/>
        <v>0</v>
      </c>
      <c r="D21">
        <f t="shared" ref="D21:D85" si="7">1/(F21-6)*C21</f>
        <v>0</v>
      </c>
      <c r="E21">
        <f t="shared" si="0"/>
        <v>1.44797760949513E-3</v>
      </c>
      <c r="F21" s="1">
        <v>7</v>
      </c>
      <c r="G21" s="2" t="s">
        <v>17</v>
      </c>
      <c r="AA21">
        <f>(1-$C21)*$B21</f>
        <v>1.44797760949513E-3</v>
      </c>
      <c r="CV21">
        <v>1.44797760949513E-3</v>
      </c>
      <c r="CW21" s="2" t="s">
        <v>17</v>
      </c>
      <c r="CY21">
        <f t="shared" ref="CY21:CY24" si="8">SUM(L21:S21)/2</f>
        <v>0</v>
      </c>
    </row>
    <row r="22" spans="2:103" x14ac:dyDescent="0.25">
      <c r="B22">
        <f>Primary!CV22</f>
        <v>1.61549255798959E-15</v>
      </c>
      <c r="C22">
        <f t="shared" si="6"/>
        <v>0</v>
      </c>
      <c r="D22">
        <f t="shared" si="7"/>
        <v>0</v>
      </c>
      <c r="E22">
        <f t="shared" si="0"/>
        <v>1.61549255798959E-15</v>
      </c>
      <c r="F22" s="1">
        <v>7</v>
      </c>
      <c r="G22" s="3" t="s">
        <v>18</v>
      </c>
      <c r="AB22">
        <f>(1-$C22)*$B22</f>
        <v>1.61549255798959E-15</v>
      </c>
      <c r="CV22">
        <v>1.61549255798959E-15</v>
      </c>
      <c r="CW22" s="3" t="s">
        <v>18</v>
      </c>
      <c r="CY22">
        <f t="shared" si="8"/>
        <v>0</v>
      </c>
    </row>
    <row r="23" spans="2:103" x14ac:dyDescent="0.25">
      <c r="B23">
        <f>Primary!CV23</f>
        <v>1.1090436396881701E-15</v>
      </c>
      <c r="C23">
        <v>0</v>
      </c>
      <c r="D23">
        <f t="shared" si="7"/>
        <v>0</v>
      </c>
      <c r="E23">
        <f>B23</f>
        <v>1.1090436396881701E-15</v>
      </c>
      <c r="F23" s="1">
        <v>7</v>
      </c>
      <c r="G23" s="2" t="s">
        <v>19</v>
      </c>
      <c r="AC23">
        <f>(1-$C23)*$B23</f>
        <v>1.1090436396881701E-15</v>
      </c>
      <c r="CV23">
        <v>1.1090436396881701E-15</v>
      </c>
      <c r="CW23" s="2" t="s">
        <v>19</v>
      </c>
      <c r="CY23">
        <f t="shared" si="8"/>
        <v>0</v>
      </c>
    </row>
    <row r="24" spans="2:103" x14ac:dyDescent="0.25">
      <c r="B24">
        <f>Primary!CV24</f>
        <v>1.9452524184119399E-4</v>
      </c>
      <c r="C24">
        <v>0</v>
      </c>
      <c r="D24">
        <f t="shared" ref="D24" si="9">1/(F24-6)*C24</f>
        <v>0</v>
      </c>
      <c r="E24">
        <f>B24</f>
        <v>1.9452524184119399E-4</v>
      </c>
      <c r="F24" s="1">
        <v>7</v>
      </c>
      <c r="G24" s="2" t="s">
        <v>101</v>
      </c>
      <c r="AD24">
        <f>(1-$C24)*$B24</f>
        <v>1.9452524184119399E-4</v>
      </c>
      <c r="CV24">
        <v>1.9452524184119399E-4</v>
      </c>
      <c r="CW24" s="2"/>
      <c r="CY24">
        <f t="shared" si="8"/>
        <v>0</v>
      </c>
    </row>
    <row r="25" spans="2:103" x14ac:dyDescent="0.25">
      <c r="B25">
        <f>Primary!CV25</f>
        <v>2.9582865180567526E-2</v>
      </c>
      <c r="C25">
        <f t="shared" si="6"/>
        <v>6.1133547195051296E-3</v>
      </c>
      <c r="D25">
        <f t="shared" si="7"/>
        <v>3.0566773597525648E-3</v>
      </c>
      <c r="E25">
        <f>1/(F25-6)*C25*B25</f>
        <v>9.0425274234053234E-5</v>
      </c>
      <c r="F25" s="1">
        <v>8</v>
      </c>
      <c r="G25" s="3" t="s">
        <v>20</v>
      </c>
      <c r="L25" s="5">
        <f>+E25</f>
        <v>9.0425274234053234E-5</v>
      </c>
      <c r="N25">
        <f>+E25*2</f>
        <v>1.8085054846810647E-4</v>
      </c>
      <c r="Q25" s="5">
        <f>+E25</f>
        <v>9.0425274234053234E-5</v>
      </c>
      <c r="AE25">
        <f>(1-$C25)*$B25</f>
        <v>2.9402014632099419E-2</v>
      </c>
      <c r="CV25">
        <v>4.3837612106098156E-2</v>
      </c>
      <c r="CW25" s="3" t="s">
        <v>20</v>
      </c>
      <c r="CY25">
        <f>SUM(L25:S25)/2</f>
        <v>1.8085054846810647E-4</v>
      </c>
    </row>
    <row r="26" spans="2:103" x14ac:dyDescent="0.25">
      <c r="B26">
        <f>Primary!CV26</f>
        <v>5.1982099576249085E-4</v>
      </c>
      <c r="C26">
        <f t="shared" si="6"/>
        <v>6.1133547195051296E-3</v>
      </c>
      <c r="D26">
        <f t="shared" si="7"/>
        <v>3.0566773597525648E-3</v>
      </c>
      <c r="E26">
        <f t="shared" ref="E26:E88" si="10">1/(F26-6)*C26*B26</f>
        <v>1.5889250688712397E-6</v>
      </c>
      <c r="F26" s="1">
        <v>8</v>
      </c>
      <c r="G26" s="2" t="s">
        <v>21</v>
      </c>
      <c r="L26">
        <f>+E26</f>
        <v>1.5889250688712397E-6</v>
      </c>
      <c r="O26">
        <f>+E26*2</f>
        <v>3.1778501377424794E-6</v>
      </c>
      <c r="Q26">
        <f>+E26</f>
        <v>1.5889250688712397E-6</v>
      </c>
      <c r="AF26">
        <f>(1-$C26)*$B26</f>
        <v>5.1664314562474838E-4</v>
      </c>
      <c r="CV26">
        <v>5.1664314562474838E-4</v>
      </c>
      <c r="CW26" s="2" t="s">
        <v>21</v>
      </c>
      <c r="CY26">
        <f t="shared" ref="CY26:CY35" si="11">SUM(L26:AA26)/2</f>
        <v>3.1778501377424794E-6</v>
      </c>
    </row>
    <row r="27" spans="2:103" x14ac:dyDescent="0.25">
      <c r="B27">
        <f>Primary!CV27</f>
        <v>6.6700119975318329E-13</v>
      </c>
      <c r="C27">
        <f t="shared" si="6"/>
        <v>6.1133547195051296E-3</v>
      </c>
      <c r="D27">
        <f t="shared" si="7"/>
        <v>3.0566773597525648E-3</v>
      </c>
      <c r="E27">
        <f t="shared" si="10"/>
        <v>2.0388074662133534E-15</v>
      </c>
      <c r="F27" s="1">
        <v>8</v>
      </c>
      <c r="G27" s="2" t="s">
        <v>22</v>
      </c>
      <c r="M27">
        <f>+E27</f>
        <v>2.0388074662133534E-15</v>
      </c>
      <c r="N27">
        <f>+E27*2</f>
        <v>4.0776149324267068E-15</v>
      </c>
      <c r="Q27">
        <f>+E27</f>
        <v>2.0388074662133534E-15</v>
      </c>
      <c r="AG27">
        <f>(1-$C27)*$B27</f>
        <v>6.6292358482075656E-13</v>
      </c>
      <c r="CV27">
        <v>6.6292358482075656E-13</v>
      </c>
      <c r="CW27" s="2" t="s">
        <v>22</v>
      </c>
      <c r="CY27">
        <f t="shared" si="11"/>
        <v>4.0776149324267068E-15</v>
      </c>
    </row>
    <row r="28" spans="2:103" x14ac:dyDescent="0.25">
      <c r="B28">
        <f>Primary!CV28</f>
        <v>3.6401436079514898E-4</v>
      </c>
      <c r="C28">
        <v>0</v>
      </c>
      <c r="D28">
        <f t="shared" si="7"/>
        <v>0</v>
      </c>
      <c r="E28">
        <f t="shared" si="10"/>
        <v>0</v>
      </c>
      <c r="F28" s="1">
        <v>8</v>
      </c>
      <c r="G28" s="3" t="s">
        <v>23</v>
      </c>
      <c r="AH28">
        <f>(1-$C28)*$B28</f>
        <v>3.6401436079514898E-4</v>
      </c>
      <c r="CV28">
        <v>3.6401436079514898E-4</v>
      </c>
      <c r="CW28" s="3" t="s">
        <v>23</v>
      </c>
      <c r="CY28">
        <f t="shared" si="11"/>
        <v>0</v>
      </c>
    </row>
    <row r="29" spans="2:103" x14ac:dyDescent="0.25">
      <c r="B29">
        <f>Primary!CV29</f>
        <v>3.55320707761801E-12</v>
      </c>
      <c r="C29">
        <v>0</v>
      </c>
      <c r="D29">
        <f t="shared" si="7"/>
        <v>0</v>
      </c>
      <c r="E29">
        <f t="shared" si="10"/>
        <v>0</v>
      </c>
      <c r="F29" s="1">
        <v>8</v>
      </c>
      <c r="G29" s="2" t="s">
        <v>24</v>
      </c>
      <c r="AI29">
        <f>(1-$C29)*$B29</f>
        <v>3.55320707761801E-12</v>
      </c>
      <c r="CV29">
        <v>3.55320707761801E-12</v>
      </c>
      <c r="CW29" s="2" t="s">
        <v>24</v>
      </c>
      <c r="CY29">
        <f t="shared" si="11"/>
        <v>0</v>
      </c>
    </row>
    <row r="30" spans="2:103" x14ac:dyDescent="0.25">
      <c r="B30">
        <f>Primary!CV30</f>
        <v>2.8933820163736929E-2</v>
      </c>
      <c r="C30">
        <f t="shared" si="6"/>
        <v>1.5233408275504706E-2</v>
      </c>
      <c r="D30">
        <f t="shared" si="7"/>
        <v>5.0778027585015682E-3</v>
      </c>
      <c r="E30">
        <f t="shared" si="10"/>
        <v>1.4692023184141167E-4</v>
      </c>
      <c r="F30" s="1">
        <v>9</v>
      </c>
      <c r="G30" s="2" t="s">
        <v>25</v>
      </c>
      <c r="L30">
        <f>+E30</f>
        <v>1.4692023184141167E-4</v>
      </c>
      <c r="N30">
        <f>+E30*2</f>
        <v>2.9384046368282333E-4</v>
      </c>
      <c r="Q30">
        <f>+E30*2</f>
        <v>2.9384046368282333E-4</v>
      </c>
      <c r="V30">
        <f>+E30</f>
        <v>1.4692023184141167E-4</v>
      </c>
      <c r="AJ30">
        <f>(1-$C30)*$B30</f>
        <v>2.8493059468212695E-2</v>
      </c>
      <c r="CV30">
        <v>4.2264426957971862E-2</v>
      </c>
      <c r="CW30" s="2" t="s">
        <v>25</v>
      </c>
      <c r="CY30">
        <f t="shared" si="11"/>
        <v>4.40760695524235E-4</v>
      </c>
    </row>
    <row r="31" spans="2:103" x14ac:dyDescent="0.25">
      <c r="B31">
        <f>Primary!CV31</f>
        <v>3.3128812319603205E-4</v>
      </c>
      <c r="C31">
        <f t="shared" si="6"/>
        <v>1.5233408275504706E-2</v>
      </c>
      <c r="D31">
        <f t="shared" si="7"/>
        <v>5.0778027585015682E-3</v>
      </c>
      <c r="E31">
        <f t="shared" si="10"/>
        <v>1.6822157458236188E-6</v>
      </c>
      <c r="F31" s="1">
        <v>9</v>
      </c>
      <c r="G31" s="3" t="s">
        <v>26</v>
      </c>
      <c r="L31">
        <f>+E31</f>
        <v>1.6822157458236188E-6</v>
      </c>
      <c r="O31">
        <f>+E31*2</f>
        <v>3.3644314916472377E-6</v>
      </c>
      <c r="Q31">
        <f>+E31*2</f>
        <v>3.3644314916472377E-6</v>
      </c>
      <c r="V31">
        <f>+E31</f>
        <v>1.6822157458236188E-6</v>
      </c>
      <c r="AK31">
        <f>(1-$C31)*$B31</f>
        <v>3.262414759585612E-4</v>
      </c>
      <c r="CV31">
        <v>3.262414759585612E-4</v>
      </c>
      <c r="CW31" s="3" t="s">
        <v>26</v>
      </c>
      <c r="CY31">
        <f t="shared" si="11"/>
        <v>5.0466472374708574E-6</v>
      </c>
    </row>
    <row r="32" spans="2:103" x14ac:dyDescent="0.25">
      <c r="B32">
        <f>Primary!CV32</f>
        <v>2.8449274953858978E-11</v>
      </c>
      <c r="C32">
        <f t="shared" si="6"/>
        <v>1.5233408275504706E-2</v>
      </c>
      <c r="D32">
        <f t="shared" si="7"/>
        <v>5.0778027585015682E-3</v>
      </c>
      <c r="E32">
        <f t="shared" si="10"/>
        <v>1.4445980683807469E-13</v>
      </c>
      <c r="F32" s="1">
        <v>9</v>
      </c>
      <c r="G32" s="2" t="s">
        <v>27</v>
      </c>
      <c r="M32">
        <f>+E32</f>
        <v>1.4445980683807469E-13</v>
      </c>
      <c r="N32">
        <f>+E32*2</f>
        <v>2.8891961367614938E-13</v>
      </c>
      <c r="Q32">
        <f>+E32*2</f>
        <v>2.8891961367614938E-13</v>
      </c>
      <c r="V32">
        <f>+E32</f>
        <v>1.4445980683807469E-13</v>
      </c>
      <c r="AL32">
        <f>(1-$C32)*$B32</f>
        <v>2.8015895533344755E-11</v>
      </c>
      <c r="CV32">
        <v>2.8015895533344755E-11</v>
      </c>
      <c r="CW32" s="2" t="s">
        <v>27</v>
      </c>
      <c r="CY32">
        <f t="shared" si="11"/>
        <v>4.3337942051422406E-13</v>
      </c>
    </row>
    <row r="33" spans="2:103" x14ac:dyDescent="0.25">
      <c r="B33">
        <f>Primary!CV33</f>
        <v>8.4212847972979201E-5</v>
      </c>
      <c r="C33">
        <v>0</v>
      </c>
      <c r="D33">
        <f t="shared" si="7"/>
        <v>0</v>
      </c>
      <c r="E33">
        <f t="shared" si="10"/>
        <v>0</v>
      </c>
      <c r="F33" s="1">
        <v>9</v>
      </c>
      <c r="G33" s="3" t="s">
        <v>28</v>
      </c>
      <c r="AM33">
        <f>(1-$C33)*$B33</f>
        <v>8.4212847972979201E-5</v>
      </c>
      <c r="CV33">
        <v>8.4212847972979201E-5</v>
      </c>
      <c r="CW33" s="3" t="s">
        <v>28</v>
      </c>
      <c r="CY33">
        <f t="shared" si="11"/>
        <v>0</v>
      </c>
    </row>
    <row r="34" spans="2:103" x14ac:dyDescent="0.25">
      <c r="B34">
        <f>Primary!CV34</f>
        <v>6.2978783674192802E-9</v>
      </c>
      <c r="C34">
        <v>0</v>
      </c>
      <c r="D34">
        <f t="shared" si="7"/>
        <v>0</v>
      </c>
      <c r="E34">
        <f t="shared" si="10"/>
        <v>0</v>
      </c>
      <c r="F34" s="1">
        <v>9</v>
      </c>
      <c r="G34" s="2" t="s">
        <v>29</v>
      </c>
      <c r="AN34">
        <f>(1-$C34)*$B34</f>
        <v>6.2978783674192802E-9</v>
      </c>
      <c r="CV34">
        <v>6.2978783674192802E-9</v>
      </c>
      <c r="CW34" s="2" t="s">
        <v>29</v>
      </c>
      <c r="CY34">
        <f t="shared" si="11"/>
        <v>0</v>
      </c>
    </row>
    <row r="35" spans="2:103" x14ac:dyDescent="0.25">
      <c r="B35">
        <f>Primary!CV35</f>
        <v>2.8853410545116684E-2</v>
      </c>
      <c r="C35">
        <f t="shared" si="6"/>
        <v>2.8838929414155966E-2</v>
      </c>
      <c r="D35">
        <f t="shared" si="7"/>
        <v>7.2097323535389914E-3</v>
      </c>
      <c r="E35">
        <f t="shared" si="10"/>
        <v>2.0802536751707087E-4</v>
      </c>
      <c r="F35" s="1">
        <v>10</v>
      </c>
      <c r="G35" s="3" t="s">
        <v>30</v>
      </c>
      <c r="L35">
        <f>+E35</f>
        <v>2.0802536751707087E-4</v>
      </c>
      <c r="N35">
        <f>+E35*2</f>
        <v>4.1605073503414174E-4</v>
      </c>
      <c r="Q35">
        <f>+E35*2</f>
        <v>4.1605073503414174E-4</v>
      </c>
      <c r="V35">
        <f>+E35*2</f>
        <v>4.1605073503414174E-4</v>
      </c>
      <c r="Z35">
        <f>+E35</f>
        <v>2.0802536751707087E-4</v>
      </c>
      <c r="AO35">
        <f>(1-$C35)*$B35</f>
        <v>2.8021309075048399E-2</v>
      </c>
      <c r="CV35">
        <v>4.0899805931452413E-2</v>
      </c>
      <c r="CW35" s="3" t="s">
        <v>30</v>
      </c>
      <c r="CY35">
        <f t="shared" si="11"/>
        <v>8.3210147006828347E-4</v>
      </c>
    </row>
    <row r="36" spans="2:103" x14ac:dyDescent="0.25">
      <c r="B36">
        <f>Primary!CV36</f>
        <v>3.8749231207488604E-5</v>
      </c>
      <c r="C36">
        <f t="shared" si="6"/>
        <v>2.8838929414155966E-2</v>
      </c>
      <c r="D36">
        <f t="shared" si="7"/>
        <v>7.2097323535389914E-3</v>
      </c>
      <c r="E36">
        <f t="shared" si="10"/>
        <v>2.7937158591139334E-7</v>
      </c>
      <c r="F36" s="1">
        <v>10</v>
      </c>
      <c r="G36" s="2" t="s">
        <v>31</v>
      </c>
      <c r="L36">
        <f>+E36</f>
        <v>2.7937158591139334E-7</v>
      </c>
      <c r="O36">
        <f>+E36*2</f>
        <v>5.5874317182278668E-7</v>
      </c>
      <c r="Q36">
        <f>+E36*2</f>
        <v>5.5874317182278668E-7</v>
      </c>
      <c r="V36">
        <f>+E36*2</f>
        <v>5.5874317182278668E-7</v>
      </c>
      <c r="Z36">
        <f>+E36</f>
        <v>2.7937158591139334E-7</v>
      </c>
      <c r="AP36">
        <f>(1-$C36)*$B36</f>
        <v>3.7631744863843029E-5</v>
      </c>
      <c r="CV36">
        <v>3.7631744863843029E-5</v>
      </c>
      <c r="CW36" s="2" t="s">
        <v>31</v>
      </c>
      <c r="CY36">
        <f>SUM(L36:AA36)/2</f>
        <v>1.1174863436455736E-6</v>
      </c>
    </row>
    <row r="37" spans="2:103" x14ac:dyDescent="0.25">
      <c r="B37">
        <f>Primary!CV37</f>
        <v>2.8168944490474935E-8</v>
      </c>
      <c r="C37">
        <f t="shared" si="6"/>
        <v>2.8838929414155966E-2</v>
      </c>
      <c r="D37">
        <f t="shared" si="7"/>
        <v>7.2097323535389914E-3</v>
      </c>
      <c r="E37">
        <f t="shared" si="10"/>
        <v>2.0309055045802106E-10</v>
      </c>
      <c r="F37" s="1">
        <v>10</v>
      </c>
      <c r="G37" s="3" t="s">
        <v>32</v>
      </c>
      <c r="M37">
        <f>+E37</f>
        <v>2.0309055045802106E-10</v>
      </c>
      <c r="N37">
        <f>+E37*2</f>
        <v>4.0618110091604212E-10</v>
      </c>
      <c r="Q37">
        <f>+E37*2</f>
        <v>4.0618110091604212E-10</v>
      </c>
      <c r="V37">
        <f>+E37*2</f>
        <v>4.0618110091604212E-10</v>
      </c>
      <c r="Z37">
        <f>+E37</f>
        <v>2.0309055045802106E-10</v>
      </c>
      <c r="AQ37">
        <f>(1-$C37)*$B37</f>
        <v>2.7356582288642849E-8</v>
      </c>
      <c r="CV37">
        <v>2.7356582288642849E-8</v>
      </c>
      <c r="CW37" s="3" t="s">
        <v>32</v>
      </c>
      <c r="CY37">
        <f t="shared" ref="CY37:CY43" si="12">SUM(L37:AK37)/2</f>
        <v>8.1236220183208414E-10</v>
      </c>
    </row>
    <row r="38" spans="2:103" x14ac:dyDescent="0.25">
      <c r="B38">
        <f>Primary!CV38</f>
        <v>1.2093808049619699E-5</v>
      </c>
      <c r="C38">
        <v>0</v>
      </c>
      <c r="D38">
        <f t="shared" si="7"/>
        <v>0</v>
      </c>
      <c r="E38">
        <f t="shared" si="10"/>
        <v>0</v>
      </c>
      <c r="F38" s="1">
        <v>10</v>
      </c>
      <c r="G38" s="2" t="s">
        <v>33</v>
      </c>
      <c r="AR38">
        <f>(1-$C38)*$B38</f>
        <v>1.2093808049619699E-5</v>
      </c>
      <c r="CV38">
        <v>1.2093808049619699E-5</v>
      </c>
      <c r="CW38" s="2" t="s">
        <v>33</v>
      </c>
      <c r="CY38">
        <f t="shared" si="12"/>
        <v>0</v>
      </c>
    </row>
    <row r="39" spans="2:103" x14ac:dyDescent="0.25">
      <c r="B39">
        <f>Primary!CV39</f>
        <v>3.2000962591801201E-7</v>
      </c>
      <c r="C39">
        <v>0</v>
      </c>
      <c r="D39">
        <f t="shared" si="7"/>
        <v>0</v>
      </c>
      <c r="E39">
        <f t="shared" si="10"/>
        <v>0</v>
      </c>
      <c r="F39" s="1">
        <v>10</v>
      </c>
      <c r="G39" s="3" t="s">
        <v>34</v>
      </c>
      <c r="AS39">
        <f>(1-$C39)*$B39</f>
        <v>3.2000962591801201E-7</v>
      </c>
      <c r="CV39">
        <v>3.2000962591801201E-7</v>
      </c>
      <c r="CW39" s="3" t="s">
        <v>34</v>
      </c>
      <c r="CY39">
        <f t="shared" si="12"/>
        <v>0</v>
      </c>
    </row>
    <row r="40" spans="2:103" x14ac:dyDescent="0.25">
      <c r="B40">
        <f>Primary!CV40</f>
        <v>2.8806019105484783E-2</v>
      </c>
      <c r="C40">
        <f t="shared" si="6"/>
        <v>4.913598187307628E-2</v>
      </c>
      <c r="D40">
        <f t="shared" si="7"/>
        <v>9.8271963746152571E-3</v>
      </c>
      <c r="E40">
        <f t="shared" si="10"/>
        <v>2.8308240652051786E-4</v>
      </c>
      <c r="F40" s="1">
        <v>11</v>
      </c>
      <c r="G40" s="3" t="s">
        <v>35</v>
      </c>
      <c r="L40">
        <f>+E40</f>
        <v>2.8308240652051786E-4</v>
      </c>
      <c r="N40">
        <f>+E40*2</f>
        <v>5.6616481304103572E-4</v>
      </c>
      <c r="Q40">
        <f>+E40*2</f>
        <v>5.6616481304103572E-4</v>
      </c>
      <c r="V40">
        <f>+E40*2</f>
        <v>5.6616481304103572E-4</v>
      </c>
      <c r="Z40">
        <f>+E40*2</f>
        <v>5.6616481304103572E-4</v>
      </c>
      <c r="AE40">
        <f>+E40</f>
        <v>2.8308240652051786E-4</v>
      </c>
      <c r="AT40">
        <f>(1-$C40)*$B40</f>
        <v>2.7390607072882191E-2</v>
      </c>
      <c r="CV40">
        <v>3.9074290219924937E-2</v>
      </c>
      <c r="CW40" s="3" t="s">
        <v>35</v>
      </c>
      <c r="CY40">
        <f t="shared" si="12"/>
        <v>1.4154120326025893E-3</v>
      </c>
    </row>
    <row r="41" spans="2:103" x14ac:dyDescent="0.25">
      <c r="B41">
        <f>Primary!CV41</f>
        <v>6.6045750165336401E-7</v>
      </c>
      <c r="C41">
        <f t="shared" si="6"/>
        <v>4.913598187307628E-2</v>
      </c>
      <c r="D41">
        <f t="shared" si="7"/>
        <v>9.8271963746152571E-3</v>
      </c>
      <c r="E41">
        <f t="shared" si="10"/>
        <v>6.4904455658353888E-9</v>
      </c>
      <c r="F41" s="1">
        <v>11</v>
      </c>
      <c r="G41" s="2" t="s">
        <v>36</v>
      </c>
      <c r="L41">
        <f>+E41</f>
        <v>6.4904455658353888E-9</v>
      </c>
      <c r="O41">
        <f>+E41*2</f>
        <v>1.2980891131670778E-8</v>
      </c>
      <c r="Q41">
        <f>+E41*2</f>
        <v>1.2980891131670778E-8</v>
      </c>
      <c r="V41">
        <f>+E41*2</f>
        <v>1.2980891131670778E-8</v>
      </c>
      <c r="Z41">
        <f>+E41*2</f>
        <v>1.2980891131670778E-8</v>
      </c>
      <c r="AE41">
        <f>+E41</f>
        <v>6.4904455658353888E-9</v>
      </c>
      <c r="AU41">
        <f>(1-$C41)*$B41</f>
        <v>6.2800527382418701E-7</v>
      </c>
      <c r="CV41">
        <v>6.2800527382418701E-7</v>
      </c>
      <c r="CW41" s="2" t="s">
        <v>36</v>
      </c>
      <c r="CY41">
        <f t="shared" si="12"/>
        <v>3.2452227829176945E-8</v>
      </c>
    </row>
    <row r="42" spans="2:103" x14ac:dyDescent="0.25">
      <c r="B42">
        <f>Primary!CV42</f>
        <v>1.65554693590926E-7</v>
      </c>
      <c r="C42">
        <v>0</v>
      </c>
      <c r="D42">
        <f t="shared" si="7"/>
        <v>0</v>
      </c>
      <c r="E42">
        <f t="shared" si="10"/>
        <v>0</v>
      </c>
      <c r="F42" s="1">
        <v>11</v>
      </c>
      <c r="G42" s="2" t="s">
        <v>37</v>
      </c>
      <c r="AV42">
        <f>(1-$C42)*$B42</f>
        <v>1.65554693590926E-7</v>
      </c>
      <c r="CV42">
        <v>1.65554693590926E-7</v>
      </c>
      <c r="CW42" s="2" t="s">
        <v>37</v>
      </c>
      <c r="CY42">
        <f t="shared" si="12"/>
        <v>0</v>
      </c>
    </row>
    <row r="43" spans="2:103" x14ac:dyDescent="0.25">
      <c r="B43">
        <f>Primary!CV43</f>
        <v>2.7525267832290686E-7</v>
      </c>
      <c r="C43">
        <v>0</v>
      </c>
      <c r="D43">
        <f t="shared" ref="D43" si="13">1/(F43-6)*C43</f>
        <v>0</v>
      </c>
      <c r="E43">
        <f t="shared" ref="E43" si="14">1/(F43-6)*C43*B43</f>
        <v>0</v>
      </c>
      <c r="F43" s="1">
        <v>11</v>
      </c>
      <c r="G43" s="2" t="s">
        <v>102</v>
      </c>
      <c r="M43">
        <f>+E43</f>
        <v>0</v>
      </c>
      <c r="O43">
        <f>+E43*2</f>
        <v>0</v>
      </c>
      <c r="Q43">
        <f>+E43*2</f>
        <v>0</v>
      </c>
      <c r="V43">
        <f>+E43*2</f>
        <v>0</v>
      </c>
      <c r="Z43">
        <f>+E43*2</f>
        <v>0</v>
      </c>
      <c r="AE43">
        <f>+E43</f>
        <v>0</v>
      </c>
      <c r="AW43">
        <f>(1-$C43)*$B43</f>
        <v>2.7525267832290686E-7</v>
      </c>
      <c r="CV43">
        <v>2.7525267832290686E-7</v>
      </c>
      <c r="CW43" s="2"/>
      <c r="CY43">
        <f t="shared" si="12"/>
        <v>0</v>
      </c>
    </row>
    <row r="44" spans="2:103" x14ac:dyDescent="0.25">
      <c r="B44">
        <f>Primary!CV44</f>
        <v>1.0590442559488057E-6</v>
      </c>
      <c r="C44">
        <f t="shared" si="6"/>
        <v>7.9415626020614083E-2</v>
      </c>
      <c r="D44">
        <f t="shared" si="7"/>
        <v>1.3235937670102347E-2</v>
      </c>
      <c r="E44">
        <f t="shared" si="10"/>
        <v>1.4017443761618308E-8</v>
      </c>
      <c r="F44" s="1">
        <v>12</v>
      </c>
      <c r="G44" s="2" t="s">
        <v>38</v>
      </c>
      <c r="L44">
        <f>+E44</f>
        <v>1.4017443761618308E-8</v>
      </c>
      <c r="O44">
        <f>+E44*2</f>
        <v>2.8034887523236617E-8</v>
      </c>
      <c r="Q44">
        <f>+E44*2</f>
        <v>2.8034887523236617E-8</v>
      </c>
      <c r="V44">
        <f>+E44*2</f>
        <v>2.8034887523236617E-8</v>
      </c>
      <c r="Z44">
        <f>+E44*2</f>
        <v>2.8034887523236617E-8</v>
      </c>
      <c r="AE44">
        <f>+E44*2</f>
        <v>2.8034887523236617E-8</v>
      </c>
      <c r="AJ44">
        <f>+E44</f>
        <v>1.4017443761618308E-8</v>
      </c>
      <c r="AX44">
        <f>(1-$C44)*$B44</f>
        <v>9.7493959337909587E-7</v>
      </c>
      <c r="CV44">
        <v>9.7493959337909587E-7</v>
      </c>
      <c r="CW44" s="2" t="s">
        <v>38</v>
      </c>
      <c r="CY44">
        <f>SUM(L44:AK44)/2</f>
        <v>8.410466256970985E-8</v>
      </c>
    </row>
    <row r="45" spans="2:103" x14ac:dyDescent="0.25">
      <c r="B45">
        <f>Primary!CV45</f>
        <v>2.8794735851316984E-2</v>
      </c>
      <c r="C45">
        <f t="shared" si="6"/>
        <v>7.9415626020614083E-2</v>
      </c>
      <c r="D45">
        <f t="shared" si="7"/>
        <v>1.3235937670102347E-2</v>
      </c>
      <c r="E45">
        <f t="shared" si="10"/>
        <v>3.8112532895509304E-4</v>
      </c>
      <c r="F45" s="1">
        <v>12</v>
      </c>
      <c r="G45" s="3" t="s">
        <v>39</v>
      </c>
      <c r="L45">
        <f>+E45</f>
        <v>3.8112532895509304E-4</v>
      </c>
      <c r="N45">
        <f>+E45*2</f>
        <v>7.6225065791018609E-4</v>
      </c>
      <c r="Q45">
        <f>+E45*2</f>
        <v>7.6225065791018609E-4</v>
      </c>
      <c r="V45">
        <f>+E45*2</f>
        <v>7.6225065791018609E-4</v>
      </c>
      <c r="Z45">
        <f>+E45*2</f>
        <v>7.6225065791018609E-4</v>
      </c>
      <c r="AE45">
        <f>+E45*2</f>
        <v>7.6225065791018609E-4</v>
      </c>
      <c r="AJ45">
        <f>+E45</f>
        <v>3.8112532895509304E-4</v>
      </c>
      <c r="AY45">
        <f>(1-$C45)*$B45</f>
        <v>2.6507983877586426E-2</v>
      </c>
      <c r="CV45">
        <v>3.6691469381432883E-2</v>
      </c>
      <c r="CW45" s="3" t="s">
        <v>39</v>
      </c>
      <c r="CY45">
        <f>SUM(L45:AX45)/2</f>
        <v>2.2867519737305581E-3</v>
      </c>
    </row>
    <row r="46" spans="2:103" x14ac:dyDescent="0.25">
      <c r="B46">
        <f>Primary!CV46</f>
        <v>1.3152635407435234E-7</v>
      </c>
      <c r="C46">
        <f t="shared" si="6"/>
        <v>7.9415626020614083E-2</v>
      </c>
      <c r="D46">
        <f t="shared" si="7"/>
        <v>1.3235937670102347E-2</v>
      </c>
      <c r="E46">
        <f t="shared" si="10"/>
        <v>1.7408746245039394E-9</v>
      </c>
      <c r="F46" s="1">
        <v>12</v>
      </c>
      <c r="G46" s="3" t="s">
        <v>40</v>
      </c>
      <c r="M46">
        <f>+E46</f>
        <v>1.7408746245039394E-9</v>
      </c>
      <c r="N46">
        <f>+E46*2</f>
        <v>3.4817492490078788E-9</v>
      </c>
      <c r="Q46">
        <f>+E46*2</f>
        <v>3.4817492490078788E-9</v>
      </c>
      <c r="V46">
        <f>+E46*2</f>
        <v>3.4817492490078788E-9</v>
      </c>
      <c r="Z46">
        <f>+E46*2</f>
        <v>3.4817492490078788E-9</v>
      </c>
      <c r="AE46">
        <f>+E46*2</f>
        <v>3.4817492490078788E-9</v>
      </c>
      <c r="AJ46">
        <f>+E46</f>
        <v>1.7408746245039394E-9</v>
      </c>
      <c r="AZ46">
        <f>(1-$C46)*$B46</f>
        <v>1.2108110632732872E-7</v>
      </c>
      <c r="CV46">
        <v>1.2108110632732872E-7</v>
      </c>
      <c r="CW46" s="3" t="s">
        <v>40</v>
      </c>
      <c r="CY46">
        <f t="shared" ref="CY46:CY52" si="15">SUM(L46:AX46)/2</f>
        <v>1.0445247747023636E-8</v>
      </c>
    </row>
    <row r="47" spans="2:103" x14ac:dyDescent="0.25">
      <c r="B47">
        <f>Primary!CV47</f>
        <v>5.4930049786511697E-7</v>
      </c>
      <c r="C47">
        <v>0</v>
      </c>
      <c r="D47">
        <f t="shared" si="7"/>
        <v>0</v>
      </c>
      <c r="E47">
        <f t="shared" si="10"/>
        <v>0</v>
      </c>
      <c r="F47" s="1">
        <v>12</v>
      </c>
      <c r="G47" s="2" t="s">
        <v>41</v>
      </c>
      <c r="BA47">
        <f>(1-$C47)*$B47</f>
        <v>5.4930049786511697E-7</v>
      </c>
      <c r="CV47">
        <v>5.4930049786511697E-7</v>
      </c>
      <c r="CW47" s="2" t="s">
        <v>41</v>
      </c>
      <c r="CY47">
        <f t="shared" si="15"/>
        <v>0</v>
      </c>
    </row>
    <row r="48" spans="2:103" x14ac:dyDescent="0.25">
      <c r="B48">
        <f>Primary!CV48</f>
        <v>9.8777101473426203E-8</v>
      </c>
      <c r="C48">
        <v>0</v>
      </c>
      <c r="D48">
        <f t="shared" ref="D48" si="16">1/(F48-6)*C48</f>
        <v>0</v>
      </c>
      <c r="E48">
        <f t="shared" ref="E48" si="17">1/(F48-6)*C48*B48</f>
        <v>0</v>
      </c>
      <c r="F48" s="1">
        <v>12</v>
      </c>
      <c r="G48" s="2" t="s">
        <v>103</v>
      </c>
      <c r="BB48">
        <f>(1-$C48)*$B48</f>
        <v>9.8777101473426203E-8</v>
      </c>
      <c r="CV48">
        <v>9.8777101473426203E-8</v>
      </c>
      <c r="CW48" s="2"/>
      <c r="CY48">
        <f t="shared" si="15"/>
        <v>0</v>
      </c>
    </row>
    <row r="49" spans="1:103" x14ac:dyDescent="0.25">
      <c r="B49">
        <f>Primary!CV49</f>
        <v>1.5554226230979695E-6</v>
      </c>
      <c r="C49">
        <f t="shared" si="6"/>
        <v>0.12458754699569997</v>
      </c>
      <c r="D49">
        <f t="shared" si="7"/>
        <v>1.779822099938571E-2</v>
      </c>
      <c r="E49">
        <f t="shared" si="10"/>
        <v>2.7683755593341884E-8</v>
      </c>
      <c r="F49" s="1">
        <v>13</v>
      </c>
      <c r="G49" s="2" t="s">
        <v>42</v>
      </c>
      <c r="L49">
        <f>+E49</f>
        <v>2.7683755593341884E-8</v>
      </c>
      <c r="O49">
        <f>+E49*2</f>
        <v>5.5367511186683768E-8</v>
      </c>
      <c r="Q49">
        <f>+E49*2</f>
        <v>5.5367511186683768E-8</v>
      </c>
      <c r="V49">
        <f>+E49*2</f>
        <v>5.5367511186683768E-8</v>
      </c>
      <c r="Z49">
        <f>+E49*2</f>
        <v>5.5367511186683768E-8</v>
      </c>
      <c r="AE49">
        <f>+E49*2</f>
        <v>5.5367511186683768E-8</v>
      </c>
      <c r="AJ49">
        <f>+E49*2</f>
        <v>5.5367511186683768E-8</v>
      </c>
      <c r="AO49">
        <f>+E49</f>
        <v>2.7683755593341884E-8</v>
      </c>
      <c r="BC49">
        <f>(1-$C49)*$B49</f>
        <v>1.3616363339445764E-6</v>
      </c>
      <c r="CV49">
        <v>1.3616363339445764E-6</v>
      </c>
      <c r="CW49" s="2" t="s">
        <v>42</v>
      </c>
      <c r="CY49">
        <f t="shared" si="15"/>
        <v>1.9378628915339317E-7</v>
      </c>
    </row>
    <row r="50" spans="1:103" x14ac:dyDescent="0.25">
      <c r="B50">
        <f>Primary!CV50</f>
        <v>1.8080612828803075E-7</v>
      </c>
      <c r="C50">
        <f t="shared" si="6"/>
        <v>0.12458754699569997</v>
      </c>
      <c r="D50">
        <f t="shared" si="7"/>
        <v>1.779822099938571E-2</v>
      </c>
      <c r="E50">
        <f t="shared" si="10"/>
        <v>3.2180274293136554E-9</v>
      </c>
      <c r="F50" s="1">
        <v>13</v>
      </c>
      <c r="G50" s="3" t="s">
        <v>43</v>
      </c>
      <c r="M50">
        <f>+E50</f>
        <v>3.2180274293136554E-9</v>
      </c>
      <c r="N50">
        <f>+E50*2</f>
        <v>6.4360548586273108E-9</v>
      </c>
      <c r="Q50">
        <f t="shared" ref="Q50:Q93" si="18">+E50*2</f>
        <v>6.4360548586273108E-9</v>
      </c>
      <c r="V50">
        <f t="shared" ref="V50:V93" si="19">+E50*2</f>
        <v>6.4360548586273108E-9</v>
      </c>
      <c r="Z50">
        <f t="shared" ref="Z50:Z93" si="20">+E50*2</f>
        <v>6.4360548586273108E-9</v>
      </c>
      <c r="AE50">
        <f t="shared" ref="AE50:AE93" si="21">+E50*2</f>
        <v>6.4360548586273108E-9</v>
      </c>
      <c r="AJ50">
        <f t="shared" ref="AJ50:AJ93" si="22">+E50*2</f>
        <v>6.4360548586273108E-9</v>
      </c>
      <c r="AO50">
        <f>+E50</f>
        <v>3.2180274293136554E-9</v>
      </c>
      <c r="BD50">
        <f>(1-$C50)*$B50</f>
        <v>1.5827993628283517E-7</v>
      </c>
      <c r="CV50">
        <v>1.5827993628283517E-7</v>
      </c>
      <c r="CW50" s="3" t="s">
        <v>43</v>
      </c>
      <c r="CY50">
        <f t="shared" si="15"/>
        <v>2.2526192005195585E-8</v>
      </c>
    </row>
    <row r="51" spans="1:103" x14ac:dyDescent="0.25">
      <c r="A51">
        <f t="shared" ref="A51:A60" si="23">SUM(H51:CV51)</f>
        <v>6.5984810736712363E-2</v>
      </c>
      <c r="B51">
        <f>Primary!CV51</f>
        <v>2.8749988232886357E-2</v>
      </c>
      <c r="C51">
        <f t="shared" si="6"/>
        <v>0.12458754699569997</v>
      </c>
      <c r="D51">
        <f t="shared" si="7"/>
        <v>1.779822099938571E-2</v>
      </c>
      <c r="E51">
        <f t="shared" si="10"/>
        <v>5.1169864429865001E-4</v>
      </c>
      <c r="F51" s="1">
        <v>13</v>
      </c>
      <c r="G51" s="2" t="s">
        <v>44</v>
      </c>
      <c r="L51">
        <f>+E51</f>
        <v>5.1169864429865001E-4</v>
      </c>
      <c r="N51">
        <f>+E51*2</f>
        <v>1.0233972885973E-3</v>
      </c>
      <c r="Q51">
        <f t="shared" si="18"/>
        <v>1.0233972885973E-3</v>
      </c>
      <c r="V51">
        <f t="shared" si="19"/>
        <v>1.0233972885973E-3</v>
      </c>
      <c r="Z51">
        <f t="shared" si="20"/>
        <v>1.0233972885973E-3</v>
      </c>
      <c r="AE51">
        <f t="shared" si="21"/>
        <v>1.0233972885973E-3</v>
      </c>
      <c r="AJ51">
        <f t="shared" si="22"/>
        <v>1.0233972885973E-3</v>
      </c>
      <c r="AO51">
        <f>+E51</f>
        <v>5.1169864429865001E-4</v>
      </c>
      <c r="BE51">
        <f>(1-$C51)*$B51</f>
        <v>2.5168097722795806E-2</v>
      </c>
      <c r="CV51">
        <v>3.3652931993735452E-2</v>
      </c>
      <c r="CW51" s="2" t="s">
        <v>44</v>
      </c>
      <c r="CY51">
        <f t="shared" si="15"/>
        <v>3.5818905100905504E-3</v>
      </c>
    </row>
    <row r="52" spans="1:103" x14ac:dyDescent="0.25">
      <c r="A52">
        <f t="shared" si="23"/>
        <v>2.8109531412188437E-6</v>
      </c>
      <c r="B52">
        <f>Primary!CV52</f>
        <v>1.4054765706094218E-6</v>
      </c>
      <c r="C52">
        <f t="shared" si="6"/>
        <v>0.19197613434623281</v>
      </c>
      <c r="D52">
        <f t="shared" si="7"/>
        <v>2.3997016793279102E-2</v>
      </c>
      <c r="E52">
        <f t="shared" si="10"/>
        <v>3.3727244867474618E-8</v>
      </c>
      <c r="F52" s="1">
        <v>14</v>
      </c>
      <c r="G52" s="3" t="s">
        <v>45</v>
      </c>
      <c r="L52">
        <f t="shared" ref="L52:L93" si="24">+E52</f>
        <v>3.3727244867474618E-8</v>
      </c>
      <c r="O52">
        <f>+E52*2</f>
        <v>6.7454489734949236E-8</v>
      </c>
      <c r="Q52">
        <f t="shared" si="18"/>
        <v>6.7454489734949236E-8</v>
      </c>
      <c r="V52">
        <f t="shared" si="19"/>
        <v>6.7454489734949236E-8</v>
      </c>
      <c r="Z52">
        <f t="shared" si="20"/>
        <v>6.7454489734949236E-8</v>
      </c>
      <c r="AE52">
        <f t="shared" si="21"/>
        <v>6.7454489734949236E-8</v>
      </c>
      <c r="AJ52">
        <f t="shared" si="22"/>
        <v>6.7454489734949236E-8</v>
      </c>
      <c r="AO52">
        <f>+E52*2</f>
        <v>6.7454489734949236E-8</v>
      </c>
      <c r="AT52">
        <f>+E52</f>
        <v>3.3727244867474618E-8</v>
      </c>
      <c r="BF52">
        <f>(1-$C52)*$B52</f>
        <v>1.135658611669625E-6</v>
      </c>
      <c r="CV52">
        <v>1.135658611669625E-6</v>
      </c>
      <c r="CW52" s="3" t="s">
        <v>45</v>
      </c>
      <c r="CY52">
        <f t="shared" si="15"/>
        <v>2.6981795893979695E-7</v>
      </c>
    </row>
    <row r="53" spans="1:103" x14ac:dyDescent="0.25">
      <c r="A53">
        <f t="shared" si="23"/>
        <v>6.3519624329199234E-2</v>
      </c>
      <c r="B53">
        <f>Primary!CV53</f>
        <v>2.8463972914584565E-2</v>
      </c>
      <c r="C53">
        <f t="shared" si="6"/>
        <v>0.19197613434623281</v>
      </c>
      <c r="D53">
        <f t="shared" si="7"/>
        <v>2.3997016793279102E-2</v>
      </c>
      <c r="E53">
        <f t="shared" si="10"/>
        <v>6.8305043603472725E-4</v>
      </c>
      <c r="F53" s="1">
        <v>14</v>
      </c>
      <c r="G53" s="2" t="s">
        <v>46</v>
      </c>
      <c r="L53">
        <f t="shared" si="24"/>
        <v>6.8305043603472725E-4</v>
      </c>
      <c r="N53">
        <f>+E53*2</f>
        <v>1.3661008720694545E-3</v>
      </c>
      <c r="Q53">
        <f t="shared" si="18"/>
        <v>1.3661008720694545E-3</v>
      </c>
      <c r="V53">
        <f t="shared" si="19"/>
        <v>1.3661008720694545E-3</v>
      </c>
      <c r="Z53">
        <f t="shared" si="20"/>
        <v>1.3661008720694545E-3</v>
      </c>
      <c r="AE53">
        <f t="shared" si="21"/>
        <v>1.3661008720694545E-3</v>
      </c>
      <c r="AJ53">
        <f t="shared" si="22"/>
        <v>1.3661008720694545E-3</v>
      </c>
      <c r="AO53">
        <f t="shared" ref="AO53:AO93" si="25">+E53*2</f>
        <v>1.3661008720694545E-3</v>
      </c>
      <c r="AT53">
        <f>+E53</f>
        <v>6.8305043603472725E-4</v>
      </c>
      <c r="BG53">
        <f>(1-$C53)*$B53</f>
        <v>2.2999569426306744E-2</v>
      </c>
      <c r="CV53">
        <v>2.9591247926336852E-2</v>
      </c>
      <c r="CW53" s="2" t="s">
        <v>46</v>
      </c>
      <c r="CY53">
        <f>SUM(L53:AX53)/2</f>
        <v>5.464403488277818E-3</v>
      </c>
    </row>
    <row r="54" spans="1:103" x14ac:dyDescent="0.25">
      <c r="A54">
        <f t="shared" si="23"/>
        <v>1.5111048071769042E-5</v>
      </c>
      <c r="B54">
        <f>Primary!CV54</f>
        <v>7.55552403588452E-6</v>
      </c>
      <c r="C54">
        <f t="shared" si="6"/>
        <v>0.29250809329491373</v>
      </c>
      <c r="D54">
        <f t="shared" si="7"/>
        <v>3.250089925499041E-2</v>
      </c>
      <c r="E54">
        <f t="shared" si="10"/>
        <v>2.4556132550894136E-7</v>
      </c>
      <c r="F54" s="1">
        <v>15</v>
      </c>
      <c r="G54" s="3" t="s">
        <v>47</v>
      </c>
      <c r="L54">
        <f t="shared" si="24"/>
        <v>2.4556132550894136E-7</v>
      </c>
      <c r="O54">
        <f>+E54*2</f>
        <v>4.9112265101788272E-7</v>
      </c>
      <c r="Q54">
        <f t="shared" si="18"/>
        <v>4.9112265101788272E-7</v>
      </c>
      <c r="V54">
        <f t="shared" si="19"/>
        <v>4.9112265101788272E-7</v>
      </c>
      <c r="Z54">
        <f t="shared" si="20"/>
        <v>4.9112265101788272E-7</v>
      </c>
      <c r="AE54">
        <f t="shared" si="21"/>
        <v>4.9112265101788272E-7</v>
      </c>
      <c r="AJ54">
        <f t="shared" si="22"/>
        <v>4.9112265101788272E-7</v>
      </c>
      <c r="AO54">
        <f t="shared" si="25"/>
        <v>4.9112265101788272E-7</v>
      </c>
      <c r="AT54">
        <f>+E54*2</f>
        <v>4.9112265101788272E-7</v>
      </c>
      <c r="AY54">
        <f>+E54</f>
        <v>2.4556132550894136E-7</v>
      </c>
      <c r="BH54">
        <f>(1-$C54)*$B54</f>
        <v>5.3454721063040477E-6</v>
      </c>
      <c r="CV54">
        <v>5.3454721063040477E-6</v>
      </c>
      <c r="CW54" s="3" t="s">
        <v>47</v>
      </c>
      <c r="CY54">
        <f>SUM(L54:BC54)/2</f>
        <v>2.2100519295804728E-6</v>
      </c>
    </row>
    <row r="55" spans="1:103" x14ac:dyDescent="0.25">
      <c r="A55">
        <f t="shared" si="23"/>
        <v>5.4858887473395027E-2</v>
      </c>
      <c r="B55">
        <f>Primary!CV55</f>
        <v>2.5133702061051841E-2</v>
      </c>
      <c r="C55">
        <f t="shared" si="6"/>
        <v>0.29250809329491373</v>
      </c>
      <c r="D55">
        <f t="shared" si="7"/>
        <v>3.250089925499041E-2</v>
      </c>
      <c r="E55">
        <f t="shared" si="10"/>
        <v>8.1686791859119073E-4</v>
      </c>
      <c r="F55" s="1">
        <v>15</v>
      </c>
      <c r="G55" s="2" t="s">
        <v>48</v>
      </c>
      <c r="L55">
        <f t="shared" si="24"/>
        <v>8.1686791859119073E-4</v>
      </c>
      <c r="N55">
        <f>+E55*2</f>
        <v>1.6337358371823815E-3</v>
      </c>
      <c r="Q55">
        <f t="shared" si="18"/>
        <v>1.6337358371823815E-3</v>
      </c>
      <c r="V55">
        <f t="shared" si="19"/>
        <v>1.6337358371823815E-3</v>
      </c>
      <c r="Z55">
        <f t="shared" si="20"/>
        <v>1.6337358371823815E-3</v>
      </c>
      <c r="AE55">
        <f t="shared" si="21"/>
        <v>1.6337358371823815E-3</v>
      </c>
      <c r="AJ55">
        <f t="shared" si="22"/>
        <v>1.6337358371823815E-3</v>
      </c>
      <c r="AO55">
        <f t="shared" si="25"/>
        <v>1.6337358371823815E-3</v>
      </c>
      <c r="AT55">
        <f t="shared" ref="AT55:AT93" si="26">+E55*2</f>
        <v>1.6337358371823815E-3</v>
      </c>
      <c r="AY55">
        <f>+E55</f>
        <v>8.1686791859119073E-4</v>
      </c>
      <c r="BI55">
        <f>(1-$C55)*$B55</f>
        <v>1.7781890793731124E-2</v>
      </c>
      <c r="CV55">
        <v>2.2373374145022471E-2</v>
      </c>
      <c r="CW55" s="2" t="s">
        <v>48</v>
      </c>
      <c r="CY55">
        <f>SUM(L55:BE55)/2</f>
        <v>7.3518112673207157E-3</v>
      </c>
    </row>
    <row r="56" spans="1:103" x14ac:dyDescent="0.25">
      <c r="A56">
        <f t="shared" si="23"/>
        <v>8.1057609307480223E-5</v>
      </c>
      <c r="B56">
        <f>Primary!CV56</f>
        <v>4.0528804653740105E-5</v>
      </c>
      <c r="C56">
        <f t="shared" si="6"/>
        <v>0.44248415255681423</v>
      </c>
      <c r="D56">
        <f t="shared" si="7"/>
        <v>4.4248415255681427E-2</v>
      </c>
      <c r="E56">
        <f t="shared" si="10"/>
        <v>1.7933353781350861E-6</v>
      </c>
      <c r="F56" s="1">
        <v>16</v>
      </c>
      <c r="G56" s="3" t="s">
        <v>49</v>
      </c>
      <c r="L56">
        <f t="shared" si="24"/>
        <v>1.7933353781350861E-6</v>
      </c>
      <c r="O56">
        <f>+E56*2</f>
        <v>3.5866707562701723E-6</v>
      </c>
      <c r="Q56">
        <f t="shared" si="18"/>
        <v>3.5866707562701723E-6</v>
      </c>
      <c r="V56">
        <f t="shared" si="19"/>
        <v>3.5866707562701723E-6</v>
      </c>
      <c r="Z56">
        <f t="shared" si="20"/>
        <v>3.5866707562701723E-6</v>
      </c>
      <c r="AE56">
        <f t="shared" si="21"/>
        <v>3.5866707562701723E-6</v>
      </c>
      <c r="AJ56">
        <f t="shared" si="22"/>
        <v>3.5866707562701723E-6</v>
      </c>
      <c r="AO56">
        <f t="shared" si="25"/>
        <v>3.5866707562701723E-6</v>
      </c>
      <c r="AT56">
        <f t="shared" si="26"/>
        <v>3.5866707562701723E-6</v>
      </c>
      <c r="AY56">
        <f>+E56*2</f>
        <v>3.5866707562701723E-6</v>
      </c>
      <c r="BE56">
        <f>+E56</f>
        <v>1.7933353781350861E-6</v>
      </c>
      <c r="BJ56">
        <f>(1-$C56)*$B56</f>
        <v>2.2595450872389248E-5</v>
      </c>
      <c r="CV56">
        <v>2.2595450872389248E-5</v>
      </c>
      <c r="CW56" s="3" t="s">
        <v>49</v>
      </c>
      <c r="CY56">
        <f>SUM(L56:BF56)/2</f>
        <v>1.793335378135086E-5</v>
      </c>
    </row>
    <row r="57" spans="1:103" x14ac:dyDescent="0.25">
      <c r="A57">
        <f t="shared" si="23"/>
        <v>4.2668765392288789E-2</v>
      </c>
      <c r="B57">
        <f>Primary!CV57</f>
        <v>1.9881941817091731E-2</v>
      </c>
      <c r="C57">
        <f t="shared" si="6"/>
        <v>0.44248415255681423</v>
      </c>
      <c r="D57">
        <f t="shared" si="7"/>
        <v>4.4248415255681427E-2</v>
      </c>
      <c r="E57">
        <f t="shared" si="10"/>
        <v>8.7974441761197225E-4</v>
      </c>
      <c r="F57" s="1">
        <v>16</v>
      </c>
      <c r="G57" s="2" t="s">
        <v>50</v>
      </c>
      <c r="L57">
        <f t="shared" si="24"/>
        <v>8.7974441761197225E-4</v>
      </c>
      <c r="N57">
        <f>+E57*2</f>
        <v>1.7594888352239445E-3</v>
      </c>
      <c r="Q57">
        <f t="shared" si="18"/>
        <v>1.7594888352239445E-3</v>
      </c>
      <c r="V57">
        <f t="shared" si="19"/>
        <v>1.7594888352239445E-3</v>
      </c>
      <c r="Z57">
        <f t="shared" si="20"/>
        <v>1.7594888352239445E-3</v>
      </c>
      <c r="AE57">
        <f t="shared" si="21"/>
        <v>1.7594888352239445E-3</v>
      </c>
      <c r="AJ57">
        <f t="shared" si="22"/>
        <v>1.7594888352239445E-3</v>
      </c>
      <c r="AO57">
        <f t="shared" si="25"/>
        <v>1.7594888352239445E-3</v>
      </c>
      <c r="AT57">
        <f t="shared" si="26"/>
        <v>1.7594888352239445E-3</v>
      </c>
      <c r="AY57">
        <f t="shared" ref="AY57:AY93" si="27">+E57*2</f>
        <v>1.7594888352239445E-3</v>
      </c>
      <c r="BE57">
        <f>+E57</f>
        <v>8.7974441761197225E-4</v>
      </c>
      <c r="BK57">
        <f>(1-$C57)*$B57</f>
        <v>1.108449764097201E-2</v>
      </c>
      <c r="CV57">
        <v>1.3989379399077337E-2</v>
      </c>
      <c r="CW57" s="2" t="s">
        <v>50</v>
      </c>
      <c r="CY57">
        <f>SUM(L57:BF57)/2</f>
        <v>8.797444176119721E-3</v>
      </c>
    </row>
    <row r="58" spans="1:103" x14ac:dyDescent="0.25">
      <c r="A58">
        <f t="shared" si="23"/>
        <v>4.1262023266283444E-5</v>
      </c>
      <c r="B58">
        <f>Primary!CV58</f>
        <v>2.0631011633141722E-5</v>
      </c>
      <c r="C58">
        <f t="shared" si="6"/>
        <v>0.66622214181862816</v>
      </c>
      <c r="D58">
        <f t="shared" si="7"/>
        <v>6.0565649256238925E-2</v>
      </c>
      <c r="E58">
        <f t="shared" si="10"/>
        <v>1.2495306143742466E-6</v>
      </c>
      <c r="F58" s="1">
        <v>17</v>
      </c>
      <c r="G58" s="3" t="s">
        <v>51</v>
      </c>
      <c r="L58">
        <f t="shared" si="24"/>
        <v>1.2495306143742466E-6</v>
      </c>
      <c r="O58">
        <f>+E58*2</f>
        <v>2.4990612287484933E-6</v>
      </c>
      <c r="Q58">
        <f t="shared" si="18"/>
        <v>2.4990612287484933E-6</v>
      </c>
      <c r="V58">
        <f t="shared" si="19"/>
        <v>2.4990612287484933E-6</v>
      </c>
      <c r="Z58">
        <f t="shared" si="20"/>
        <v>2.4990612287484933E-6</v>
      </c>
      <c r="AE58">
        <f t="shared" si="21"/>
        <v>2.4990612287484933E-6</v>
      </c>
      <c r="AJ58">
        <f t="shared" si="22"/>
        <v>2.4990612287484933E-6</v>
      </c>
      <c r="AO58">
        <f t="shared" si="25"/>
        <v>2.4990612287484933E-6</v>
      </c>
      <c r="AT58">
        <f t="shared" si="26"/>
        <v>2.4990612287484933E-6</v>
      </c>
      <c r="AY58">
        <f t="shared" si="27"/>
        <v>2.4990612287484933E-6</v>
      </c>
      <c r="BE58">
        <f>+E58*2</f>
        <v>2.4990612287484933E-6</v>
      </c>
      <c r="BG58">
        <f>+E58</f>
        <v>1.2495306143742466E-6</v>
      </c>
      <c r="BL58">
        <f>(1-$C58)*$B58</f>
        <v>6.8861748750250102E-6</v>
      </c>
      <c r="CV58">
        <v>6.8861748750250102E-6</v>
      </c>
      <c r="CW58" s="3" t="s">
        <v>51</v>
      </c>
      <c r="CY58">
        <f>SUM(L58:BK58)/2</f>
        <v>1.374483675811671E-5</v>
      </c>
    </row>
    <row r="59" spans="1:103" x14ac:dyDescent="0.25">
      <c r="A59">
        <f t="shared" si="23"/>
        <v>3.5090510582676614E-2</v>
      </c>
      <c r="B59">
        <f>Primary!CV59</f>
        <v>1.6682203521511473E-2</v>
      </c>
      <c r="C59">
        <f t="shared" si="6"/>
        <v>0.66622214181862816</v>
      </c>
      <c r="D59">
        <f t="shared" si="7"/>
        <v>6.0565649256238925E-2</v>
      </c>
      <c r="E59">
        <f t="shared" si="10"/>
        <v>1.0103684873050576E-3</v>
      </c>
      <c r="F59" s="1">
        <v>17</v>
      </c>
      <c r="G59" s="2" t="s">
        <v>52</v>
      </c>
      <c r="L59">
        <f t="shared" si="24"/>
        <v>1.0103684873050576E-3</v>
      </c>
      <c r="N59">
        <f>+E59*2</f>
        <v>2.0207369746101152E-3</v>
      </c>
      <c r="Q59">
        <f t="shared" si="18"/>
        <v>2.0207369746101152E-3</v>
      </c>
      <c r="V59">
        <f t="shared" si="19"/>
        <v>2.0207369746101152E-3</v>
      </c>
      <c r="Z59">
        <f t="shared" si="20"/>
        <v>2.0207369746101152E-3</v>
      </c>
      <c r="AE59">
        <f t="shared" si="21"/>
        <v>2.0207369746101152E-3</v>
      </c>
      <c r="AJ59">
        <f t="shared" si="22"/>
        <v>2.0207369746101152E-3</v>
      </c>
      <c r="AO59">
        <f t="shared" si="25"/>
        <v>2.0207369746101152E-3</v>
      </c>
      <c r="AT59">
        <f t="shared" si="26"/>
        <v>2.0207369746101152E-3</v>
      </c>
      <c r="AY59">
        <f t="shared" si="27"/>
        <v>2.0207369746101152E-3</v>
      </c>
      <c r="BE59">
        <f t="shared" ref="BE59:BE93" si="28">+E59*2</f>
        <v>2.0207369746101152E-3</v>
      </c>
      <c r="BG59">
        <f>+E59</f>
        <v>1.0103684873050576E-3</v>
      </c>
      <c r="BM59">
        <f>(1-$C59)*$B59</f>
        <v>5.5681501611558378E-3</v>
      </c>
      <c r="CV59">
        <v>7.2942537008095108E-3</v>
      </c>
      <c r="CW59" s="2" t="s">
        <v>52</v>
      </c>
      <c r="CY59">
        <f>SUM(L59:BL59)/2</f>
        <v>1.1114053360355635E-2</v>
      </c>
    </row>
    <row r="60" spans="1:103" x14ac:dyDescent="0.25">
      <c r="A60">
        <f t="shared" si="23"/>
        <v>2.4656691570156819E-2</v>
      </c>
      <c r="B60">
        <f>Primary!CV60</f>
        <v>1.1862925569831919E-2</v>
      </c>
      <c r="C60">
        <v>1</v>
      </c>
      <c r="D60">
        <f t="shared" si="7"/>
        <v>8.3333333333333329E-2</v>
      </c>
      <c r="E60">
        <f t="shared" si="10"/>
        <v>9.8857713081932654E-4</v>
      </c>
      <c r="F60" s="1">
        <v>18</v>
      </c>
      <c r="G60" s="2" t="s">
        <v>53</v>
      </c>
      <c r="L60">
        <f t="shared" si="24"/>
        <v>9.8857713081932654E-4</v>
      </c>
      <c r="N60">
        <f t="shared" ref="N60:N93" si="29">+E60*2</f>
        <v>1.9771542616386531E-3</v>
      </c>
      <c r="Q60">
        <f t="shared" si="18"/>
        <v>1.9771542616386531E-3</v>
      </c>
      <c r="V60">
        <f t="shared" si="19"/>
        <v>1.9771542616386531E-3</v>
      </c>
      <c r="Z60">
        <f t="shared" si="20"/>
        <v>1.9771542616386531E-3</v>
      </c>
      <c r="AE60">
        <f t="shared" si="21"/>
        <v>1.9771542616386531E-3</v>
      </c>
      <c r="AJ60">
        <f t="shared" si="22"/>
        <v>1.9771542616386531E-3</v>
      </c>
      <c r="AO60">
        <f t="shared" si="25"/>
        <v>1.9771542616386531E-3</v>
      </c>
      <c r="AT60">
        <f t="shared" si="26"/>
        <v>1.9771542616386531E-3</v>
      </c>
      <c r="AY60">
        <f t="shared" si="27"/>
        <v>1.9771542616386531E-3</v>
      </c>
      <c r="BE60">
        <f t="shared" si="28"/>
        <v>1.9771542616386531E-3</v>
      </c>
      <c r="BG60">
        <f>+E60*2</f>
        <v>1.9771542616386531E-3</v>
      </c>
      <c r="BI60">
        <f>+E60</f>
        <v>9.8857713081932654E-4</v>
      </c>
      <c r="CV60">
        <v>9.3084043049297997E-4</v>
      </c>
      <c r="CW60" s="2" t="s">
        <v>53</v>
      </c>
      <c r="CY60">
        <f t="shared" ref="CY60" si="30">SUM(L60:BM60)/2</f>
        <v>1.1862925569831919E-2</v>
      </c>
    </row>
    <row r="61" spans="1:103" x14ac:dyDescent="0.25">
      <c r="B61">
        <f>Primary!CV61</f>
        <v>9.0743180107670258E-3</v>
      </c>
      <c r="C61">
        <v>1</v>
      </c>
      <c r="D61">
        <f t="shared" si="7"/>
        <v>7.6923076923076927E-2</v>
      </c>
      <c r="E61">
        <f t="shared" si="10"/>
        <v>6.980244623666943E-4</v>
      </c>
      <c r="F61" s="1">
        <v>19</v>
      </c>
      <c r="G61" s="3" t="s">
        <v>54</v>
      </c>
      <c r="L61">
        <f t="shared" si="24"/>
        <v>6.980244623666943E-4</v>
      </c>
      <c r="N61">
        <f t="shared" si="29"/>
        <v>1.3960489247333886E-3</v>
      </c>
      <c r="Q61">
        <f t="shared" si="18"/>
        <v>1.3960489247333886E-3</v>
      </c>
      <c r="V61">
        <f t="shared" si="19"/>
        <v>1.3960489247333886E-3</v>
      </c>
      <c r="Z61">
        <f t="shared" si="20"/>
        <v>1.3960489247333886E-3</v>
      </c>
      <c r="AE61">
        <f t="shared" si="21"/>
        <v>1.3960489247333886E-3</v>
      </c>
      <c r="AJ61">
        <f t="shared" si="22"/>
        <v>1.3960489247333886E-3</v>
      </c>
      <c r="AO61">
        <f t="shared" si="25"/>
        <v>1.3960489247333886E-3</v>
      </c>
      <c r="AT61">
        <f t="shared" si="26"/>
        <v>1.3960489247333886E-3</v>
      </c>
      <c r="AY61">
        <f t="shared" si="27"/>
        <v>1.3960489247333886E-3</v>
      </c>
      <c r="BE61">
        <f t="shared" si="28"/>
        <v>1.3960489247333886E-3</v>
      </c>
      <c r="BG61">
        <f t="shared" ref="BG61:BG93" si="31">+E61*2</f>
        <v>1.3960489247333886E-3</v>
      </c>
      <c r="BI61">
        <f>+E61*2</f>
        <v>1.3960489247333886E-3</v>
      </c>
      <c r="BK61">
        <f>+E61</f>
        <v>6.980244623666943E-4</v>
      </c>
      <c r="CV61">
        <v>4.2906754222398386E-4</v>
      </c>
      <c r="CW61" s="3" t="s">
        <v>54</v>
      </c>
      <c r="CY61">
        <f>SUM(L61:BM61)/2</f>
        <v>9.0743180107670275E-3</v>
      </c>
    </row>
    <row r="62" spans="1:103" x14ac:dyDescent="0.25">
      <c r="B62">
        <f>Primary!CV62</f>
        <v>6.7305525851894732E-3</v>
      </c>
      <c r="C62">
        <v>1</v>
      </c>
      <c r="D62">
        <f t="shared" si="7"/>
        <v>7.1428571428571425E-2</v>
      </c>
      <c r="E62">
        <f t="shared" si="10"/>
        <v>4.8075375608496232E-4</v>
      </c>
      <c r="F62" s="1">
        <v>20</v>
      </c>
      <c r="G62" s="2" t="s">
        <v>55</v>
      </c>
      <c r="L62">
        <f t="shared" si="24"/>
        <v>4.8075375608496232E-4</v>
      </c>
      <c r="N62">
        <f t="shared" si="29"/>
        <v>9.6150751216992464E-4</v>
      </c>
      <c r="Q62">
        <f t="shared" si="18"/>
        <v>9.6150751216992464E-4</v>
      </c>
      <c r="V62">
        <f t="shared" si="19"/>
        <v>9.6150751216992464E-4</v>
      </c>
      <c r="Z62">
        <f t="shared" si="20"/>
        <v>9.6150751216992464E-4</v>
      </c>
      <c r="AE62">
        <f t="shared" si="21"/>
        <v>9.6150751216992464E-4</v>
      </c>
      <c r="AJ62">
        <f t="shared" si="22"/>
        <v>9.6150751216992464E-4</v>
      </c>
      <c r="AO62">
        <f t="shared" si="25"/>
        <v>9.6150751216992464E-4</v>
      </c>
      <c r="AT62">
        <f t="shared" si="26"/>
        <v>9.6150751216992464E-4</v>
      </c>
      <c r="AY62">
        <f t="shared" si="27"/>
        <v>9.6150751216992464E-4</v>
      </c>
      <c r="BE62">
        <f t="shared" si="28"/>
        <v>9.6150751216992464E-4</v>
      </c>
      <c r="BG62">
        <f t="shared" si="31"/>
        <v>9.6150751216992464E-4</v>
      </c>
      <c r="BI62">
        <f t="shared" ref="BI62:BI93" si="32">+E62*2</f>
        <v>9.6150751216992464E-4</v>
      </c>
      <c r="BK62">
        <f>+E62*2</f>
        <v>9.6150751216992464E-4</v>
      </c>
      <c r="BM62">
        <f>+E62</f>
        <v>4.8075375608496232E-4</v>
      </c>
      <c r="CV62">
        <v>1.4791037473839888E-4</v>
      </c>
      <c r="CW62" s="2" t="s">
        <v>55</v>
      </c>
      <c r="CY62">
        <f t="shared" ref="CY62:CY77" si="33">SUM(L62:CS62)/2</f>
        <v>6.7305525851894732E-3</v>
      </c>
    </row>
    <row r="63" spans="1:103" x14ac:dyDescent="0.25">
      <c r="B63">
        <f>Primary!CV63</f>
        <v>4.7176402961359529E-3</v>
      </c>
      <c r="C63">
        <v>1</v>
      </c>
      <c r="D63">
        <f t="shared" si="7"/>
        <v>6.6666666666666666E-2</v>
      </c>
      <c r="E63">
        <f t="shared" si="10"/>
        <v>3.145093530757302E-4</v>
      </c>
      <c r="F63" s="1">
        <v>21</v>
      </c>
      <c r="G63" s="3" t="s">
        <v>56</v>
      </c>
      <c r="L63">
        <f t="shared" si="24"/>
        <v>3.145093530757302E-4</v>
      </c>
      <c r="N63">
        <f t="shared" si="29"/>
        <v>6.290187061514604E-4</v>
      </c>
      <c r="Q63">
        <f t="shared" si="18"/>
        <v>6.290187061514604E-4</v>
      </c>
      <c r="V63">
        <f t="shared" si="19"/>
        <v>6.290187061514604E-4</v>
      </c>
      <c r="Z63">
        <f t="shared" si="20"/>
        <v>6.290187061514604E-4</v>
      </c>
      <c r="AE63">
        <f t="shared" si="21"/>
        <v>6.290187061514604E-4</v>
      </c>
      <c r="AJ63">
        <f t="shared" si="22"/>
        <v>6.290187061514604E-4</v>
      </c>
      <c r="AO63">
        <f t="shared" si="25"/>
        <v>6.290187061514604E-4</v>
      </c>
      <c r="AT63">
        <f t="shared" si="26"/>
        <v>6.290187061514604E-4</v>
      </c>
      <c r="AY63">
        <f t="shared" si="27"/>
        <v>6.290187061514604E-4</v>
      </c>
      <c r="BE63">
        <f t="shared" si="28"/>
        <v>6.290187061514604E-4</v>
      </c>
      <c r="BG63">
        <f t="shared" si="31"/>
        <v>6.290187061514604E-4</v>
      </c>
      <c r="BI63">
        <f t="shared" si="32"/>
        <v>6.290187061514604E-4</v>
      </c>
      <c r="BK63">
        <f t="shared" ref="BK63:BK93" si="34">+E63*2</f>
        <v>6.290187061514604E-4</v>
      </c>
      <c r="BM63">
        <f>+E63*2</f>
        <v>6.290187061514604E-4</v>
      </c>
      <c r="BN63">
        <f>+E63</f>
        <v>3.145093530757302E-4</v>
      </c>
      <c r="CV63">
        <v>2.7008371223039941E-5</v>
      </c>
      <c r="CW63" s="3" t="s">
        <v>56</v>
      </c>
      <c r="CY63">
        <f t="shared" si="33"/>
        <v>4.7176402961359529E-3</v>
      </c>
    </row>
    <row r="64" spans="1:103" x14ac:dyDescent="0.25">
      <c r="B64">
        <f>Primary!CV64</f>
        <v>2.9962165630922554E-3</v>
      </c>
      <c r="C64">
        <v>1</v>
      </c>
      <c r="D64">
        <f t="shared" si="7"/>
        <v>6.25E-2</v>
      </c>
      <c r="E64">
        <f t="shared" si="10"/>
        <v>1.8726353519326597E-4</v>
      </c>
      <c r="F64" s="1">
        <v>22</v>
      </c>
      <c r="G64" s="2" t="s">
        <v>57</v>
      </c>
      <c r="L64">
        <f t="shared" si="24"/>
        <v>1.8726353519326597E-4</v>
      </c>
      <c r="N64">
        <f t="shared" si="29"/>
        <v>3.7452707038653193E-4</v>
      </c>
      <c r="Q64">
        <f t="shared" si="18"/>
        <v>3.7452707038653193E-4</v>
      </c>
      <c r="V64">
        <f t="shared" si="19"/>
        <v>3.7452707038653193E-4</v>
      </c>
      <c r="Z64">
        <f t="shared" si="20"/>
        <v>3.7452707038653193E-4</v>
      </c>
      <c r="AE64">
        <f t="shared" si="21"/>
        <v>3.7452707038653193E-4</v>
      </c>
      <c r="AJ64">
        <f t="shared" si="22"/>
        <v>3.7452707038653193E-4</v>
      </c>
      <c r="AO64">
        <f t="shared" si="25"/>
        <v>3.7452707038653193E-4</v>
      </c>
      <c r="AT64">
        <f t="shared" si="26"/>
        <v>3.7452707038653193E-4</v>
      </c>
      <c r="AY64">
        <f t="shared" si="27"/>
        <v>3.7452707038653193E-4</v>
      </c>
      <c r="BE64">
        <f t="shared" si="28"/>
        <v>3.7452707038653193E-4</v>
      </c>
      <c r="BG64">
        <f t="shared" si="31"/>
        <v>3.7452707038653193E-4</v>
      </c>
      <c r="BI64">
        <f t="shared" si="32"/>
        <v>3.7452707038653193E-4</v>
      </c>
      <c r="BK64">
        <f t="shared" si="34"/>
        <v>3.7452707038653193E-4</v>
      </c>
      <c r="BM64">
        <f t="shared" ref="BM64:BM93" si="35">+E64*2</f>
        <v>3.7452707038653193E-4</v>
      </c>
      <c r="BN64">
        <f>+E64*2</f>
        <v>3.7452707038653193E-4</v>
      </c>
      <c r="BO64">
        <f>+E64</f>
        <v>1.8726353519326597E-4</v>
      </c>
      <c r="CV64">
        <v>0</v>
      </c>
      <c r="CW64" s="2" t="s">
        <v>57</v>
      </c>
      <c r="CY64">
        <f t="shared" si="33"/>
        <v>2.9962165630922559E-3</v>
      </c>
    </row>
    <row r="65" spans="2:103" x14ac:dyDescent="0.25">
      <c r="B65">
        <f>Primary!CV65</f>
        <v>1.596191748969423E-3</v>
      </c>
      <c r="C65">
        <v>1</v>
      </c>
      <c r="D65">
        <f t="shared" si="7"/>
        <v>5.8823529411764705E-2</v>
      </c>
      <c r="E65">
        <f t="shared" si="10"/>
        <v>9.3893632292318998E-5</v>
      </c>
      <c r="F65" s="1">
        <v>23</v>
      </c>
      <c r="G65" s="3" t="s">
        <v>58</v>
      </c>
      <c r="L65">
        <f t="shared" si="24"/>
        <v>9.3893632292318998E-5</v>
      </c>
      <c r="N65">
        <f t="shared" si="29"/>
        <v>1.87787264584638E-4</v>
      </c>
      <c r="Q65">
        <f t="shared" si="18"/>
        <v>1.87787264584638E-4</v>
      </c>
      <c r="V65">
        <f t="shared" si="19"/>
        <v>1.87787264584638E-4</v>
      </c>
      <c r="Z65">
        <f t="shared" si="20"/>
        <v>1.87787264584638E-4</v>
      </c>
      <c r="AE65">
        <f t="shared" si="21"/>
        <v>1.87787264584638E-4</v>
      </c>
      <c r="AJ65">
        <f t="shared" si="22"/>
        <v>1.87787264584638E-4</v>
      </c>
      <c r="AO65">
        <f t="shared" si="25"/>
        <v>1.87787264584638E-4</v>
      </c>
      <c r="AT65">
        <f t="shared" si="26"/>
        <v>1.87787264584638E-4</v>
      </c>
      <c r="AY65">
        <f t="shared" si="27"/>
        <v>1.87787264584638E-4</v>
      </c>
      <c r="BE65">
        <f t="shared" si="28"/>
        <v>1.87787264584638E-4</v>
      </c>
      <c r="BG65">
        <f t="shared" si="31"/>
        <v>1.87787264584638E-4</v>
      </c>
      <c r="BI65">
        <f t="shared" si="32"/>
        <v>1.87787264584638E-4</v>
      </c>
      <c r="BK65">
        <f t="shared" si="34"/>
        <v>1.87787264584638E-4</v>
      </c>
      <c r="BM65">
        <f t="shared" si="35"/>
        <v>1.87787264584638E-4</v>
      </c>
      <c r="BN65">
        <f t="shared" ref="BN65:BN93" si="36">+E65*2</f>
        <v>1.87787264584638E-4</v>
      </c>
      <c r="BO65">
        <f>+E65*2</f>
        <v>1.87787264584638E-4</v>
      </c>
      <c r="BP65">
        <f>+E65</f>
        <v>9.3893632292318998E-5</v>
      </c>
      <c r="CV65">
        <v>0</v>
      </c>
      <c r="CW65" s="3" t="s">
        <v>58</v>
      </c>
      <c r="CY65">
        <f t="shared" si="33"/>
        <v>1.5961917489694234E-3</v>
      </c>
    </row>
    <row r="66" spans="2:103" x14ac:dyDescent="0.25">
      <c r="B66">
        <f>Primary!CV66</f>
        <v>4.8615068201471898E-4</v>
      </c>
      <c r="C66">
        <v>1</v>
      </c>
      <c r="D66">
        <f t="shared" si="7"/>
        <v>5.5555555555555552E-2</v>
      </c>
      <c r="E66">
        <f t="shared" si="10"/>
        <v>2.7008371223039941E-5</v>
      </c>
      <c r="F66" s="1">
        <v>24</v>
      </c>
      <c r="G66" s="2" t="s">
        <v>59</v>
      </c>
      <c r="L66">
        <f t="shared" si="24"/>
        <v>2.7008371223039941E-5</v>
      </c>
      <c r="N66">
        <f t="shared" si="29"/>
        <v>5.4016742446079882E-5</v>
      </c>
      <c r="Q66">
        <f t="shared" si="18"/>
        <v>5.4016742446079882E-5</v>
      </c>
      <c r="V66">
        <f t="shared" si="19"/>
        <v>5.4016742446079882E-5</v>
      </c>
      <c r="Z66">
        <f t="shared" si="20"/>
        <v>5.4016742446079882E-5</v>
      </c>
      <c r="AE66">
        <f t="shared" si="21"/>
        <v>5.4016742446079882E-5</v>
      </c>
      <c r="AJ66">
        <f t="shared" si="22"/>
        <v>5.4016742446079882E-5</v>
      </c>
      <c r="AO66">
        <f t="shared" si="25"/>
        <v>5.4016742446079882E-5</v>
      </c>
      <c r="AT66">
        <f t="shared" si="26"/>
        <v>5.4016742446079882E-5</v>
      </c>
      <c r="AY66">
        <f t="shared" si="27"/>
        <v>5.4016742446079882E-5</v>
      </c>
      <c r="BE66">
        <f t="shared" si="28"/>
        <v>5.4016742446079882E-5</v>
      </c>
      <c r="BG66">
        <f t="shared" si="31"/>
        <v>5.4016742446079882E-5</v>
      </c>
      <c r="BI66">
        <f t="shared" si="32"/>
        <v>5.4016742446079882E-5</v>
      </c>
      <c r="BK66">
        <f t="shared" si="34"/>
        <v>5.4016742446079882E-5</v>
      </c>
      <c r="BM66">
        <f t="shared" si="35"/>
        <v>5.4016742446079882E-5</v>
      </c>
      <c r="BN66">
        <f>+E66*2</f>
        <v>5.4016742446079882E-5</v>
      </c>
      <c r="BO66">
        <f>+E66*2</f>
        <v>5.4016742446079882E-5</v>
      </c>
      <c r="BP66">
        <f>+E66*2</f>
        <v>5.4016742446079882E-5</v>
      </c>
      <c r="BQ66">
        <f>+E66</f>
        <v>2.7008371223039941E-5</v>
      </c>
      <c r="CV66">
        <v>0</v>
      </c>
      <c r="CW66" s="2" t="s">
        <v>59</v>
      </c>
      <c r="CY66">
        <f t="shared" si="33"/>
        <v>4.8615068201471909E-4</v>
      </c>
    </row>
    <row r="67" spans="2:103" x14ac:dyDescent="0.25">
      <c r="B67">
        <f>Primary!CV67</f>
        <v>0</v>
      </c>
      <c r="C67">
        <v>1</v>
      </c>
      <c r="D67">
        <f t="shared" si="7"/>
        <v>5.2631578947368418E-2</v>
      </c>
      <c r="E67">
        <f t="shared" si="10"/>
        <v>0</v>
      </c>
      <c r="F67" s="1">
        <v>25</v>
      </c>
      <c r="G67" s="3" t="s">
        <v>60</v>
      </c>
      <c r="L67">
        <f t="shared" si="24"/>
        <v>0</v>
      </c>
      <c r="N67">
        <f t="shared" si="29"/>
        <v>0</v>
      </c>
      <c r="Q67">
        <f t="shared" si="18"/>
        <v>0</v>
      </c>
      <c r="V67">
        <f t="shared" si="19"/>
        <v>0</v>
      </c>
      <c r="Z67">
        <f t="shared" si="20"/>
        <v>0</v>
      </c>
      <c r="AE67">
        <f t="shared" si="21"/>
        <v>0</v>
      </c>
      <c r="AJ67">
        <f t="shared" si="22"/>
        <v>0</v>
      </c>
      <c r="AO67">
        <f t="shared" si="25"/>
        <v>0</v>
      </c>
      <c r="AT67">
        <f t="shared" si="26"/>
        <v>0</v>
      </c>
      <c r="AY67">
        <f t="shared" si="27"/>
        <v>0</v>
      </c>
      <c r="BE67">
        <f t="shared" si="28"/>
        <v>0</v>
      </c>
      <c r="BG67">
        <f t="shared" si="31"/>
        <v>0</v>
      </c>
      <c r="BI67">
        <f t="shared" si="32"/>
        <v>0</v>
      </c>
      <c r="BK67">
        <f t="shared" si="34"/>
        <v>0</v>
      </c>
      <c r="BM67">
        <f t="shared" si="35"/>
        <v>0</v>
      </c>
      <c r="BN67">
        <f t="shared" si="36"/>
        <v>0</v>
      </c>
      <c r="BO67">
        <f>+E67*2</f>
        <v>0</v>
      </c>
      <c r="BP67">
        <f>+E67*2</f>
        <v>0</v>
      </c>
      <c r="BQ67">
        <f>+E67*2</f>
        <v>0</v>
      </c>
      <c r="BR67">
        <f>+E67</f>
        <v>0</v>
      </c>
      <c r="CV67">
        <v>0</v>
      </c>
      <c r="CW67" s="3" t="s">
        <v>60</v>
      </c>
      <c r="CY67">
        <f t="shared" si="33"/>
        <v>0</v>
      </c>
    </row>
    <row r="68" spans="2:103" x14ac:dyDescent="0.25">
      <c r="B68">
        <f>Primary!CV68</f>
        <v>0</v>
      </c>
      <c r="C68">
        <v>1</v>
      </c>
      <c r="D68">
        <f t="shared" si="7"/>
        <v>0.05</v>
      </c>
      <c r="E68">
        <f t="shared" si="10"/>
        <v>0</v>
      </c>
      <c r="F68" s="1">
        <v>26</v>
      </c>
      <c r="G68" s="2" t="s">
        <v>61</v>
      </c>
      <c r="L68">
        <f t="shared" si="24"/>
        <v>0</v>
      </c>
      <c r="N68">
        <f t="shared" si="29"/>
        <v>0</v>
      </c>
      <c r="Q68">
        <f t="shared" si="18"/>
        <v>0</v>
      </c>
      <c r="V68">
        <f t="shared" si="19"/>
        <v>0</v>
      </c>
      <c r="Z68">
        <f t="shared" si="20"/>
        <v>0</v>
      </c>
      <c r="AE68">
        <f t="shared" si="21"/>
        <v>0</v>
      </c>
      <c r="AJ68">
        <f t="shared" si="22"/>
        <v>0</v>
      </c>
      <c r="AO68">
        <f t="shared" si="25"/>
        <v>0</v>
      </c>
      <c r="AT68">
        <f t="shared" si="26"/>
        <v>0</v>
      </c>
      <c r="AY68">
        <f t="shared" si="27"/>
        <v>0</v>
      </c>
      <c r="BE68">
        <f t="shared" si="28"/>
        <v>0</v>
      </c>
      <c r="BG68">
        <f t="shared" si="31"/>
        <v>0</v>
      </c>
      <c r="BI68">
        <f t="shared" si="32"/>
        <v>0</v>
      </c>
      <c r="BK68">
        <f t="shared" si="34"/>
        <v>0</v>
      </c>
      <c r="BM68">
        <f t="shared" si="35"/>
        <v>0</v>
      </c>
      <c r="BN68">
        <f t="shared" si="36"/>
        <v>0</v>
      </c>
      <c r="BO68">
        <f>+E68*2</f>
        <v>0</v>
      </c>
      <c r="BP68">
        <f>+E68*2</f>
        <v>0</v>
      </c>
      <c r="BQ68">
        <f>+E68*2</f>
        <v>0</v>
      </c>
      <c r="BR68">
        <f>+E68*2</f>
        <v>0</v>
      </c>
      <c r="BS68">
        <f>+E68</f>
        <v>0</v>
      </c>
      <c r="CV68">
        <v>0</v>
      </c>
      <c r="CW68" s="2" t="s">
        <v>61</v>
      </c>
      <c r="CY68">
        <f t="shared" si="33"/>
        <v>0</v>
      </c>
    </row>
    <row r="69" spans="2:103" x14ac:dyDescent="0.25">
      <c r="B69">
        <f>Primary!CV69</f>
        <v>0</v>
      </c>
      <c r="C69">
        <v>1</v>
      </c>
      <c r="D69">
        <f t="shared" si="7"/>
        <v>4.7619047619047616E-2</v>
      </c>
      <c r="E69">
        <f t="shared" si="10"/>
        <v>0</v>
      </c>
      <c r="F69" s="1">
        <v>27</v>
      </c>
      <c r="G69" s="3" t="s">
        <v>62</v>
      </c>
      <c r="L69">
        <f t="shared" si="24"/>
        <v>0</v>
      </c>
      <c r="N69">
        <f t="shared" si="29"/>
        <v>0</v>
      </c>
      <c r="Q69">
        <f t="shared" si="18"/>
        <v>0</v>
      </c>
      <c r="V69">
        <f t="shared" si="19"/>
        <v>0</v>
      </c>
      <c r="Z69">
        <f t="shared" si="20"/>
        <v>0</v>
      </c>
      <c r="AE69">
        <f t="shared" si="21"/>
        <v>0</v>
      </c>
      <c r="AJ69">
        <f t="shared" si="22"/>
        <v>0</v>
      </c>
      <c r="AO69">
        <f t="shared" si="25"/>
        <v>0</v>
      </c>
      <c r="AT69">
        <f t="shared" si="26"/>
        <v>0</v>
      </c>
      <c r="AY69">
        <f t="shared" si="27"/>
        <v>0</v>
      </c>
      <c r="BE69">
        <f t="shared" si="28"/>
        <v>0</v>
      </c>
      <c r="BG69">
        <f t="shared" si="31"/>
        <v>0</v>
      </c>
      <c r="BI69">
        <f t="shared" si="32"/>
        <v>0</v>
      </c>
      <c r="BK69">
        <f t="shared" si="34"/>
        <v>0</v>
      </c>
      <c r="BM69">
        <f t="shared" si="35"/>
        <v>0</v>
      </c>
      <c r="BN69">
        <f t="shared" si="36"/>
        <v>0</v>
      </c>
      <c r="BO69">
        <f>+E69*2</f>
        <v>0</v>
      </c>
      <c r="BP69">
        <f>+E69*2</f>
        <v>0</v>
      </c>
      <c r="BQ69">
        <f>+E69*2</f>
        <v>0</v>
      </c>
      <c r="BR69">
        <f>+E69*2</f>
        <v>0</v>
      </c>
      <c r="BS69">
        <f>+E69*2</f>
        <v>0</v>
      </c>
      <c r="BT69">
        <f>+E69</f>
        <v>0</v>
      </c>
      <c r="CV69">
        <v>0</v>
      </c>
      <c r="CW69" s="3" t="s">
        <v>62</v>
      </c>
      <c r="CY69">
        <f t="shared" si="33"/>
        <v>0</v>
      </c>
    </row>
    <row r="70" spans="2:103" x14ac:dyDescent="0.25">
      <c r="B70">
        <f>Primary!CV70</f>
        <v>0</v>
      </c>
      <c r="C70">
        <v>1</v>
      </c>
      <c r="D70">
        <f t="shared" si="7"/>
        <v>4.5454545454545456E-2</v>
      </c>
      <c r="E70">
        <f t="shared" si="10"/>
        <v>0</v>
      </c>
      <c r="F70" s="1">
        <v>28</v>
      </c>
      <c r="G70" s="2" t="s">
        <v>63</v>
      </c>
      <c r="L70">
        <f t="shared" si="24"/>
        <v>0</v>
      </c>
      <c r="N70">
        <f t="shared" si="29"/>
        <v>0</v>
      </c>
      <c r="Q70">
        <f t="shared" si="18"/>
        <v>0</v>
      </c>
      <c r="V70">
        <f t="shared" si="19"/>
        <v>0</v>
      </c>
      <c r="Z70">
        <f t="shared" si="20"/>
        <v>0</v>
      </c>
      <c r="AE70">
        <f t="shared" si="21"/>
        <v>0</v>
      </c>
      <c r="AJ70">
        <f t="shared" si="22"/>
        <v>0</v>
      </c>
      <c r="AO70">
        <f t="shared" si="25"/>
        <v>0</v>
      </c>
      <c r="AT70">
        <f t="shared" si="26"/>
        <v>0</v>
      </c>
      <c r="AY70">
        <f t="shared" si="27"/>
        <v>0</v>
      </c>
      <c r="BE70">
        <f t="shared" si="28"/>
        <v>0</v>
      </c>
      <c r="BG70">
        <f t="shared" si="31"/>
        <v>0</v>
      </c>
      <c r="BI70">
        <f t="shared" si="32"/>
        <v>0</v>
      </c>
      <c r="BK70">
        <f t="shared" si="34"/>
        <v>0</v>
      </c>
      <c r="BM70">
        <f t="shared" si="35"/>
        <v>0</v>
      </c>
      <c r="BN70">
        <f t="shared" si="36"/>
        <v>0</v>
      </c>
      <c r="BO70">
        <f t="shared" ref="BO70:BO93" si="37">+E70*2</f>
        <v>0</v>
      </c>
      <c r="BP70">
        <f t="shared" ref="BP70:BP93" si="38">+E70*2</f>
        <v>0</v>
      </c>
      <c r="BQ70">
        <f t="shared" ref="BQ70:BQ93" si="39">+E70*2</f>
        <v>0</v>
      </c>
      <c r="BR70">
        <f t="shared" ref="BR70:BR93" si="40">+E70*2</f>
        <v>0</v>
      </c>
      <c r="BS70">
        <f t="shared" ref="BS70:BS93" si="41">+E70*2</f>
        <v>0</v>
      </c>
      <c r="BT70">
        <f>+E70*2</f>
        <v>0</v>
      </c>
      <c r="BU70">
        <f>+E70</f>
        <v>0</v>
      </c>
      <c r="CV70">
        <v>0</v>
      </c>
      <c r="CW70" s="2" t="s">
        <v>63</v>
      </c>
      <c r="CY70">
        <f t="shared" si="33"/>
        <v>0</v>
      </c>
    </row>
    <row r="71" spans="2:103" x14ac:dyDescent="0.25">
      <c r="B71">
        <f>Primary!CV71</f>
        <v>0</v>
      </c>
      <c r="C71">
        <v>1</v>
      </c>
      <c r="D71">
        <f t="shared" si="7"/>
        <v>4.3478260869565216E-2</v>
      </c>
      <c r="E71">
        <f t="shared" si="10"/>
        <v>0</v>
      </c>
      <c r="F71" s="1">
        <v>29</v>
      </c>
      <c r="G71" s="3" t="s">
        <v>64</v>
      </c>
      <c r="L71">
        <f t="shared" si="24"/>
        <v>0</v>
      </c>
      <c r="N71">
        <f t="shared" si="29"/>
        <v>0</v>
      </c>
      <c r="Q71">
        <f t="shared" si="18"/>
        <v>0</v>
      </c>
      <c r="V71">
        <f t="shared" si="19"/>
        <v>0</v>
      </c>
      <c r="Z71">
        <f t="shared" si="20"/>
        <v>0</v>
      </c>
      <c r="AE71">
        <f t="shared" si="21"/>
        <v>0</v>
      </c>
      <c r="AJ71">
        <f t="shared" si="22"/>
        <v>0</v>
      </c>
      <c r="AO71">
        <f t="shared" si="25"/>
        <v>0</v>
      </c>
      <c r="AT71">
        <f t="shared" si="26"/>
        <v>0</v>
      </c>
      <c r="AY71">
        <f t="shared" si="27"/>
        <v>0</v>
      </c>
      <c r="BE71">
        <f t="shared" si="28"/>
        <v>0</v>
      </c>
      <c r="BG71">
        <f t="shared" si="31"/>
        <v>0</v>
      </c>
      <c r="BI71">
        <f t="shared" si="32"/>
        <v>0</v>
      </c>
      <c r="BK71">
        <f t="shared" si="34"/>
        <v>0</v>
      </c>
      <c r="BM71">
        <f t="shared" si="35"/>
        <v>0</v>
      </c>
      <c r="BN71">
        <f t="shared" si="36"/>
        <v>0</v>
      </c>
      <c r="BO71">
        <f t="shared" si="37"/>
        <v>0</v>
      </c>
      <c r="BP71">
        <f t="shared" si="38"/>
        <v>0</v>
      </c>
      <c r="BQ71">
        <f t="shared" si="39"/>
        <v>0</v>
      </c>
      <c r="BR71">
        <f t="shared" si="40"/>
        <v>0</v>
      </c>
      <c r="BS71">
        <f t="shared" si="41"/>
        <v>0</v>
      </c>
      <c r="BT71">
        <f t="shared" ref="BT71:BT93" si="42">+E71*2</f>
        <v>0</v>
      </c>
      <c r="BU71">
        <f>+E71</f>
        <v>0</v>
      </c>
      <c r="BV71">
        <f>+BU71/2</f>
        <v>0</v>
      </c>
      <c r="CV71">
        <v>0</v>
      </c>
      <c r="CW71" s="3" t="s">
        <v>64</v>
      </c>
      <c r="CY71">
        <f t="shared" si="33"/>
        <v>0</v>
      </c>
    </row>
    <row r="72" spans="2:103" x14ac:dyDescent="0.25">
      <c r="B72">
        <f>Primary!CV72</f>
        <v>0</v>
      </c>
      <c r="C72">
        <v>1</v>
      </c>
      <c r="D72">
        <f t="shared" si="7"/>
        <v>4.1666666666666664E-2</v>
      </c>
      <c r="E72">
        <f t="shared" si="10"/>
        <v>0</v>
      </c>
      <c r="F72" s="1">
        <v>30</v>
      </c>
      <c r="G72" s="2" t="s">
        <v>65</v>
      </c>
      <c r="L72">
        <f t="shared" si="24"/>
        <v>0</v>
      </c>
      <c r="N72">
        <f t="shared" si="29"/>
        <v>0</v>
      </c>
      <c r="Q72">
        <f t="shared" si="18"/>
        <v>0</v>
      </c>
      <c r="V72">
        <f t="shared" si="19"/>
        <v>0</v>
      </c>
      <c r="Z72">
        <f t="shared" si="20"/>
        <v>0</v>
      </c>
      <c r="AE72">
        <f t="shared" si="21"/>
        <v>0</v>
      </c>
      <c r="AJ72">
        <f t="shared" si="22"/>
        <v>0</v>
      </c>
      <c r="AO72">
        <f t="shared" si="25"/>
        <v>0</v>
      </c>
      <c r="AT72">
        <f t="shared" si="26"/>
        <v>0</v>
      </c>
      <c r="AY72">
        <f t="shared" si="27"/>
        <v>0</v>
      </c>
      <c r="BE72">
        <f t="shared" si="28"/>
        <v>0</v>
      </c>
      <c r="BG72">
        <f t="shared" si="31"/>
        <v>0</v>
      </c>
      <c r="BI72">
        <f t="shared" si="32"/>
        <v>0</v>
      </c>
      <c r="BK72">
        <f t="shared" si="34"/>
        <v>0</v>
      </c>
      <c r="BM72">
        <f t="shared" si="35"/>
        <v>0</v>
      </c>
      <c r="BN72">
        <f t="shared" si="36"/>
        <v>0</v>
      </c>
      <c r="BO72">
        <f t="shared" si="37"/>
        <v>0</v>
      </c>
      <c r="BP72">
        <f t="shared" si="38"/>
        <v>0</v>
      </c>
      <c r="BQ72">
        <f t="shared" si="39"/>
        <v>0</v>
      </c>
      <c r="BR72">
        <f t="shared" si="40"/>
        <v>0</v>
      </c>
      <c r="BS72">
        <f t="shared" si="41"/>
        <v>0</v>
      </c>
      <c r="BT72">
        <f t="shared" si="42"/>
        <v>0</v>
      </c>
      <c r="BU72">
        <f t="shared" ref="BU72:BU93" si="43">+E72</f>
        <v>0</v>
      </c>
      <c r="BV72">
        <f t="shared" ref="BV72:CK87" si="44">+BU72</f>
        <v>0</v>
      </c>
      <c r="BW72">
        <f>+BV72/2</f>
        <v>0</v>
      </c>
      <c r="CV72">
        <v>0</v>
      </c>
      <c r="CW72" s="2" t="s">
        <v>65</v>
      </c>
      <c r="CY72">
        <f t="shared" si="33"/>
        <v>0</v>
      </c>
    </row>
    <row r="73" spans="2:103" x14ac:dyDescent="0.25">
      <c r="B73">
        <f>Primary!CV73</f>
        <v>0</v>
      </c>
      <c r="C73">
        <v>1</v>
      </c>
      <c r="D73">
        <f t="shared" si="7"/>
        <v>0.04</v>
      </c>
      <c r="E73">
        <f t="shared" si="10"/>
        <v>0</v>
      </c>
      <c r="F73" s="1">
        <v>31</v>
      </c>
      <c r="G73" s="3" t="s">
        <v>66</v>
      </c>
      <c r="L73">
        <f t="shared" si="24"/>
        <v>0</v>
      </c>
      <c r="N73">
        <f t="shared" si="29"/>
        <v>0</v>
      </c>
      <c r="Q73">
        <f t="shared" si="18"/>
        <v>0</v>
      </c>
      <c r="V73">
        <f t="shared" si="19"/>
        <v>0</v>
      </c>
      <c r="Z73">
        <f t="shared" si="20"/>
        <v>0</v>
      </c>
      <c r="AE73">
        <f t="shared" si="21"/>
        <v>0</v>
      </c>
      <c r="AJ73">
        <f t="shared" si="22"/>
        <v>0</v>
      </c>
      <c r="AO73">
        <f t="shared" si="25"/>
        <v>0</v>
      </c>
      <c r="AT73">
        <f t="shared" si="26"/>
        <v>0</v>
      </c>
      <c r="AY73">
        <f t="shared" si="27"/>
        <v>0</v>
      </c>
      <c r="BE73">
        <f t="shared" si="28"/>
        <v>0</v>
      </c>
      <c r="BG73">
        <f t="shared" si="31"/>
        <v>0</v>
      </c>
      <c r="BI73">
        <f t="shared" si="32"/>
        <v>0</v>
      </c>
      <c r="BK73">
        <f t="shared" si="34"/>
        <v>0</v>
      </c>
      <c r="BM73">
        <f t="shared" si="35"/>
        <v>0</v>
      </c>
      <c r="BN73">
        <f t="shared" si="36"/>
        <v>0</v>
      </c>
      <c r="BO73">
        <f t="shared" si="37"/>
        <v>0</v>
      </c>
      <c r="BP73">
        <f t="shared" si="38"/>
        <v>0</v>
      </c>
      <c r="BQ73">
        <f t="shared" si="39"/>
        <v>0</v>
      </c>
      <c r="BR73">
        <f t="shared" si="40"/>
        <v>0</v>
      </c>
      <c r="BS73">
        <f t="shared" si="41"/>
        <v>0</v>
      </c>
      <c r="BT73">
        <f t="shared" si="42"/>
        <v>0</v>
      </c>
      <c r="BU73">
        <f t="shared" si="43"/>
        <v>0</v>
      </c>
      <c r="BV73">
        <f t="shared" si="44"/>
        <v>0</v>
      </c>
      <c r="BW73">
        <f t="shared" si="44"/>
        <v>0</v>
      </c>
      <c r="BX73">
        <f>+BW73/2</f>
        <v>0</v>
      </c>
      <c r="CV73">
        <v>0</v>
      </c>
      <c r="CW73" s="3" t="s">
        <v>66</v>
      </c>
      <c r="CY73">
        <f t="shared" si="33"/>
        <v>0</v>
      </c>
    </row>
    <row r="74" spans="2:103" x14ac:dyDescent="0.25">
      <c r="B74">
        <f>Primary!CV74</f>
        <v>0</v>
      </c>
      <c r="C74">
        <v>1</v>
      </c>
      <c r="D74">
        <f t="shared" si="7"/>
        <v>3.8461538461538464E-2</v>
      </c>
      <c r="E74">
        <f t="shared" si="10"/>
        <v>0</v>
      </c>
      <c r="F74" s="1">
        <v>32</v>
      </c>
      <c r="G74" s="2" t="s">
        <v>67</v>
      </c>
      <c r="L74">
        <f t="shared" si="24"/>
        <v>0</v>
      </c>
      <c r="N74">
        <f t="shared" si="29"/>
        <v>0</v>
      </c>
      <c r="Q74">
        <f t="shared" si="18"/>
        <v>0</v>
      </c>
      <c r="V74">
        <f t="shared" si="19"/>
        <v>0</v>
      </c>
      <c r="Z74">
        <f t="shared" si="20"/>
        <v>0</v>
      </c>
      <c r="AE74">
        <f t="shared" si="21"/>
        <v>0</v>
      </c>
      <c r="AJ74">
        <f t="shared" si="22"/>
        <v>0</v>
      </c>
      <c r="AO74">
        <f t="shared" si="25"/>
        <v>0</v>
      </c>
      <c r="AT74">
        <f t="shared" si="26"/>
        <v>0</v>
      </c>
      <c r="AY74">
        <f t="shared" si="27"/>
        <v>0</v>
      </c>
      <c r="BE74">
        <f t="shared" si="28"/>
        <v>0</v>
      </c>
      <c r="BG74">
        <f t="shared" si="31"/>
        <v>0</v>
      </c>
      <c r="BI74">
        <f t="shared" si="32"/>
        <v>0</v>
      </c>
      <c r="BK74">
        <f t="shared" si="34"/>
        <v>0</v>
      </c>
      <c r="BM74">
        <f t="shared" si="35"/>
        <v>0</v>
      </c>
      <c r="BN74">
        <f t="shared" si="36"/>
        <v>0</v>
      </c>
      <c r="BO74">
        <f t="shared" si="37"/>
        <v>0</v>
      </c>
      <c r="BP74">
        <f t="shared" si="38"/>
        <v>0</v>
      </c>
      <c r="BQ74">
        <f t="shared" si="39"/>
        <v>0</v>
      </c>
      <c r="BR74">
        <f t="shared" si="40"/>
        <v>0</v>
      </c>
      <c r="BS74">
        <f t="shared" si="41"/>
        <v>0</v>
      </c>
      <c r="BT74">
        <f t="shared" si="42"/>
        <v>0</v>
      </c>
      <c r="BU74">
        <f t="shared" si="43"/>
        <v>0</v>
      </c>
      <c r="BV74">
        <f t="shared" si="44"/>
        <v>0</v>
      </c>
      <c r="BW74">
        <f t="shared" si="44"/>
        <v>0</v>
      </c>
      <c r="BX74">
        <f t="shared" si="44"/>
        <v>0</v>
      </c>
      <c r="BY74">
        <f>+BX74/2</f>
        <v>0</v>
      </c>
      <c r="CV74">
        <v>0</v>
      </c>
      <c r="CW74" s="2" t="s">
        <v>67</v>
      </c>
      <c r="CY74">
        <f t="shared" si="33"/>
        <v>0</v>
      </c>
    </row>
    <row r="75" spans="2:103" x14ac:dyDescent="0.25">
      <c r="B75">
        <f>Primary!CV75</f>
        <v>0</v>
      </c>
      <c r="C75">
        <v>1</v>
      </c>
      <c r="D75">
        <f t="shared" si="7"/>
        <v>3.7037037037037035E-2</v>
      </c>
      <c r="E75">
        <f t="shared" si="10"/>
        <v>0</v>
      </c>
      <c r="F75" s="1">
        <v>33</v>
      </c>
      <c r="G75" s="3" t="s">
        <v>68</v>
      </c>
      <c r="L75">
        <f t="shared" si="24"/>
        <v>0</v>
      </c>
      <c r="N75">
        <f t="shared" si="29"/>
        <v>0</v>
      </c>
      <c r="Q75">
        <f t="shared" si="18"/>
        <v>0</v>
      </c>
      <c r="V75">
        <f t="shared" si="19"/>
        <v>0</v>
      </c>
      <c r="Z75">
        <f t="shared" si="20"/>
        <v>0</v>
      </c>
      <c r="AE75">
        <f t="shared" si="21"/>
        <v>0</v>
      </c>
      <c r="AJ75">
        <f t="shared" si="22"/>
        <v>0</v>
      </c>
      <c r="AO75">
        <f t="shared" si="25"/>
        <v>0</v>
      </c>
      <c r="AT75">
        <f t="shared" si="26"/>
        <v>0</v>
      </c>
      <c r="AY75">
        <f t="shared" si="27"/>
        <v>0</v>
      </c>
      <c r="BE75">
        <f t="shared" si="28"/>
        <v>0</v>
      </c>
      <c r="BG75">
        <f t="shared" si="31"/>
        <v>0</v>
      </c>
      <c r="BI75">
        <f t="shared" si="32"/>
        <v>0</v>
      </c>
      <c r="BK75">
        <f t="shared" si="34"/>
        <v>0</v>
      </c>
      <c r="BM75">
        <f t="shared" si="35"/>
        <v>0</v>
      </c>
      <c r="BN75">
        <f t="shared" si="36"/>
        <v>0</v>
      </c>
      <c r="BO75">
        <f t="shared" si="37"/>
        <v>0</v>
      </c>
      <c r="BP75">
        <f t="shared" si="38"/>
        <v>0</v>
      </c>
      <c r="BQ75">
        <f t="shared" si="39"/>
        <v>0</v>
      </c>
      <c r="BR75">
        <f t="shared" si="40"/>
        <v>0</v>
      </c>
      <c r="BS75">
        <f t="shared" si="41"/>
        <v>0</v>
      </c>
      <c r="BT75">
        <f t="shared" si="42"/>
        <v>0</v>
      </c>
      <c r="BU75">
        <f t="shared" si="43"/>
        <v>0</v>
      </c>
      <c r="BV75">
        <f t="shared" si="44"/>
        <v>0</v>
      </c>
      <c r="BW75">
        <f t="shared" si="44"/>
        <v>0</v>
      </c>
      <c r="BX75">
        <f t="shared" si="44"/>
        <v>0</v>
      </c>
      <c r="BY75">
        <f t="shared" si="44"/>
        <v>0</v>
      </c>
      <c r="BZ75">
        <f>+BY75/2</f>
        <v>0</v>
      </c>
      <c r="CV75">
        <v>0</v>
      </c>
      <c r="CW75" s="3" t="s">
        <v>68</v>
      </c>
      <c r="CY75">
        <f t="shared" si="33"/>
        <v>0</v>
      </c>
    </row>
    <row r="76" spans="2:103" x14ac:dyDescent="0.25">
      <c r="B76">
        <f>Primary!CV76</f>
        <v>0</v>
      </c>
      <c r="C76">
        <v>1</v>
      </c>
      <c r="D76">
        <f t="shared" si="7"/>
        <v>3.5714285714285712E-2</v>
      </c>
      <c r="E76">
        <f t="shared" si="10"/>
        <v>0</v>
      </c>
      <c r="F76" s="1">
        <v>34</v>
      </c>
      <c r="G76" s="2" t="s">
        <v>69</v>
      </c>
      <c r="L76">
        <f t="shared" si="24"/>
        <v>0</v>
      </c>
      <c r="N76">
        <f t="shared" si="29"/>
        <v>0</v>
      </c>
      <c r="Q76">
        <f t="shared" si="18"/>
        <v>0</v>
      </c>
      <c r="V76">
        <f t="shared" si="19"/>
        <v>0</v>
      </c>
      <c r="Z76">
        <f t="shared" si="20"/>
        <v>0</v>
      </c>
      <c r="AE76">
        <f t="shared" si="21"/>
        <v>0</v>
      </c>
      <c r="AJ76">
        <f t="shared" si="22"/>
        <v>0</v>
      </c>
      <c r="AO76">
        <f t="shared" si="25"/>
        <v>0</v>
      </c>
      <c r="AT76">
        <f t="shared" si="26"/>
        <v>0</v>
      </c>
      <c r="AY76">
        <f t="shared" si="27"/>
        <v>0</v>
      </c>
      <c r="BE76">
        <f t="shared" si="28"/>
        <v>0</v>
      </c>
      <c r="BG76">
        <f t="shared" si="31"/>
        <v>0</v>
      </c>
      <c r="BI76">
        <f t="shared" si="32"/>
        <v>0</v>
      </c>
      <c r="BK76">
        <f t="shared" si="34"/>
        <v>0</v>
      </c>
      <c r="BM76">
        <f t="shared" si="35"/>
        <v>0</v>
      </c>
      <c r="BN76">
        <f t="shared" si="36"/>
        <v>0</v>
      </c>
      <c r="BO76">
        <f t="shared" si="37"/>
        <v>0</v>
      </c>
      <c r="BP76">
        <f t="shared" si="38"/>
        <v>0</v>
      </c>
      <c r="BQ76">
        <f t="shared" si="39"/>
        <v>0</v>
      </c>
      <c r="BR76">
        <f t="shared" si="40"/>
        <v>0</v>
      </c>
      <c r="BS76">
        <f t="shared" si="41"/>
        <v>0</v>
      </c>
      <c r="BT76">
        <f t="shared" si="42"/>
        <v>0</v>
      </c>
      <c r="BU76">
        <f t="shared" si="43"/>
        <v>0</v>
      </c>
      <c r="BV76">
        <f t="shared" si="44"/>
        <v>0</v>
      </c>
      <c r="BW76">
        <f t="shared" si="44"/>
        <v>0</v>
      </c>
      <c r="BX76">
        <f t="shared" si="44"/>
        <v>0</v>
      </c>
      <c r="BY76">
        <f t="shared" si="44"/>
        <v>0</v>
      </c>
      <c r="BZ76">
        <f t="shared" si="44"/>
        <v>0</v>
      </c>
      <c r="CA76">
        <f>+BZ76/2</f>
        <v>0</v>
      </c>
      <c r="CV76">
        <v>0</v>
      </c>
      <c r="CW76" s="2" t="s">
        <v>69</v>
      </c>
      <c r="CY76">
        <f t="shared" si="33"/>
        <v>0</v>
      </c>
    </row>
    <row r="77" spans="2:103" x14ac:dyDescent="0.25">
      <c r="B77">
        <f>Primary!CV77</f>
        <v>0</v>
      </c>
      <c r="C77">
        <v>1</v>
      </c>
      <c r="D77">
        <f t="shared" si="7"/>
        <v>3.4482758620689655E-2</v>
      </c>
      <c r="E77">
        <f t="shared" si="10"/>
        <v>0</v>
      </c>
      <c r="F77" s="1">
        <v>35</v>
      </c>
      <c r="G77" s="3" t="s">
        <v>70</v>
      </c>
      <c r="L77">
        <f t="shared" si="24"/>
        <v>0</v>
      </c>
      <c r="N77">
        <f t="shared" si="29"/>
        <v>0</v>
      </c>
      <c r="Q77">
        <f t="shared" si="18"/>
        <v>0</v>
      </c>
      <c r="V77">
        <f t="shared" si="19"/>
        <v>0</v>
      </c>
      <c r="Z77">
        <f t="shared" si="20"/>
        <v>0</v>
      </c>
      <c r="AE77">
        <f t="shared" si="21"/>
        <v>0</v>
      </c>
      <c r="AJ77">
        <f t="shared" si="22"/>
        <v>0</v>
      </c>
      <c r="AO77">
        <f t="shared" si="25"/>
        <v>0</v>
      </c>
      <c r="AT77">
        <f t="shared" si="26"/>
        <v>0</v>
      </c>
      <c r="AY77">
        <f t="shared" si="27"/>
        <v>0</v>
      </c>
      <c r="BE77">
        <f t="shared" si="28"/>
        <v>0</v>
      </c>
      <c r="BG77">
        <f t="shared" si="31"/>
        <v>0</v>
      </c>
      <c r="BI77">
        <f t="shared" si="32"/>
        <v>0</v>
      </c>
      <c r="BK77">
        <f t="shared" si="34"/>
        <v>0</v>
      </c>
      <c r="BM77">
        <f t="shared" si="35"/>
        <v>0</v>
      </c>
      <c r="BN77">
        <f t="shared" si="36"/>
        <v>0</v>
      </c>
      <c r="BO77">
        <f t="shared" si="37"/>
        <v>0</v>
      </c>
      <c r="BP77">
        <f t="shared" si="38"/>
        <v>0</v>
      </c>
      <c r="BQ77">
        <f t="shared" si="39"/>
        <v>0</v>
      </c>
      <c r="BR77">
        <f t="shared" si="40"/>
        <v>0</v>
      </c>
      <c r="BS77">
        <f t="shared" si="41"/>
        <v>0</v>
      </c>
      <c r="BT77">
        <f t="shared" si="42"/>
        <v>0</v>
      </c>
      <c r="BU77">
        <f t="shared" si="43"/>
        <v>0</v>
      </c>
      <c r="BV77">
        <f t="shared" si="44"/>
        <v>0</v>
      </c>
      <c r="BW77">
        <f t="shared" si="44"/>
        <v>0</v>
      </c>
      <c r="BX77">
        <f t="shared" si="44"/>
        <v>0</v>
      </c>
      <c r="BY77">
        <f t="shared" si="44"/>
        <v>0</v>
      </c>
      <c r="BZ77">
        <f t="shared" si="44"/>
        <v>0</v>
      </c>
      <c r="CA77">
        <f t="shared" si="44"/>
        <v>0</v>
      </c>
      <c r="CB77">
        <f>+CA77/2</f>
        <v>0</v>
      </c>
      <c r="CV77">
        <v>0</v>
      </c>
      <c r="CW77" s="3" t="s">
        <v>70</v>
      </c>
      <c r="CY77">
        <f t="shared" si="33"/>
        <v>0</v>
      </c>
    </row>
    <row r="78" spans="2:103" x14ac:dyDescent="0.25">
      <c r="B78">
        <f>Primary!CV78</f>
        <v>0</v>
      </c>
      <c r="C78">
        <v>1</v>
      </c>
      <c r="D78">
        <f t="shared" si="7"/>
        <v>3.3333333333333333E-2</v>
      </c>
      <c r="E78">
        <f t="shared" si="10"/>
        <v>0</v>
      </c>
      <c r="F78" s="1">
        <v>36</v>
      </c>
      <c r="G78" s="2" t="s">
        <v>71</v>
      </c>
      <c r="L78">
        <f t="shared" si="24"/>
        <v>0</v>
      </c>
      <c r="N78">
        <f t="shared" si="29"/>
        <v>0</v>
      </c>
      <c r="Q78">
        <f t="shared" si="18"/>
        <v>0</v>
      </c>
      <c r="V78">
        <f t="shared" si="19"/>
        <v>0</v>
      </c>
      <c r="Z78">
        <f t="shared" si="20"/>
        <v>0</v>
      </c>
      <c r="AE78">
        <f t="shared" si="21"/>
        <v>0</v>
      </c>
      <c r="AJ78">
        <f t="shared" si="22"/>
        <v>0</v>
      </c>
      <c r="AO78">
        <f t="shared" si="25"/>
        <v>0</v>
      </c>
      <c r="AT78">
        <f t="shared" si="26"/>
        <v>0</v>
      </c>
      <c r="AY78">
        <f t="shared" si="27"/>
        <v>0</v>
      </c>
      <c r="BE78">
        <f t="shared" si="28"/>
        <v>0</v>
      </c>
      <c r="BG78">
        <f t="shared" si="31"/>
        <v>0</v>
      </c>
      <c r="BI78">
        <f t="shared" si="32"/>
        <v>0</v>
      </c>
      <c r="BK78">
        <f t="shared" si="34"/>
        <v>0</v>
      </c>
      <c r="BM78">
        <f t="shared" si="35"/>
        <v>0</v>
      </c>
      <c r="BN78">
        <f t="shared" si="36"/>
        <v>0</v>
      </c>
      <c r="BO78">
        <f t="shared" si="37"/>
        <v>0</v>
      </c>
      <c r="BP78">
        <f t="shared" si="38"/>
        <v>0</v>
      </c>
      <c r="BQ78">
        <f t="shared" si="39"/>
        <v>0</v>
      </c>
      <c r="BR78">
        <f t="shared" si="40"/>
        <v>0</v>
      </c>
      <c r="BS78">
        <f t="shared" si="41"/>
        <v>0</v>
      </c>
      <c r="BT78">
        <f t="shared" si="42"/>
        <v>0</v>
      </c>
      <c r="BU78">
        <f t="shared" si="43"/>
        <v>0</v>
      </c>
      <c r="BV78">
        <f t="shared" si="44"/>
        <v>0</v>
      </c>
      <c r="BW78">
        <f t="shared" si="44"/>
        <v>0</v>
      </c>
      <c r="BX78">
        <f t="shared" si="44"/>
        <v>0</v>
      </c>
      <c r="BY78">
        <f t="shared" si="44"/>
        <v>0</v>
      </c>
      <c r="BZ78">
        <f t="shared" si="44"/>
        <v>0</v>
      </c>
      <c r="CA78">
        <f t="shared" si="44"/>
        <v>0</v>
      </c>
      <c r="CB78">
        <f t="shared" si="44"/>
        <v>0</v>
      </c>
      <c r="CC78">
        <f>+CB78/2</f>
        <v>0</v>
      </c>
      <c r="CV78">
        <v>0</v>
      </c>
      <c r="CW78" s="2" t="s">
        <v>71</v>
      </c>
      <c r="CY78">
        <f>SUM(L78:CS78)/2</f>
        <v>0</v>
      </c>
    </row>
    <row r="79" spans="2:103" x14ac:dyDescent="0.25">
      <c r="B79">
        <f>Primary!CV79</f>
        <v>0</v>
      </c>
      <c r="C79">
        <v>1</v>
      </c>
      <c r="D79">
        <f t="shared" si="7"/>
        <v>3.2258064516129031E-2</v>
      </c>
      <c r="E79">
        <f t="shared" si="10"/>
        <v>0</v>
      </c>
      <c r="F79" s="1">
        <v>37</v>
      </c>
      <c r="G79" s="3" t="s">
        <v>72</v>
      </c>
      <c r="L79">
        <f t="shared" si="24"/>
        <v>0</v>
      </c>
      <c r="N79">
        <f t="shared" si="29"/>
        <v>0</v>
      </c>
      <c r="Q79">
        <f t="shared" si="18"/>
        <v>0</v>
      </c>
      <c r="V79">
        <f t="shared" si="19"/>
        <v>0</v>
      </c>
      <c r="Z79">
        <f t="shared" si="20"/>
        <v>0</v>
      </c>
      <c r="AE79">
        <f t="shared" si="21"/>
        <v>0</v>
      </c>
      <c r="AJ79">
        <f t="shared" si="22"/>
        <v>0</v>
      </c>
      <c r="AO79">
        <f t="shared" si="25"/>
        <v>0</v>
      </c>
      <c r="AT79">
        <f t="shared" si="26"/>
        <v>0</v>
      </c>
      <c r="AY79">
        <f t="shared" si="27"/>
        <v>0</v>
      </c>
      <c r="BE79">
        <f t="shared" si="28"/>
        <v>0</v>
      </c>
      <c r="BG79">
        <f t="shared" si="31"/>
        <v>0</v>
      </c>
      <c r="BI79">
        <f t="shared" si="32"/>
        <v>0</v>
      </c>
      <c r="BK79">
        <f t="shared" si="34"/>
        <v>0</v>
      </c>
      <c r="BM79">
        <f t="shared" si="35"/>
        <v>0</v>
      </c>
      <c r="BN79">
        <f t="shared" si="36"/>
        <v>0</v>
      </c>
      <c r="BO79">
        <f t="shared" si="37"/>
        <v>0</v>
      </c>
      <c r="BP79">
        <f t="shared" si="38"/>
        <v>0</v>
      </c>
      <c r="BQ79">
        <f t="shared" si="39"/>
        <v>0</v>
      </c>
      <c r="BR79">
        <f t="shared" si="40"/>
        <v>0</v>
      </c>
      <c r="BS79">
        <f t="shared" si="41"/>
        <v>0</v>
      </c>
      <c r="BT79">
        <f t="shared" si="42"/>
        <v>0</v>
      </c>
      <c r="BU79">
        <f t="shared" si="43"/>
        <v>0</v>
      </c>
      <c r="BV79">
        <f t="shared" si="44"/>
        <v>0</v>
      </c>
      <c r="BW79">
        <f t="shared" si="44"/>
        <v>0</v>
      </c>
      <c r="BX79">
        <f t="shared" si="44"/>
        <v>0</v>
      </c>
      <c r="BY79">
        <f t="shared" si="44"/>
        <v>0</v>
      </c>
      <c r="BZ79">
        <f t="shared" si="44"/>
        <v>0</v>
      </c>
      <c r="CA79">
        <f t="shared" si="44"/>
        <v>0</v>
      </c>
      <c r="CB79">
        <f t="shared" si="44"/>
        <v>0</v>
      </c>
      <c r="CC79">
        <f t="shared" si="44"/>
        <v>0</v>
      </c>
      <c r="CD79">
        <f>+CC79/2</f>
        <v>0</v>
      </c>
      <c r="CV79">
        <v>0</v>
      </c>
      <c r="CW79" s="3" t="s">
        <v>72</v>
      </c>
      <c r="CY79">
        <f t="shared" ref="CY79:CY92" si="45">SUM(L79:CS79)/2</f>
        <v>0</v>
      </c>
    </row>
    <row r="80" spans="2:103" x14ac:dyDescent="0.25">
      <c r="B80">
        <f>Primary!CV80</f>
        <v>0</v>
      </c>
      <c r="C80">
        <v>1</v>
      </c>
      <c r="D80">
        <f t="shared" si="7"/>
        <v>3.125E-2</v>
      </c>
      <c r="E80">
        <f t="shared" si="10"/>
        <v>0</v>
      </c>
      <c r="F80" s="1">
        <v>38</v>
      </c>
      <c r="G80" s="2" t="s">
        <v>73</v>
      </c>
      <c r="L80">
        <f t="shared" si="24"/>
        <v>0</v>
      </c>
      <c r="N80">
        <f t="shared" si="29"/>
        <v>0</v>
      </c>
      <c r="Q80">
        <f t="shared" si="18"/>
        <v>0</v>
      </c>
      <c r="V80">
        <f t="shared" si="19"/>
        <v>0</v>
      </c>
      <c r="Z80">
        <f t="shared" si="20"/>
        <v>0</v>
      </c>
      <c r="AE80">
        <f t="shared" si="21"/>
        <v>0</v>
      </c>
      <c r="AJ80">
        <f t="shared" si="22"/>
        <v>0</v>
      </c>
      <c r="AO80">
        <f t="shared" si="25"/>
        <v>0</v>
      </c>
      <c r="AT80">
        <f t="shared" si="26"/>
        <v>0</v>
      </c>
      <c r="AY80">
        <f t="shared" si="27"/>
        <v>0</v>
      </c>
      <c r="BE80">
        <f t="shared" si="28"/>
        <v>0</v>
      </c>
      <c r="BG80">
        <f t="shared" si="31"/>
        <v>0</v>
      </c>
      <c r="BI80">
        <f t="shared" si="32"/>
        <v>0</v>
      </c>
      <c r="BK80">
        <f t="shared" si="34"/>
        <v>0</v>
      </c>
      <c r="BM80">
        <f t="shared" si="35"/>
        <v>0</v>
      </c>
      <c r="BN80">
        <f t="shared" si="36"/>
        <v>0</v>
      </c>
      <c r="BO80">
        <f t="shared" si="37"/>
        <v>0</v>
      </c>
      <c r="BP80">
        <f t="shared" si="38"/>
        <v>0</v>
      </c>
      <c r="BQ80">
        <f t="shared" si="39"/>
        <v>0</v>
      </c>
      <c r="BR80">
        <f t="shared" si="40"/>
        <v>0</v>
      </c>
      <c r="BS80">
        <f t="shared" si="41"/>
        <v>0</v>
      </c>
      <c r="BT80">
        <f t="shared" si="42"/>
        <v>0</v>
      </c>
      <c r="BU80">
        <f t="shared" si="43"/>
        <v>0</v>
      </c>
      <c r="BV80">
        <f t="shared" si="44"/>
        <v>0</v>
      </c>
      <c r="BW80">
        <f t="shared" si="44"/>
        <v>0</v>
      </c>
      <c r="BX80">
        <f t="shared" si="44"/>
        <v>0</v>
      </c>
      <c r="BY80">
        <f t="shared" si="44"/>
        <v>0</v>
      </c>
      <c r="BZ80">
        <f t="shared" si="44"/>
        <v>0</v>
      </c>
      <c r="CA80">
        <f t="shared" si="44"/>
        <v>0</v>
      </c>
      <c r="CB80">
        <f t="shared" si="44"/>
        <v>0</v>
      </c>
      <c r="CC80">
        <f t="shared" si="44"/>
        <v>0</v>
      </c>
      <c r="CD80">
        <f t="shared" si="44"/>
        <v>0</v>
      </c>
      <c r="CE80">
        <f>+CD80/2</f>
        <v>0</v>
      </c>
      <c r="CV80">
        <v>0</v>
      </c>
      <c r="CW80" s="2" t="s">
        <v>73</v>
      </c>
      <c r="CY80">
        <f t="shared" si="45"/>
        <v>0</v>
      </c>
    </row>
    <row r="81" spans="2:103" x14ac:dyDescent="0.25">
      <c r="B81">
        <f>Primary!CV81</f>
        <v>0</v>
      </c>
      <c r="C81">
        <v>1</v>
      </c>
      <c r="D81">
        <f t="shared" si="7"/>
        <v>3.0303030303030304E-2</v>
      </c>
      <c r="E81">
        <f t="shared" si="10"/>
        <v>0</v>
      </c>
      <c r="F81" s="1">
        <v>39</v>
      </c>
      <c r="G81" s="3" t="s">
        <v>74</v>
      </c>
      <c r="L81">
        <f t="shared" si="24"/>
        <v>0</v>
      </c>
      <c r="N81">
        <f t="shared" si="29"/>
        <v>0</v>
      </c>
      <c r="Q81">
        <f t="shared" si="18"/>
        <v>0</v>
      </c>
      <c r="V81">
        <f t="shared" si="19"/>
        <v>0</v>
      </c>
      <c r="Z81">
        <f t="shared" si="20"/>
        <v>0</v>
      </c>
      <c r="AE81">
        <f t="shared" si="21"/>
        <v>0</v>
      </c>
      <c r="AJ81">
        <f t="shared" si="22"/>
        <v>0</v>
      </c>
      <c r="AO81">
        <f t="shared" si="25"/>
        <v>0</v>
      </c>
      <c r="AT81">
        <f t="shared" si="26"/>
        <v>0</v>
      </c>
      <c r="AY81">
        <f t="shared" si="27"/>
        <v>0</v>
      </c>
      <c r="BE81">
        <f t="shared" si="28"/>
        <v>0</v>
      </c>
      <c r="BG81">
        <f t="shared" si="31"/>
        <v>0</v>
      </c>
      <c r="BI81">
        <f t="shared" si="32"/>
        <v>0</v>
      </c>
      <c r="BK81">
        <f t="shared" si="34"/>
        <v>0</v>
      </c>
      <c r="BM81">
        <f t="shared" si="35"/>
        <v>0</v>
      </c>
      <c r="BN81">
        <f t="shared" si="36"/>
        <v>0</v>
      </c>
      <c r="BO81">
        <f t="shared" si="37"/>
        <v>0</v>
      </c>
      <c r="BP81">
        <f t="shared" si="38"/>
        <v>0</v>
      </c>
      <c r="BQ81">
        <f t="shared" si="39"/>
        <v>0</v>
      </c>
      <c r="BR81">
        <f t="shared" si="40"/>
        <v>0</v>
      </c>
      <c r="BS81">
        <f t="shared" si="41"/>
        <v>0</v>
      </c>
      <c r="BT81">
        <f t="shared" si="42"/>
        <v>0</v>
      </c>
      <c r="BU81">
        <f t="shared" si="43"/>
        <v>0</v>
      </c>
      <c r="BV81">
        <f t="shared" si="44"/>
        <v>0</v>
      </c>
      <c r="BW81">
        <f t="shared" si="44"/>
        <v>0</v>
      </c>
      <c r="BX81">
        <f t="shared" si="44"/>
        <v>0</v>
      </c>
      <c r="BY81">
        <f t="shared" si="44"/>
        <v>0</v>
      </c>
      <c r="BZ81">
        <f t="shared" si="44"/>
        <v>0</v>
      </c>
      <c r="CA81">
        <f t="shared" si="44"/>
        <v>0</v>
      </c>
      <c r="CB81">
        <f t="shared" si="44"/>
        <v>0</v>
      </c>
      <c r="CC81">
        <f t="shared" si="44"/>
        <v>0</v>
      </c>
      <c r="CD81">
        <f t="shared" si="44"/>
        <v>0</v>
      </c>
      <c r="CE81">
        <f t="shared" si="44"/>
        <v>0</v>
      </c>
      <c r="CF81">
        <f>+CE81/2</f>
        <v>0</v>
      </c>
      <c r="CV81">
        <v>0</v>
      </c>
      <c r="CW81" s="3" t="s">
        <v>74</v>
      </c>
      <c r="CY81">
        <f t="shared" si="45"/>
        <v>0</v>
      </c>
    </row>
    <row r="82" spans="2:103" x14ac:dyDescent="0.25">
      <c r="B82">
        <f>Primary!CV82</f>
        <v>0</v>
      </c>
      <c r="C82">
        <v>1</v>
      </c>
      <c r="D82">
        <f t="shared" si="7"/>
        <v>2.9411764705882353E-2</v>
      </c>
      <c r="E82">
        <f t="shared" si="10"/>
        <v>0</v>
      </c>
      <c r="F82" s="1">
        <v>40</v>
      </c>
      <c r="G82" s="2" t="s">
        <v>75</v>
      </c>
      <c r="L82">
        <f t="shared" si="24"/>
        <v>0</v>
      </c>
      <c r="N82">
        <f t="shared" si="29"/>
        <v>0</v>
      </c>
      <c r="Q82">
        <f t="shared" si="18"/>
        <v>0</v>
      </c>
      <c r="V82">
        <f t="shared" si="19"/>
        <v>0</v>
      </c>
      <c r="Z82">
        <f t="shared" si="20"/>
        <v>0</v>
      </c>
      <c r="AE82">
        <f t="shared" si="21"/>
        <v>0</v>
      </c>
      <c r="AJ82">
        <f t="shared" si="22"/>
        <v>0</v>
      </c>
      <c r="AO82">
        <f t="shared" si="25"/>
        <v>0</v>
      </c>
      <c r="AT82">
        <f t="shared" si="26"/>
        <v>0</v>
      </c>
      <c r="AY82">
        <f t="shared" si="27"/>
        <v>0</v>
      </c>
      <c r="BE82">
        <f t="shared" si="28"/>
        <v>0</v>
      </c>
      <c r="BG82">
        <f t="shared" si="31"/>
        <v>0</v>
      </c>
      <c r="BI82">
        <f t="shared" si="32"/>
        <v>0</v>
      </c>
      <c r="BK82">
        <f t="shared" si="34"/>
        <v>0</v>
      </c>
      <c r="BM82">
        <f t="shared" si="35"/>
        <v>0</v>
      </c>
      <c r="BN82">
        <f t="shared" si="36"/>
        <v>0</v>
      </c>
      <c r="BO82">
        <f t="shared" si="37"/>
        <v>0</v>
      </c>
      <c r="BP82">
        <f t="shared" si="38"/>
        <v>0</v>
      </c>
      <c r="BQ82">
        <f t="shared" si="39"/>
        <v>0</v>
      </c>
      <c r="BR82">
        <f t="shared" si="40"/>
        <v>0</v>
      </c>
      <c r="BS82">
        <f t="shared" si="41"/>
        <v>0</v>
      </c>
      <c r="BT82">
        <f t="shared" si="42"/>
        <v>0</v>
      </c>
      <c r="BU82">
        <f t="shared" si="43"/>
        <v>0</v>
      </c>
      <c r="BV82">
        <f t="shared" si="44"/>
        <v>0</v>
      </c>
      <c r="BW82">
        <f t="shared" si="44"/>
        <v>0</v>
      </c>
      <c r="BX82">
        <f t="shared" si="44"/>
        <v>0</v>
      </c>
      <c r="BY82">
        <f t="shared" si="44"/>
        <v>0</v>
      </c>
      <c r="BZ82">
        <f t="shared" si="44"/>
        <v>0</v>
      </c>
      <c r="CA82">
        <f t="shared" si="44"/>
        <v>0</v>
      </c>
      <c r="CB82">
        <f t="shared" si="44"/>
        <v>0</v>
      </c>
      <c r="CC82">
        <f t="shared" si="44"/>
        <v>0</v>
      </c>
      <c r="CD82">
        <f t="shared" si="44"/>
        <v>0</v>
      </c>
      <c r="CE82">
        <f t="shared" si="44"/>
        <v>0</v>
      </c>
      <c r="CF82">
        <f t="shared" si="44"/>
        <v>0</v>
      </c>
      <c r="CG82">
        <f>+CF82/2</f>
        <v>0</v>
      </c>
      <c r="CV82">
        <v>0</v>
      </c>
      <c r="CW82" s="2" t="s">
        <v>75</v>
      </c>
      <c r="CY82">
        <f t="shared" si="45"/>
        <v>0</v>
      </c>
    </row>
    <row r="83" spans="2:103" x14ac:dyDescent="0.25">
      <c r="B83">
        <f>Primary!CV83</f>
        <v>0</v>
      </c>
      <c r="C83">
        <v>1</v>
      </c>
      <c r="D83">
        <f t="shared" si="7"/>
        <v>2.8571428571428571E-2</v>
      </c>
      <c r="E83">
        <f t="shared" si="10"/>
        <v>0</v>
      </c>
      <c r="F83" s="1">
        <v>41</v>
      </c>
      <c r="G83" s="3" t="s">
        <v>76</v>
      </c>
      <c r="L83">
        <f t="shared" si="24"/>
        <v>0</v>
      </c>
      <c r="N83">
        <f t="shared" si="29"/>
        <v>0</v>
      </c>
      <c r="Q83">
        <f t="shared" si="18"/>
        <v>0</v>
      </c>
      <c r="V83">
        <f t="shared" si="19"/>
        <v>0</v>
      </c>
      <c r="Z83">
        <f t="shared" si="20"/>
        <v>0</v>
      </c>
      <c r="AE83">
        <f t="shared" si="21"/>
        <v>0</v>
      </c>
      <c r="AJ83">
        <f t="shared" si="22"/>
        <v>0</v>
      </c>
      <c r="AO83">
        <f t="shared" si="25"/>
        <v>0</v>
      </c>
      <c r="AT83">
        <f t="shared" si="26"/>
        <v>0</v>
      </c>
      <c r="AY83">
        <f t="shared" si="27"/>
        <v>0</v>
      </c>
      <c r="BE83">
        <f t="shared" si="28"/>
        <v>0</v>
      </c>
      <c r="BG83">
        <f t="shared" si="31"/>
        <v>0</v>
      </c>
      <c r="BI83">
        <f t="shared" si="32"/>
        <v>0</v>
      </c>
      <c r="BK83">
        <f t="shared" si="34"/>
        <v>0</v>
      </c>
      <c r="BM83">
        <f t="shared" si="35"/>
        <v>0</v>
      </c>
      <c r="BN83">
        <f t="shared" si="36"/>
        <v>0</v>
      </c>
      <c r="BO83">
        <f t="shared" si="37"/>
        <v>0</v>
      </c>
      <c r="BP83">
        <f t="shared" si="38"/>
        <v>0</v>
      </c>
      <c r="BQ83">
        <f t="shared" si="39"/>
        <v>0</v>
      </c>
      <c r="BR83">
        <f t="shared" si="40"/>
        <v>0</v>
      </c>
      <c r="BS83">
        <f t="shared" si="41"/>
        <v>0</v>
      </c>
      <c r="BT83">
        <f t="shared" si="42"/>
        <v>0</v>
      </c>
      <c r="BU83">
        <f t="shared" si="43"/>
        <v>0</v>
      </c>
      <c r="BV83">
        <f t="shared" si="44"/>
        <v>0</v>
      </c>
      <c r="BW83">
        <f t="shared" si="44"/>
        <v>0</v>
      </c>
      <c r="BX83">
        <f t="shared" si="44"/>
        <v>0</v>
      </c>
      <c r="BY83">
        <f t="shared" si="44"/>
        <v>0</v>
      </c>
      <c r="BZ83">
        <f t="shared" si="44"/>
        <v>0</v>
      </c>
      <c r="CA83">
        <f t="shared" si="44"/>
        <v>0</v>
      </c>
      <c r="CB83">
        <f t="shared" si="44"/>
        <v>0</v>
      </c>
      <c r="CC83">
        <f t="shared" si="44"/>
        <v>0</v>
      </c>
      <c r="CD83">
        <f t="shared" si="44"/>
        <v>0</v>
      </c>
      <c r="CE83">
        <f t="shared" si="44"/>
        <v>0</v>
      </c>
      <c r="CF83">
        <f t="shared" si="44"/>
        <v>0</v>
      </c>
      <c r="CG83">
        <f t="shared" si="44"/>
        <v>0</v>
      </c>
      <c r="CH83">
        <f>+CG83/2</f>
        <v>0</v>
      </c>
      <c r="CV83">
        <v>0</v>
      </c>
      <c r="CW83" s="3" t="s">
        <v>76</v>
      </c>
      <c r="CY83">
        <f t="shared" si="45"/>
        <v>0</v>
      </c>
    </row>
    <row r="84" spans="2:103" x14ac:dyDescent="0.25">
      <c r="B84">
        <f>Primary!CV84</f>
        <v>0</v>
      </c>
      <c r="C84">
        <v>1</v>
      </c>
      <c r="D84">
        <f t="shared" si="7"/>
        <v>2.7777777777777776E-2</v>
      </c>
      <c r="E84">
        <f t="shared" si="10"/>
        <v>0</v>
      </c>
      <c r="F84" s="1">
        <v>42</v>
      </c>
      <c r="G84" s="2" t="s">
        <v>77</v>
      </c>
      <c r="L84">
        <f t="shared" si="24"/>
        <v>0</v>
      </c>
      <c r="N84">
        <f t="shared" si="29"/>
        <v>0</v>
      </c>
      <c r="Q84">
        <f t="shared" si="18"/>
        <v>0</v>
      </c>
      <c r="V84">
        <f t="shared" si="19"/>
        <v>0</v>
      </c>
      <c r="Z84">
        <f t="shared" si="20"/>
        <v>0</v>
      </c>
      <c r="AE84">
        <f t="shared" si="21"/>
        <v>0</v>
      </c>
      <c r="AJ84">
        <f t="shared" si="22"/>
        <v>0</v>
      </c>
      <c r="AO84">
        <f t="shared" si="25"/>
        <v>0</v>
      </c>
      <c r="AT84">
        <f t="shared" si="26"/>
        <v>0</v>
      </c>
      <c r="AY84">
        <f t="shared" si="27"/>
        <v>0</v>
      </c>
      <c r="BE84">
        <f t="shared" si="28"/>
        <v>0</v>
      </c>
      <c r="BG84">
        <f t="shared" si="31"/>
        <v>0</v>
      </c>
      <c r="BI84">
        <f t="shared" si="32"/>
        <v>0</v>
      </c>
      <c r="BK84">
        <f t="shared" si="34"/>
        <v>0</v>
      </c>
      <c r="BM84">
        <f t="shared" si="35"/>
        <v>0</v>
      </c>
      <c r="BN84">
        <f t="shared" si="36"/>
        <v>0</v>
      </c>
      <c r="BO84">
        <f t="shared" si="37"/>
        <v>0</v>
      </c>
      <c r="BP84">
        <f t="shared" si="38"/>
        <v>0</v>
      </c>
      <c r="BQ84">
        <f t="shared" si="39"/>
        <v>0</v>
      </c>
      <c r="BR84">
        <f t="shared" si="40"/>
        <v>0</v>
      </c>
      <c r="BS84">
        <f t="shared" si="41"/>
        <v>0</v>
      </c>
      <c r="BT84">
        <f t="shared" si="42"/>
        <v>0</v>
      </c>
      <c r="BU84">
        <f t="shared" si="43"/>
        <v>0</v>
      </c>
      <c r="BV84">
        <f t="shared" si="44"/>
        <v>0</v>
      </c>
      <c r="BW84">
        <f t="shared" si="44"/>
        <v>0</v>
      </c>
      <c r="BX84">
        <f t="shared" si="44"/>
        <v>0</v>
      </c>
      <c r="BY84">
        <f t="shared" si="44"/>
        <v>0</v>
      </c>
      <c r="BZ84">
        <f t="shared" si="44"/>
        <v>0</v>
      </c>
      <c r="CA84">
        <f t="shared" si="44"/>
        <v>0</v>
      </c>
      <c r="CB84">
        <f t="shared" si="44"/>
        <v>0</v>
      </c>
      <c r="CC84">
        <f t="shared" si="44"/>
        <v>0</v>
      </c>
      <c r="CD84">
        <f t="shared" si="44"/>
        <v>0</v>
      </c>
      <c r="CE84">
        <f t="shared" si="44"/>
        <v>0</v>
      </c>
      <c r="CF84">
        <f t="shared" si="44"/>
        <v>0</v>
      </c>
      <c r="CG84">
        <f t="shared" si="44"/>
        <v>0</v>
      </c>
      <c r="CH84">
        <f t="shared" si="44"/>
        <v>0</v>
      </c>
      <c r="CI84">
        <f>+CH84/2</f>
        <v>0</v>
      </c>
      <c r="CV84">
        <v>0</v>
      </c>
      <c r="CW84" s="2" t="s">
        <v>77</v>
      </c>
      <c r="CY84">
        <f t="shared" si="45"/>
        <v>0</v>
      </c>
    </row>
    <row r="85" spans="2:103" x14ac:dyDescent="0.25">
      <c r="B85">
        <f>Primary!CV85</f>
        <v>0</v>
      </c>
      <c r="C85">
        <v>1</v>
      </c>
      <c r="D85">
        <f t="shared" si="7"/>
        <v>2.7027027027027029E-2</v>
      </c>
      <c r="E85">
        <f t="shared" si="10"/>
        <v>0</v>
      </c>
      <c r="F85" s="1">
        <v>43</v>
      </c>
      <c r="G85" s="3" t="s">
        <v>78</v>
      </c>
      <c r="L85">
        <f t="shared" si="24"/>
        <v>0</v>
      </c>
      <c r="N85">
        <f t="shared" si="29"/>
        <v>0</v>
      </c>
      <c r="Q85">
        <f t="shared" si="18"/>
        <v>0</v>
      </c>
      <c r="V85">
        <f t="shared" si="19"/>
        <v>0</v>
      </c>
      <c r="Z85">
        <f t="shared" si="20"/>
        <v>0</v>
      </c>
      <c r="AE85">
        <f t="shared" si="21"/>
        <v>0</v>
      </c>
      <c r="AJ85">
        <f t="shared" si="22"/>
        <v>0</v>
      </c>
      <c r="AO85">
        <f t="shared" si="25"/>
        <v>0</v>
      </c>
      <c r="AT85">
        <f t="shared" si="26"/>
        <v>0</v>
      </c>
      <c r="AY85">
        <f t="shared" si="27"/>
        <v>0</v>
      </c>
      <c r="BE85">
        <f t="shared" si="28"/>
        <v>0</v>
      </c>
      <c r="BG85">
        <f t="shared" si="31"/>
        <v>0</v>
      </c>
      <c r="BI85">
        <f t="shared" si="32"/>
        <v>0</v>
      </c>
      <c r="BK85">
        <f t="shared" si="34"/>
        <v>0</v>
      </c>
      <c r="BM85">
        <f t="shared" si="35"/>
        <v>0</v>
      </c>
      <c r="BN85">
        <f t="shared" si="36"/>
        <v>0</v>
      </c>
      <c r="BO85">
        <f t="shared" si="37"/>
        <v>0</v>
      </c>
      <c r="BP85">
        <f t="shared" si="38"/>
        <v>0</v>
      </c>
      <c r="BQ85">
        <f t="shared" si="39"/>
        <v>0</v>
      </c>
      <c r="BR85">
        <f t="shared" si="40"/>
        <v>0</v>
      </c>
      <c r="BS85">
        <f t="shared" si="41"/>
        <v>0</v>
      </c>
      <c r="BT85">
        <f t="shared" si="42"/>
        <v>0</v>
      </c>
      <c r="BU85">
        <f t="shared" si="43"/>
        <v>0</v>
      </c>
      <c r="BV85">
        <f t="shared" si="44"/>
        <v>0</v>
      </c>
      <c r="BW85">
        <f t="shared" si="44"/>
        <v>0</v>
      </c>
      <c r="BX85">
        <f t="shared" si="44"/>
        <v>0</v>
      </c>
      <c r="BY85">
        <f t="shared" si="44"/>
        <v>0</v>
      </c>
      <c r="BZ85">
        <f t="shared" si="44"/>
        <v>0</v>
      </c>
      <c r="CA85">
        <f t="shared" si="44"/>
        <v>0</v>
      </c>
      <c r="CB85">
        <f t="shared" si="44"/>
        <v>0</v>
      </c>
      <c r="CC85">
        <f t="shared" si="44"/>
        <v>0</v>
      </c>
      <c r="CD85">
        <f t="shared" si="44"/>
        <v>0</v>
      </c>
      <c r="CE85">
        <f t="shared" si="44"/>
        <v>0</v>
      </c>
      <c r="CF85">
        <f t="shared" si="44"/>
        <v>0</v>
      </c>
      <c r="CG85">
        <f t="shared" si="44"/>
        <v>0</v>
      </c>
      <c r="CH85">
        <f t="shared" si="44"/>
        <v>0</v>
      </c>
      <c r="CI85">
        <f t="shared" si="44"/>
        <v>0</v>
      </c>
      <c r="CJ85">
        <f>+CI85/2</f>
        <v>0</v>
      </c>
      <c r="CV85">
        <v>0</v>
      </c>
      <c r="CW85" s="3" t="s">
        <v>78</v>
      </c>
      <c r="CY85">
        <f t="shared" si="45"/>
        <v>0</v>
      </c>
    </row>
    <row r="86" spans="2:103" x14ac:dyDescent="0.25">
      <c r="B86">
        <f>Primary!CV86</f>
        <v>0</v>
      </c>
      <c r="C86">
        <v>1</v>
      </c>
      <c r="D86">
        <f t="shared" ref="D86:D94" si="46">1/(F86-6)*C86</f>
        <v>2.6315789473684209E-2</v>
      </c>
      <c r="E86">
        <f t="shared" si="10"/>
        <v>0</v>
      </c>
      <c r="F86" s="1">
        <v>44</v>
      </c>
      <c r="G86" s="2" t="s">
        <v>79</v>
      </c>
      <c r="L86">
        <f t="shared" si="24"/>
        <v>0</v>
      </c>
      <c r="N86">
        <f t="shared" si="29"/>
        <v>0</v>
      </c>
      <c r="Q86">
        <f t="shared" si="18"/>
        <v>0</v>
      </c>
      <c r="V86">
        <f t="shared" si="19"/>
        <v>0</v>
      </c>
      <c r="Z86">
        <f t="shared" si="20"/>
        <v>0</v>
      </c>
      <c r="AE86">
        <f t="shared" si="21"/>
        <v>0</v>
      </c>
      <c r="AJ86">
        <f t="shared" si="22"/>
        <v>0</v>
      </c>
      <c r="AO86">
        <f t="shared" si="25"/>
        <v>0</v>
      </c>
      <c r="AT86">
        <f t="shared" si="26"/>
        <v>0</v>
      </c>
      <c r="AY86">
        <f t="shared" si="27"/>
        <v>0</v>
      </c>
      <c r="BE86">
        <f t="shared" si="28"/>
        <v>0</v>
      </c>
      <c r="BG86">
        <f t="shared" si="31"/>
        <v>0</v>
      </c>
      <c r="BI86">
        <f t="shared" si="32"/>
        <v>0</v>
      </c>
      <c r="BK86">
        <f t="shared" si="34"/>
        <v>0</v>
      </c>
      <c r="BM86">
        <f t="shared" si="35"/>
        <v>0</v>
      </c>
      <c r="BN86">
        <f t="shared" si="36"/>
        <v>0</v>
      </c>
      <c r="BO86">
        <f t="shared" si="37"/>
        <v>0</v>
      </c>
      <c r="BP86">
        <f t="shared" si="38"/>
        <v>0</v>
      </c>
      <c r="BQ86">
        <f t="shared" si="39"/>
        <v>0</v>
      </c>
      <c r="BR86">
        <f t="shared" si="40"/>
        <v>0</v>
      </c>
      <c r="BS86">
        <f t="shared" si="41"/>
        <v>0</v>
      </c>
      <c r="BT86">
        <f t="shared" si="42"/>
        <v>0</v>
      </c>
      <c r="BU86">
        <f t="shared" si="43"/>
        <v>0</v>
      </c>
      <c r="BV86">
        <f t="shared" si="44"/>
        <v>0</v>
      </c>
      <c r="BW86">
        <f t="shared" si="44"/>
        <v>0</v>
      </c>
      <c r="BX86">
        <f t="shared" si="44"/>
        <v>0</v>
      </c>
      <c r="BY86">
        <f t="shared" si="44"/>
        <v>0</v>
      </c>
      <c r="BZ86">
        <f t="shared" si="44"/>
        <v>0</v>
      </c>
      <c r="CA86">
        <f t="shared" si="44"/>
        <v>0</v>
      </c>
      <c r="CB86">
        <f t="shared" si="44"/>
        <v>0</v>
      </c>
      <c r="CC86">
        <f t="shared" si="44"/>
        <v>0</v>
      </c>
      <c r="CD86">
        <f t="shared" si="44"/>
        <v>0</v>
      </c>
      <c r="CE86">
        <f t="shared" si="44"/>
        <v>0</v>
      </c>
      <c r="CF86">
        <f t="shared" si="44"/>
        <v>0</v>
      </c>
      <c r="CG86">
        <f t="shared" si="44"/>
        <v>0</v>
      </c>
      <c r="CH86">
        <f t="shared" si="44"/>
        <v>0</v>
      </c>
      <c r="CI86">
        <f t="shared" si="44"/>
        <v>0</v>
      </c>
      <c r="CJ86">
        <f t="shared" si="44"/>
        <v>0</v>
      </c>
      <c r="CK86">
        <f>+CJ86/2</f>
        <v>0</v>
      </c>
      <c r="CV86">
        <v>0</v>
      </c>
      <c r="CW86" s="2" t="s">
        <v>79</v>
      </c>
      <c r="CY86">
        <f t="shared" si="45"/>
        <v>0</v>
      </c>
    </row>
    <row r="87" spans="2:103" x14ac:dyDescent="0.25">
      <c r="B87">
        <f>Primary!CV87</f>
        <v>0</v>
      </c>
      <c r="C87">
        <v>1</v>
      </c>
      <c r="D87">
        <f t="shared" si="46"/>
        <v>2.564102564102564E-2</v>
      </c>
      <c r="E87">
        <f t="shared" si="10"/>
        <v>0</v>
      </c>
      <c r="F87" s="1">
        <v>45</v>
      </c>
      <c r="G87" s="3" t="s">
        <v>80</v>
      </c>
      <c r="L87">
        <f t="shared" si="24"/>
        <v>0</v>
      </c>
      <c r="N87">
        <f t="shared" si="29"/>
        <v>0</v>
      </c>
      <c r="Q87">
        <f t="shared" si="18"/>
        <v>0</v>
      </c>
      <c r="V87">
        <f t="shared" si="19"/>
        <v>0</v>
      </c>
      <c r="Z87">
        <f t="shared" si="20"/>
        <v>0</v>
      </c>
      <c r="AE87">
        <f t="shared" si="21"/>
        <v>0</v>
      </c>
      <c r="AJ87">
        <f t="shared" si="22"/>
        <v>0</v>
      </c>
      <c r="AO87">
        <f t="shared" si="25"/>
        <v>0</v>
      </c>
      <c r="AT87">
        <f t="shared" si="26"/>
        <v>0</v>
      </c>
      <c r="AY87">
        <f t="shared" si="27"/>
        <v>0</v>
      </c>
      <c r="BE87">
        <f t="shared" si="28"/>
        <v>0</v>
      </c>
      <c r="BG87">
        <f t="shared" si="31"/>
        <v>0</v>
      </c>
      <c r="BI87">
        <f t="shared" si="32"/>
        <v>0</v>
      </c>
      <c r="BK87">
        <f t="shared" si="34"/>
        <v>0</v>
      </c>
      <c r="BM87">
        <f t="shared" si="35"/>
        <v>0</v>
      </c>
      <c r="BN87">
        <f t="shared" si="36"/>
        <v>0</v>
      </c>
      <c r="BO87">
        <f t="shared" si="37"/>
        <v>0</v>
      </c>
      <c r="BP87">
        <f t="shared" si="38"/>
        <v>0</v>
      </c>
      <c r="BQ87">
        <f t="shared" si="39"/>
        <v>0</v>
      </c>
      <c r="BR87">
        <f t="shared" si="40"/>
        <v>0</v>
      </c>
      <c r="BS87">
        <f t="shared" si="41"/>
        <v>0</v>
      </c>
      <c r="BT87">
        <f t="shared" si="42"/>
        <v>0</v>
      </c>
      <c r="BU87">
        <f t="shared" si="43"/>
        <v>0</v>
      </c>
      <c r="BV87">
        <f t="shared" si="44"/>
        <v>0</v>
      </c>
      <c r="BW87">
        <f t="shared" si="44"/>
        <v>0</v>
      </c>
      <c r="BX87">
        <f t="shared" si="44"/>
        <v>0</v>
      </c>
      <c r="BY87">
        <f t="shared" si="44"/>
        <v>0</v>
      </c>
      <c r="BZ87">
        <f t="shared" si="44"/>
        <v>0</v>
      </c>
      <c r="CA87">
        <f t="shared" si="44"/>
        <v>0</v>
      </c>
      <c r="CB87">
        <f t="shared" si="44"/>
        <v>0</v>
      </c>
      <c r="CC87">
        <f t="shared" si="44"/>
        <v>0</v>
      </c>
      <c r="CD87">
        <f t="shared" si="44"/>
        <v>0</v>
      </c>
      <c r="CE87">
        <f t="shared" si="44"/>
        <v>0</v>
      </c>
      <c r="CF87">
        <f t="shared" si="44"/>
        <v>0</v>
      </c>
      <c r="CG87">
        <f t="shared" si="44"/>
        <v>0</v>
      </c>
      <c r="CH87">
        <f t="shared" si="44"/>
        <v>0</v>
      </c>
      <c r="CI87">
        <f t="shared" si="44"/>
        <v>0</v>
      </c>
      <c r="CJ87">
        <f t="shared" si="44"/>
        <v>0</v>
      </c>
      <c r="CK87">
        <f t="shared" si="44"/>
        <v>0</v>
      </c>
      <c r="CL87">
        <f>+CK87/2</f>
        <v>0</v>
      </c>
      <c r="CV87">
        <v>0</v>
      </c>
      <c r="CW87" s="3" t="s">
        <v>80</v>
      </c>
      <c r="CY87">
        <f t="shared" si="45"/>
        <v>0</v>
      </c>
    </row>
    <row r="88" spans="2:103" x14ac:dyDescent="0.25">
      <c r="B88">
        <f>Primary!CV88</f>
        <v>0</v>
      </c>
      <c r="C88">
        <v>1</v>
      </c>
      <c r="D88">
        <f t="shared" si="46"/>
        <v>2.5000000000000001E-2</v>
      </c>
      <c r="E88">
        <f t="shared" si="10"/>
        <v>0</v>
      </c>
      <c r="F88" s="1">
        <v>46</v>
      </c>
      <c r="G88" s="2" t="s">
        <v>81</v>
      </c>
      <c r="L88">
        <f t="shared" si="24"/>
        <v>0</v>
      </c>
      <c r="N88">
        <f t="shared" si="29"/>
        <v>0</v>
      </c>
      <c r="Q88">
        <f t="shared" si="18"/>
        <v>0</v>
      </c>
      <c r="V88">
        <f t="shared" si="19"/>
        <v>0</v>
      </c>
      <c r="Z88">
        <f t="shared" si="20"/>
        <v>0</v>
      </c>
      <c r="AE88">
        <f t="shared" si="21"/>
        <v>0</v>
      </c>
      <c r="AJ88">
        <f t="shared" si="22"/>
        <v>0</v>
      </c>
      <c r="AO88">
        <f t="shared" si="25"/>
        <v>0</v>
      </c>
      <c r="AT88">
        <f t="shared" si="26"/>
        <v>0</v>
      </c>
      <c r="AY88">
        <f t="shared" si="27"/>
        <v>0</v>
      </c>
      <c r="BE88">
        <f t="shared" si="28"/>
        <v>0</v>
      </c>
      <c r="BG88">
        <f t="shared" si="31"/>
        <v>0</v>
      </c>
      <c r="BI88">
        <f t="shared" si="32"/>
        <v>0</v>
      </c>
      <c r="BK88">
        <f t="shared" si="34"/>
        <v>0</v>
      </c>
      <c r="BM88">
        <f t="shared" si="35"/>
        <v>0</v>
      </c>
      <c r="BN88">
        <f t="shared" si="36"/>
        <v>0</v>
      </c>
      <c r="BO88">
        <f t="shared" si="37"/>
        <v>0</v>
      </c>
      <c r="BP88">
        <f t="shared" si="38"/>
        <v>0</v>
      </c>
      <c r="BQ88">
        <f t="shared" si="39"/>
        <v>0</v>
      </c>
      <c r="BR88">
        <f t="shared" si="40"/>
        <v>0</v>
      </c>
      <c r="BS88">
        <f t="shared" si="41"/>
        <v>0</v>
      </c>
      <c r="BT88">
        <f t="shared" si="42"/>
        <v>0</v>
      </c>
      <c r="BU88">
        <f t="shared" si="43"/>
        <v>0</v>
      </c>
      <c r="BV88">
        <f t="shared" ref="BV88:CK88" si="47">+BU88</f>
        <v>0</v>
      </c>
      <c r="BW88">
        <f t="shared" si="47"/>
        <v>0</v>
      </c>
      <c r="BX88">
        <f t="shared" si="47"/>
        <v>0</v>
      </c>
      <c r="BY88">
        <f t="shared" si="47"/>
        <v>0</v>
      </c>
      <c r="BZ88">
        <f t="shared" si="47"/>
        <v>0</v>
      </c>
      <c r="CA88">
        <f t="shared" si="47"/>
        <v>0</v>
      </c>
      <c r="CB88">
        <f t="shared" si="47"/>
        <v>0</v>
      </c>
      <c r="CC88">
        <f t="shared" si="47"/>
        <v>0</v>
      </c>
      <c r="CD88">
        <f t="shared" si="47"/>
        <v>0</v>
      </c>
      <c r="CE88">
        <f t="shared" si="47"/>
        <v>0</v>
      </c>
      <c r="CF88">
        <f t="shared" si="47"/>
        <v>0</v>
      </c>
      <c r="CG88">
        <f t="shared" si="47"/>
        <v>0</v>
      </c>
      <c r="CH88">
        <f t="shared" si="47"/>
        <v>0</v>
      </c>
      <c r="CI88">
        <f t="shared" si="47"/>
        <v>0</v>
      </c>
      <c r="CJ88">
        <f t="shared" si="47"/>
        <v>0</v>
      </c>
      <c r="CK88">
        <f t="shared" si="47"/>
        <v>0</v>
      </c>
      <c r="CL88">
        <f t="shared" ref="BV88:CL93" si="48">+CK88</f>
        <v>0</v>
      </c>
      <c r="CM88">
        <f>+CL88</f>
        <v>0</v>
      </c>
      <c r="CV88">
        <v>0</v>
      </c>
      <c r="CW88" s="2" t="s">
        <v>81</v>
      </c>
      <c r="CY88">
        <f t="shared" si="45"/>
        <v>0</v>
      </c>
    </row>
    <row r="89" spans="2:103" x14ac:dyDescent="0.25">
      <c r="B89">
        <f>Primary!CV89</f>
        <v>0</v>
      </c>
      <c r="C89">
        <v>1</v>
      </c>
      <c r="D89">
        <f t="shared" si="46"/>
        <v>2.3809523809523808E-2</v>
      </c>
      <c r="E89">
        <f t="shared" ref="E89:E93" si="49">1/(F89-6)*C89*B89</f>
        <v>0</v>
      </c>
      <c r="F89" s="1">
        <v>48</v>
      </c>
      <c r="G89" s="2" t="s">
        <v>82</v>
      </c>
      <c r="L89">
        <f t="shared" si="24"/>
        <v>0</v>
      </c>
      <c r="N89">
        <f t="shared" si="29"/>
        <v>0</v>
      </c>
      <c r="Q89">
        <f t="shared" si="18"/>
        <v>0</v>
      </c>
      <c r="V89">
        <f t="shared" si="19"/>
        <v>0</v>
      </c>
      <c r="Z89">
        <f t="shared" si="20"/>
        <v>0</v>
      </c>
      <c r="AE89">
        <f t="shared" si="21"/>
        <v>0</v>
      </c>
      <c r="AJ89">
        <f t="shared" si="22"/>
        <v>0</v>
      </c>
      <c r="AO89">
        <f t="shared" si="25"/>
        <v>0</v>
      </c>
      <c r="AT89">
        <f t="shared" si="26"/>
        <v>0</v>
      </c>
      <c r="AY89">
        <f t="shared" si="27"/>
        <v>0</v>
      </c>
      <c r="BE89">
        <f t="shared" si="28"/>
        <v>0</v>
      </c>
      <c r="BG89">
        <f t="shared" si="31"/>
        <v>0</v>
      </c>
      <c r="BI89">
        <f t="shared" si="32"/>
        <v>0</v>
      </c>
      <c r="BK89">
        <f t="shared" si="34"/>
        <v>0</v>
      </c>
      <c r="BM89">
        <f t="shared" si="35"/>
        <v>0</v>
      </c>
      <c r="BN89">
        <f t="shared" si="36"/>
        <v>0</v>
      </c>
      <c r="BO89">
        <f t="shared" si="37"/>
        <v>0</v>
      </c>
      <c r="BP89">
        <f t="shared" si="38"/>
        <v>0</v>
      </c>
      <c r="BQ89">
        <f t="shared" si="39"/>
        <v>0</v>
      </c>
      <c r="BR89">
        <f t="shared" si="40"/>
        <v>0</v>
      </c>
      <c r="BS89">
        <f t="shared" si="41"/>
        <v>0</v>
      </c>
      <c r="BT89">
        <f t="shared" si="42"/>
        <v>0</v>
      </c>
      <c r="BU89">
        <f t="shared" si="43"/>
        <v>0</v>
      </c>
      <c r="BV89">
        <f t="shared" si="48"/>
        <v>0</v>
      </c>
      <c r="BW89">
        <f t="shared" si="48"/>
        <v>0</v>
      </c>
      <c r="BX89">
        <f t="shared" si="48"/>
        <v>0</v>
      </c>
      <c r="BY89">
        <f t="shared" si="48"/>
        <v>0</v>
      </c>
      <c r="BZ89">
        <f t="shared" si="48"/>
        <v>0</v>
      </c>
      <c r="CA89">
        <f t="shared" si="48"/>
        <v>0</v>
      </c>
      <c r="CB89">
        <f t="shared" si="48"/>
        <v>0</v>
      </c>
      <c r="CC89">
        <f t="shared" si="48"/>
        <v>0</v>
      </c>
      <c r="CD89">
        <f t="shared" si="48"/>
        <v>0</v>
      </c>
      <c r="CE89">
        <f t="shared" si="48"/>
        <v>0</v>
      </c>
      <c r="CF89">
        <f t="shared" si="48"/>
        <v>0</v>
      </c>
      <c r="CG89">
        <f t="shared" si="48"/>
        <v>0</v>
      </c>
      <c r="CH89">
        <f t="shared" si="48"/>
        <v>0</v>
      </c>
      <c r="CI89">
        <f t="shared" si="48"/>
        <v>0</v>
      </c>
      <c r="CJ89">
        <f t="shared" si="48"/>
        <v>0</v>
      </c>
      <c r="CK89">
        <f t="shared" si="48"/>
        <v>0</v>
      </c>
      <c r="CL89">
        <f t="shared" si="48"/>
        <v>0</v>
      </c>
      <c r="CM89">
        <f t="shared" ref="CM89:CP93" si="50">+CL89</f>
        <v>0</v>
      </c>
      <c r="CN89">
        <f t="shared" si="50"/>
        <v>0</v>
      </c>
      <c r="CO89">
        <f>+CN89</f>
        <v>0</v>
      </c>
      <c r="CV89">
        <v>0</v>
      </c>
      <c r="CW89" s="2" t="s">
        <v>82</v>
      </c>
      <c r="CY89">
        <f t="shared" si="45"/>
        <v>0</v>
      </c>
    </row>
    <row r="90" spans="2:103" x14ac:dyDescent="0.25">
      <c r="B90">
        <f>Primary!CV90</f>
        <v>0</v>
      </c>
      <c r="C90">
        <v>1</v>
      </c>
      <c r="D90">
        <f t="shared" si="46"/>
        <v>2.2727272727272728E-2</v>
      </c>
      <c r="E90">
        <f t="shared" si="49"/>
        <v>0</v>
      </c>
      <c r="F90" s="1">
        <v>50</v>
      </c>
      <c r="G90" s="2" t="s">
        <v>83</v>
      </c>
      <c r="L90">
        <f t="shared" si="24"/>
        <v>0</v>
      </c>
      <c r="N90">
        <f t="shared" si="29"/>
        <v>0</v>
      </c>
      <c r="Q90">
        <f t="shared" si="18"/>
        <v>0</v>
      </c>
      <c r="V90">
        <f t="shared" si="19"/>
        <v>0</v>
      </c>
      <c r="Z90">
        <f t="shared" si="20"/>
        <v>0</v>
      </c>
      <c r="AE90">
        <f t="shared" si="21"/>
        <v>0</v>
      </c>
      <c r="AJ90">
        <f t="shared" si="22"/>
        <v>0</v>
      </c>
      <c r="AO90">
        <f t="shared" si="25"/>
        <v>0</v>
      </c>
      <c r="AT90">
        <f t="shared" si="26"/>
        <v>0</v>
      </c>
      <c r="AY90">
        <f t="shared" si="27"/>
        <v>0</v>
      </c>
      <c r="BE90">
        <f t="shared" si="28"/>
        <v>0</v>
      </c>
      <c r="BG90">
        <f t="shared" si="31"/>
        <v>0</v>
      </c>
      <c r="BI90">
        <f t="shared" si="32"/>
        <v>0</v>
      </c>
      <c r="BK90">
        <f t="shared" si="34"/>
        <v>0</v>
      </c>
      <c r="BM90">
        <f t="shared" si="35"/>
        <v>0</v>
      </c>
      <c r="BN90">
        <f t="shared" si="36"/>
        <v>0</v>
      </c>
      <c r="BO90">
        <f t="shared" si="37"/>
        <v>0</v>
      </c>
      <c r="BP90">
        <f t="shared" si="38"/>
        <v>0</v>
      </c>
      <c r="BQ90">
        <f t="shared" si="39"/>
        <v>0</v>
      </c>
      <c r="BR90">
        <f t="shared" si="40"/>
        <v>0</v>
      </c>
      <c r="BS90">
        <f t="shared" si="41"/>
        <v>0</v>
      </c>
      <c r="BT90">
        <f t="shared" si="42"/>
        <v>0</v>
      </c>
      <c r="BU90">
        <f t="shared" si="43"/>
        <v>0</v>
      </c>
      <c r="BV90">
        <f t="shared" si="48"/>
        <v>0</v>
      </c>
      <c r="BW90">
        <f t="shared" si="48"/>
        <v>0</v>
      </c>
      <c r="BX90">
        <f t="shared" si="48"/>
        <v>0</v>
      </c>
      <c r="BY90">
        <f t="shared" si="48"/>
        <v>0</v>
      </c>
      <c r="BZ90">
        <f t="shared" si="48"/>
        <v>0</v>
      </c>
      <c r="CA90">
        <f t="shared" si="48"/>
        <v>0</v>
      </c>
      <c r="CB90">
        <f t="shared" si="48"/>
        <v>0</v>
      </c>
      <c r="CC90">
        <f t="shared" si="48"/>
        <v>0</v>
      </c>
      <c r="CD90">
        <f t="shared" si="48"/>
        <v>0</v>
      </c>
      <c r="CE90">
        <f t="shared" si="48"/>
        <v>0</v>
      </c>
      <c r="CF90">
        <f t="shared" si="48"/>
        <v>0</v>
      </c>
      <c r="CG90">
        <f t="shared" si="48"/>
        <v>0</v>
      </c>
      <c r="CH90">
        <f t="shared" si="48"/>
        <v>0</v>
      </c>
      <c r="CI90">
        <f t="shared" si="48"/>
        <v>0</v>
      </c>
      <c r="CJ90">
        <f t="shared" si="48"/>
        <v>0</v>
      </c>
      <c r="CK90">
        <f t="shared" si="48"/>
        <v>0</v>
      </c>
      <c r="CL90">
        <f t="shared" si="48"/>
        <v>0</v>
      </c>
      <c r="CM90">
        <f t="shared" si="50"/>
        <v>0</v>
      </c>
      <c r="CN90">
        <f t="shared" si="50"/>
        <v>0</v>
      </c>
      <c r="CO90">
        <f t="shared" si="50"/>
        <v>0</v>
      </c>
      <c r="CP90">
        <f>+CO90</f>
        <v>0</v>
      </c>
      <c r="CQ90">
        <f>+CO90</f>
        <v>0</v>
      </c>
      <c r="CV90">
        <v>0</v>
      </c>
      <c r="CW90" s="2" t="s">
        <v>83</v>
      </c>
      <c r="CY90">
        <f t="shared" si="45"/>
        <v>0</v>
      </c>
    </row>
    <row r="91" spans="2:103" x14ac:dyDescent="0.25">
      <c r="B91">
        <f>Primary!CV91</f>
        <v>0</v>
      </c>
      <c r="C91">
        <v>1</v>
      </c>
      <c r="D91">
        <f t="shared" si="46"/>
        <v>2.2222222222222223E-2</v>
      </c>
      <c r="E91">
        <f t="shared" si="49"/>
        <v>0</v>
      </c>
      <c r="F91" s="1">
        <v>51</v>
      </c>
      <c r="G91" s="3" t="s">
        <v>84</v>
      </c>
      <c r="L91">
        <f t="shared" si="24"/>
        <v>0</v>
      </c>
      <c r="N91">
        <f t="shared" si="29"/>
        <v>0</v>
      </c>
      <c r="Q91">
        <f t="shared" si="18"/>
        <v>0</v>
      </c>
      <c r="V91">
        <f t="shared" si="19"/>
        <v>0</v>
      </c>
      <c r="Z91">
        <f t="shared" si="20"/>
        <v>0</v>
      </c>
      <c r="AE91">
        <f t="shared" si="21"/>
        <v>0</v>
      </c>
      <c r="AJ91">
        <f t="shared" si="22"/>
        <v>0</v>
      </c>
      <c r="AO91">
        <f t="shared" si="25"/>
        <v>0</v>
      </c>
      <c r="AT91">
        <f t="shared" si="26"/>
        <v>0</v>
      </c>
      <c r="AY91">
        <f t="shared" si="27"/>
        <v>0</v>
      </c>
      <c r="BE91">
        <f t="shared" si="28"/>
        <v>0</v>
      </c>
      <c r="BG91">
        <f t="shared" si="31"/>
        <v>0</v>
      </c>
      <c r="BI91">
        <f t="shared" si="32"/>
        <v>0</v>
      </c>
      <c r="BK91">
        <f t="shared" si="34"/>
        <v>0</v>
      </c>
      <c r="BM91">
        <f t="shared" si="35"/>
        <v>0</v>
      </c>
      <c r="BN91">
        <f t="shared" si="36"/>
        <v>0</v>
      </c>
      <c r="BO91">
        <f t="shared" si="37"/>
        <v>0</v>
      </c>
      <c r="BP91">
        <f t="shared" si="38"/>
        <v>0</v>
      </c>
      <c r="BQ91">
        <f t="shared" si="39"/>
        <v>0</v>
      </c>
      <c r="BR91">
        <f t="shared" si="40"/>
        <v>0</v>
      </c>
      <c r="BS91">
        <f t="shared" si="41"/>
        <v>0</v>
      </c>
      <c r="BT91">
        <f t="shared" si="42"/>
        <v>0</v>
      </c>
      <c r="BU91">
        <f t="shared" si="43"/>
        <v>0</v>
      </c>
      <c r="BV91">
        <f t="shared" si="48"/>
        <v>0</v>
      </c>
      <c r="BW91">
        <f t="shared" si="48"/>
        <v>0</v>
      </c>
      <c r="BX91">
        <f t="shared" si="48"/>
        <v>0</v>
      </c>
      <c r="BY91">
        <f t="shared" si="48"/>
        <v>0</v>
      </c>
      <c r="BZ91">
        <f t="shared" si="48"/>
        <v>0</v>
      </c>
      <c r="CA91">
        <f t="shared" si="48"/>
        <v>0</v>
      </c>
      <c r="CB91">
        <f t="shared" si="48"/>
        <v>0</v>
      </c>
      <c r="CC91">
        <f t="shared" si="48"/>
        <v>0</v>
      </c>
      <c r="CD91">
        <f t="shared" si="48"/>
        <v>0</v>
      </c>
      <c r="CE91">
        <f t="shared" si="48"/>
        <v>0</v>
      </c>
      <c r="CF91">
        <f t="shared" si="48"/>
        <v>0</v>
      </c>
      <c r="CG91">
        <f t="shared" si="48"/>
        <v>0</v>
      </c>
      <c r="CH91">
        <f t="shared" si="48"/>
        <v>0</v>
      </c>
      <c r="CI91">
        <f t="shared" si="48"/>
        <v>0</v>
      </c>
      <c r="CJ91">
        <f t="shared" si="48"/>
        <v>0</v>
      </c>
      <c r="CK91">
        <f t="shared" si="48"/>
        <v>0</v>
      </c>
      <c r="CL91">
        <f t="shared" si="48"/>
        <v>0</v>
      </c>
      <c r="CM91">
        <f t="shared" si="50"/>
        <v>0</v>
      </c>
      <c r="CN91">
        <f t="shared" si="50"/>
        <v>0</v>
      </c>
      <c r="CO91">
        <f t="shared" si="50"/>
        <v>0</v>
      </c>
      <c r="CP91">
        <f>+CO91*2</f>
        <v>0</v>
      </c>
      <c r="CQ91">
        <f>+CO91</f>
        <v>0</v>
      </c>
      <c r="CV91">
        <v>0</v>
      </c>
      <c r="CW91" s="3" t="s">
        <v>84</v>
      </c>
      <c r="CY91">
        <f t="shared" si="45"/>
        <v>0</v>
      </c>
    </row>
    <row r="92" spans="2:103" x14ac:dyDescent="0.25">
      <c r="B92">
        <f>Primary!CV92</f>
        <v>0</v>
      </c>
      <c r="C92">
        <v>1</v>
      </c>
      <c r="D92">
        <f t="shared" si="46"/>
        <v>2.1739130434782608E-2</v>
      </c>
      <c r="E92">
        <f t="shared" si="49"/>
        <v>0</v>
      </c>
      <c r="F92" s="1">
        <v>52</v>
      </c>
      <c r="G92" s="2" t="s">
        <v>85</v>
      </c>
      <c r="L92">
        <f t="shared" si="24"/>
        <v>0</v>
      </c>
      <c r="N92">
        <f t="shared" si="29"/>
        <v>0</v>
      </c>
      <c r="Q92">
        <f t="shared" si="18"/>
        <v>0</v>
      </c>
      <c r="V92">
        <f t="shared" si="19"/>
        <v>0</v>
      </c>
      <c r="Z92">
        <f t="shared" si="20"/>
        <v>0</v>
      </c>
      <c r="AE92">
        <f t="shared" si="21"/>
        <v>0</v>
      </c>
      <c r="AJ92">
        <f t="shared" si="22"/>
        <v>0</v>
      </c>
      <c r="AO92">
        <f t="shared" si="25"/>
        <v>0</v>
      </c>
      <c r="AT92">
        <f t="shared" si="26"/>
        <v>0</v>
      </c>
      <c r="AY92">
        <f t="shared" si="27"/>
        <v>0</v>
      </c>
      <c r="BE92">
        <f t="shared" si="28"/>
        <v>0</v>
      </c>
      <c r="BG92">
        <f t="shared" si="31"/>
        <v>0</v>
      </c>
      <c r="BI92">
        <f t="shared" si="32"/>
        <v>0</v>
      </c>
      <c r="BK92">
        <f t="shared" si="34"/>
        <v>0</v>
      </c>
      <c r="BM92">
        <f t="shared" si="35"/>
        <v>0</v>
      </c>
      <c r="BN92">
        <f t="shared" si="36"/>
        <v>0</v>
      </c>
      <c r="BO92">
        <f t="shared" si="37"/>
        <v>0</v>
      </c>
      <c r="BP92">
        <f t="shared" si="38"/>
        <v>0</v>
      </c>
      <c r="BQ92">
        <f t="shared" si="39"/>
        <v>0</v>
      </c>
      <c r="BR92">
        <f t="shared" si="40"/>
        <v>0</v>
      </c>
      <c r="BS92">
        <f t="shared" si="41"/>
        <v>0</v>
      </c>
      <c r="BT92">
        <f t="shared" si="42"/>
        <v>0</v>
      </c>
      <c r="BU92">
        <f t="shared" si="43"/>
        <v>0</v>
      </c>
      <c r="BV92">
        <f t="shared" si="48"/>
        <v>0</v>
      </c>
      <c r="BW92">
        <f t="shared" si="48"/>
        <v>0</v>
      </c>
      <c r="BX92">
        <f t="shared" si="48"/>
        <v>0</v>
      </c>
      <c r="BY92">
        <f t="shared" si="48"/>
        <v>0</v>
      </c>
      <c r="BZ92">
        <f t="shared" si="48"/>
        <v>0</v>
      </c>
      <c r="CA92">
        <f t="shared" si="48"/>
        <v>0</v>
      </c>
      <c r="CB92">
        <f t="shared" si="48"/>
        <v>0</v>
      </c>
      <c r="CC92">
        <f t="shared" si="48"/>
        <v>0</v>
      </c>
      <c r="CD92">
        <f t="shared" si="48"/>
        <v>0</v>
      </c>
      <c r="CE92">
        <f t="shared" si="48"/>
        <v>0</v>
      </c>
      <c r="CF92">
        <f t="shared" si="48"/>
        <v>0</v>
      </c>
      <c r="CG92">
        <f t="shared" si="48"/>
        <v>0</v>
      </c>
      <c r="CH92">
        <f t="shared" si="48"/>
        <v>0</v>
      </c>
      <c r="CI92">
        <f t="shared" si="48"/>
        <v>0</v>
      </c>
      <c r="CJ92">
        <f t="shared" si="48"/>
        <v>0</v>
      </c>
      <c r="CK92">
        <f t="shared" si="48"/>
        <v>0</v>
      </c>
      <c r="CL92">
        <f t="shared" si="48"/>
        <v>0</v>
      </c>
      <c r="CM92">
        <f t="shared" si="50"/>
        <v>0</v>
      </c>
      <c r="CN92">
        <f t="shared" si="50"/>
        <v>0</v>
      </c>
      <c r="CO92">
        <f t="shared" si="50"/>
        <v>0</v>
      </c>
      <c r="CP92">
        <f t="shared" si="50"/>
        <v>0</v>
      </c>
      <c r="CQ92">
        <f>+CP92*2</f>
        <v>0</v>
      </c>
      <c r="CR92">
        <f>+CP92</f>
        <v>0</v>
      </c>
      <c r="CV92">
        <v>0</v>
      </c>
      <c r="CW92" s="2" t="s">
        <v>85</v>
      </c>
      <c r="CY92">
        <f t="shared" si="45"/>
        <v>0</v>
      </c>
    </row>
    <row r="93" spans="2:103" x14ac:dyDescent="0.25">
      <c r="B93">
        <f>Primary!CV93</f>
        <v>0</v>
      </c>
      <c r="C93">
        <v>1</v>
      </c>
      <c r="D93">
        <f t="shared" si="46"/>
        <v>2.0833333333333332E-2</v>
      </c>
      <c r="E93">
        <f t="shared" si="49"/>
        <v>0</v>
      </c>
      <c r="F93" s="1">
        <v>54</v>
      </c>
      <c r="G93" s="3" t="s">
        <v>86</v>
      </c>
      <c r="L93">
        <f t="shared" si="24"/>
        <v>0</v>
      </c>
      <c r="N93">
        <f t="shared" si="29"/>
        <v>0</v>
      </c>
      <c r="Q93">
        <f t="shared" si="18"/>
        <v>0</v>
      </c>
      <c r="V93">
        <f t="shared" si="19"/>
        <v>0</v>
      </c>
      <c r="Z93">
        <f t="shared" si="20"/>
        <v>0</v>
      </c>
      <c r="AE93">
        <f t="shared" si="21"/>
        <v>0</v>
      </c>
      <c r="AJ93">
        <f t="shared" si="22"/>
        <v>0</v>
      </c>
      <c r="AO93">
        <f t="shared" si="25"/>
        <v>0</v>
      </c>
      <c r="AT93">
        <f t="shared" si="26"/>
        <v>0</v>
      </c>
      <c r="AY93">
        <f t="shared" si="27"/>
        <v>0</v>
      </c>
      <c r="BE93">
        <f t="shared" si="28"/>
        <v>0</v>
      </c>
      <c r="BG93">
        <f t="shared" si="31"/>
        <v>0</v>
      </c>
      <c r="BI93">
        <f t="shared" si="32"/>
        <v>0</v>
      </c>
      <c r="BK93">
        <f t="shared" si="34"/>
        <v>0</v>
      </c>
      <c r="BM93">
        <f t="shared" si="35"/>
        <v>0</v>
      </c>
      <c r="BN93">
        <f t="shared" si="36"/>
        <v>0</v>
      </c>
      <c r="BO93">
        <f t="shared" si="37"/>
        <v>0</v>
      </c>
      <c r="BP93">
        <f t="shared" si="38"/>
        <v>0</v>
      </c>
      <c r="BQ93">
        <f t="shared" si="39"/>
        <v>0</v>
      </c>
      <c r="BR93">
        <f t="shared" si="40"/>
        <v>0</v>
      </c>
      <c r="BS93">
        <f t="shared" si="41"/>
        <v>0</v>
      </c>
      <c r="BT93">
        <f t="shared" si="42"/>
        <v>0</v>
      </c>
      <c r="BU93">
        <f t="shared" si="43"/>
        <v>0</v>
      </c>
      <c r="BV93">
        <f t="shared" si="48"/>
        <v>0</v>
      </c>
      <c r="BW93">
        <f t="shared" si="48"/>
        <v>0</v>
      </c>
      <c r="BX93">
        <f t="shared" si="48"/>
        <v>0</v>
      </c>
      <c r="BY93">
        <f t="shared" si="48"/>
        <v>0</v>
      </c>
      <c r="BZ93">
        <f t="shared" si="48"/>
        <v>0</v>
      </c>
      <c r="CA93">
        <f t="shared" si="48"/>
        <v>0</v>
      </c>
      <c r="CB93">
        <f t="shared" si="48"/>
        <v>0</v>
      </c>
      <c r="CC93">
        <f t="shared" si="48"/>
        <v>0</v>
      </c>
      <c r="CD93">
        <f t="shared" si="48"/>
        <v>0</v>
      </c>
      <c r="CE93">
        <f t="shared" si="48"/>
        <v>0</v>
      </c>
      <c r="CF93">
        <f t="shared" si="48"/>
        <v>0</v>
      </c>
      <c r="CG93">
        <f t="shared" si="48"/>
        <v>0</v>
      </c>
      <c r="CH93">
        <f t="shared" si="48"/>
        <v>0</v>
      </c>
      <c r="CI93">
        <f t="shared" si="48"/>
        <v>0</v>
      </c>
      <c r="CJ93">
        <f t="shared" si="48"/>
        <v>0</v>
      </c>
      <c r="CK93">
        <f t="shared" si="48"/>
        <v>0</v>
      </c>
      <c r="CL93">
        <f t="shared" si="48"/>
        <v>0</v>
      </c>
      <c r="CM93">
        <f t="shared" si="50"/>
        <v>0</v>
      </c>
      <c r="CN93">
        <f t="shared" si="50"/>
        <v>0</v>
      </c>
      <c r="CO93">
        <f t="shared" si="50"/>
        <v>0</v>
      </c>
      <c r="CP93">
        <f t="shared" si="50"/>
        <v>0</v>
      </c>
      <c r="CQ93">
        <f>+CP93*2</f>
        <v>0</v>
      </c>
      <c r="CR93">
        <f>+CP93*2</f>
        <v>0</v>
      </c>
      <c r="CS93">
        <f>+CP93</f>
        <v>0</v>
      </c>
      <c r="CV93">
        <v>0</v>
      </c>
      <c r="CW93" s="3" t="s">
        <v>86</v>
      </c>
      <c r="CY93">
        <f>SUM(L93:CS93)/2</f>
        <v>0</v>
      </c>
    </row>
    <row r="94" spans="2:103" x14ac:dyDescent="0.25">
      <c r="B94">
        <f>Primary!CV94</f>
        <v>0</v>
      </c>
      <c r="D94">
        <f t="shared" si="46"/>
        <v>0</v>
      </c>
      <c r="H94" s="2" t="s">
        <v>1</v>
      </c>
      <c r="I94" s="3" t="s">
        <v>2</v>
      </c>
      <c r="J94" s="3" t="s">
        <v>4</v>
      </c>
      <c r="K94" s="2" t="s">
        <v>5</v>
      </c>
      <c r="L94" s="2" t="s">
        <v>6</v>
      </c>
      <c r="M94" s="3" t="s">
        <v>7</v>
      </c>
      <c r="N94" s="2" t="s">
        <v>8</v>
      </c>
      <c r="O94" s="3" t="s">
        <v>9</v>
      </c>
      <c r="P94" s="3" t="s">
        <v>10</v>
      </c>
      <c r="Q94" s="2" t="s">
        <v>11</v>
      </c>
      <c r="R94" s="2"/>
      <c r="S94" s="2" t="s">
        <v>12</v>
      </c>
      <c r="T94" s="2" t="s">
        <v>98</v>
      </c>
      <c r="U94" s="2" t="s">
        <v>13</v>
      </c>
      <c r="V94" s="3" t="s">
        <v>14</v>
      </c>
      <c r="W94" s="3" t="s">
        <v>15</v>
      </c>
      <c r="X94" s="3" t="s">
        <v>99</v>
      </c>
      <c r="Y94" s="3" t="s">
        <v>100</v>
      </c>
      <c r="Z94" s="3" t="s">
        <v>16</v>
      </c>
      <c r="AA94" s="2" t="s">
        <v>17</v>
      </c>
      <c r="AB94" s="3" t="s">
        <v>18</v>
      </c>
      <c r="AC94" s="2" t="s">
        <v>19</v>
      </c>
      <c r="AD94" s="2" t="s">
        <v>101</v>
      </c>
      <c r="AE94" s="3" t="s">
        <v>20</v>
      </c>
      <c r="AF94" s="2" t="s">
        <v>21</v>
      </c>
      <c r="AG94" s="2" t="s">
        <v>22</v>
      </c>
      <c r="AH94" s="3" t="s">
        <v>23</v>
      </c>
      <c r="AI94" s="2" t="s">
        <v>24</v>
      </c>
      <c r="AJ94" s="2" t="s">
        <v>25</v>
      </c>
      <c r="AK94" s="3" t="s">
        <v>26</v>
      </c>
      <c r="AL94" s="2" t="s">
        <v>27</v>
      </c>
      <c r="AM94" s="3" t="s">
        <v>28</v>
      </c>
      <c r="AN94" s="2" t="s">
        <v>29</v>
      </c>
      <c r="AO94" s="3" t="s">
        <v>30</v>
      </c>
      <c r="AP94" s="2" t="s">
        <v>31</v>
      </c>
      <c r="AQ94" s="3" t="s">
        <v>32</v>
      </c>
      <c r="AR94" s="2" t="s">
        <v>33</v>
      </c>
      <c r="AS94" s="3" t="s">
        <v>34</v>
      </c>
      <c r="AT94" s="3" t="s">
        <v>35</v>
      </c>
      <c r="AU94" s="2" t="s">
        <v>36</v>
      </c>
      <c r="AV94" s="2" t="s">
        <v>37</v>
      </c>
      <c r="AW94" s="2" t="s">
        <v>102</v>
      </c>
      <c r="AX94" s="2" t="s">
        <v>38</v>
      </c>
      <c r="AY94" s="3" t="s">
        <v>39</v>
      </c>
      <c r="AZ94" s="3" t="s">
        <v>40</v>
      </c>
      <c r="BA94" s="2" t="s">
        <v>41</v>
      </c>
      <c r="BB94" s="2" t="s">
        <v>103</v>
      </c>
      <c r="BC94" s="2" t="s">
        <v>42</v>
      </c>
      <c r="BD94" s="3" t="s">
        <v>43</v>
      </c>
      <c r="BE94" s="2" t="s">
        <v>44</v>
      </c>
      <c r="BF94" s="3" t="s">
        <v>45</v>
      </c>
      <c r="BG94" s="2" t="s">
        <v>46</v>
      </c>
      <c r="BH94" s="3" t="s">
        <v>47</v>
      </c>
      <c r="BI94" s="2" t="s">
        <v>48</v>
      </c>
      <c r="BJ94" s="3" t="s">
        <v>49</v>
      </c>
      <c r="BK94" s="2" t="s">
        <v>50</v>
      </c>
      <c r="BL94" s="3" t="s">
        <v>51</v>
      </c>
      <c r="BM94" s="2" t="s">
        <v>52</v>
      </c>
      <c r="BN94" s="2" t="s">
        <v>53</v>
      </c>
      <c r="BO94" s="3" t="s">
        <v>54</v>
      </c>
      <c r="BP94" s="2" t="s">
        <v>55</v>
      </c>
      <c r="BQ94" s="3" t="s">
        <v>56</v>
      </c>
      <c r="BR94" s="2" t="s">
        <v>57</v>
      </c>
      <c r="BS94" s="3" t="s">
        <v>58</v>
      </c>
      <c r="BT94" s="2" t="s">
        <v>59</v>
      </c>
      <c r="BU94" s="3" t="s">
        <v>60</v>
      </c>
      <c r="BV94" s="2" t="s">
        <v>61</v>
      </c>
      <c r="BW94" s="3" t="s">
        <v>62</v>
      </c>
      <c r="BX94" s="2" t="s">
        <v>63</v>
      </c>
      <c r="BY94" s="3" t="s">
        <v>64</v>
      </c>
      <c r="BZ94" s="2" t="s">
        <v>65</v>
      </c>
      <c r="CA94" s="3" t="s">
        <v>66</v>
      </c>
      <c r="CB94" s="2" t="s">
        <v>67</v>
      </c>
      <c r="CC94" s="3" t="s">
        <v>68</v>
      </c>
      <c r="CD94" s="2" t="s">
        <v>69</v>
      </c>
      <c r="CE94" s="3" t="s">
        <v>70</v>
      </c>
      <c r="CF94" s="2" t="s">
        <v>71</v>
      </c>
      <c r="CG94" s="3" t="s">
        <v>72</v>
      </c>
      <c r="CH94" s="2" t="s">
        <v>73</v>
      </c>
      <c r="CI94" s="3" t="s">
        <v>74</v>
      </c>
      <c r="CJ94" s="2" t="s">
        <v>75</v>
      </c>
      <c r="CK94" s="3" t="s">
        <v>76</v>
      </c>
      <c r="CL94" s="2" t="s">
        <v>77</v>
      </c>
      <c r="CM94" s="3" t="s">
        <v>78</v>
      </c>
      <c r="CN94" s="2" t="s">
        <v>79</v>
      </c>
      <c r="CO94" s="3" t="s">
        <v>80</v>
      </c>
      <c r="CP94" s="2" t="s">
        <v>81</v>
      </c>
      <c r="CQ94" s="2" t="s">
        <v>82</v>
      </c>
      <c r="CR94" s="2" t="s">
        <v>83</v>
      </c>
      <c r="CS94" s="3" t="s">
        <v>84</v>
      </c>
      <c r="CT94" s="2" t="s">
        <v>85</v>
      </c>
      <c r="CU94" s="3" t="s">
        <v>86</v>
      </c>
    </row>
    <row r="95" spans="2:103" x14ac:dyDescent="0.25">
      <c r="G95" t="s">
        <v>0</v>
      </c>
      <c r="H95" s="1">
        <v>1</v>
      </c>
      <c r="I95" s="1">
        <v>1</v>
      </c>
      <c r="J95" s="1">
        <v>2</v>
      </c>
      <c r="K95" s="1">
        <v>2</v>
      </c>
      <c r="L95" s="1">
        <v>3</v>
      </c>
      <c r="M95" s="1">
        <v>3</v>
      </c>
      <c r="N95" s="1">
        <v>4</v>
      </c>
      <c r="O95" s="1">
        <v>4</v>
      </c>
      <c r="P95" s="1">
        <v>4</v>
      </c>
      <c r="Q95" s="1">
        <v>5</v>
      </c>
      <c r="R95" s="1">
        <v>5</v>
      </c>
      <c r="S95" s="1">
        <v>5</v>
      </c>
      <c r="T95" s="1">
        <v>5</v>
      </c>
      <c r="U95" s="1">
        <v>6</v>
      </c>
      <c r="V95" s="1">
        <v>6</v>
      </c>
      <c r="W95" s="1">
        <v>6</v>
      </c>
      <c r="X95" s="1">
        <v>6</v>
      </c>
      <c r="Y95" s="1">
        <v>6</v>
      </c>
      <c r="Z95" s="1">
        <v>7</v>
      </c>
      <c r="AA95" s="1">
        <v>7</v>
      </c>
      <c r="AB95" s="1">
        <v>7</v>
      </c>
      <c r="AC95" s="1">
        <v>7</v>
      </c>
      <c r="AD95" s="1">
        <v>7</v>
      </c>
      <c r="AE95" s="1">
        <v>8</v>
      </c>
      <c r="AF95" s="1">
        <v>8</v>
      </c>
      <c r="AG95" s="1">
        <v>8</v>
      </c>
      <c r="AH95" s="1">
        <v>8</v>
      </c>
      <c r="AI95" s="1">
        <v>8</v>
      </c>
      <c r="AJ95" s="1">
        <v>9</v>
      </c>
      <c r="AK95" s="1">
        <v>9</v>
      </c>
      <c r="AL95" s="1">
        <v>9</v>
      </c>
      <c r="AM95" s="1">
        <v>9</v>
      </c>
      <c r="AN95" s="1">
        <v>9</v>
      </c>
      <c r="AO95" s="1">
        <v>10</v>
      </c>
      <c r="AP95" s="1">
        <v>10</v>
      </c>
      <c r="AQ95" s="1">
        <v>10</v>
      </c>
      <c r="AR95" s="1">
        <v>10</v>
      </c>
      <c r="AS95" s="1">
        <v>10</v>
      </c>
      <c r="AT95" s="1">
        <v>11</v>
      </c>
      <c r="AU95" s="1">
        <v>11</v>
      </c>
      <c r="AV95" s="1">
        <v>11</v>
      </c>
      <c r="AW95" s="1">
        <v>11</v>
      </c>
      <c r="AX95" s="1">
        <v>12</v>
      </c>
      <c r="AY95" s="1">
        <v>12</v>
      </c>
      <c r="AZ95" s="1">
        <v>12</v>
      </c>
      <c r="BA95" s="1">
        <v>12</v>
      </c>
      <c r="BB95" s="1">
        <v>12</v>
      </c>
      <c r="BC95" s="1">
        <v>13</v>
      </c>
      <c r="BD95" s="1">
        <v>13</v>
      </c>
      <c r="BE95" s="1">
        <v>13</v>
      </c>
      <c r="BF95" s="1">
        <v>14</v>
      </c>
      <c r="BG95" s="1">
        <v>14</v>
      </c>
      <c r="BH95" s="1">
        <v>15</v>
      </c>
      <c r="BI95" s="1">
        <v>15</v>
      </c>
      <c r="BJ95" s="1">
        <v>16</v>
      </c>
      <c r="BK95" s="1">
        <v>16</v>
      </c>
      <c r="BL95" s="1">
        <v>17</v>
      </c>
      <c r="BM95" s="1">
        <v>17</v>
      </c>
      <c r="BN95" s="1">
        <v>18</v>
      </c>
      <c r="BO95" s="1">
        <v>19</v>
      </c>
      <c r="BP95" s="1">
        <v>20</v>
      </c>
      <c r="BQ95" s="1">
        <v>21</v>
      </c>
      <c r="BR95" s="1">
        <v>22</v>
      </c>
      <c r="BS95" s="1">
        <v>23</v>
      </c>
      <c r="BT95" s="1">
        <v>24</v>
      </c>
      <c r="BU95" s="1">
        <v>25</v>
      </c>
      <c r="BV95" s="1">
        <v>26</v>
      </c>
      <c r="BW95" s="1">
        <v>27</v>
      </c>
      <c r="BX95" s="1">
        <v>28</v>
      </c>
      <c r="BY95" s="1">
        <v>29</v>
      </c>
      <c r="BZ95" s="1">
        <v>30</v>
      </c>
      <c r="CA95" s="1">
        <v>31</v>
      </c>
      <c r="CB95" s="1">
        <v>32</v>
      </c>
      <c r="CC95" s="1">
        <v>33</v>
      </c>
      <c r="CD95" s="1">
        <v>34</v>
      </c>
      <c r="CE95" s="1">
        <v>35</v>
      </c>
      <c r="CF95" s="1">
        <v>36</v>
      </c>
      <c r="CG95" s="1">
        <v>37</v>
      </c>
      <c r="CH95" s="1">
        <v>38</v>
      </c>
      <c r="CI95" s="1">
        <v>39</v>
      </c>
      <c r="CJ95" s="1">
        <v>40</v>
      </c>
      <c r="CK95" s="1">
        <v>41</v>
      </c>
      <c r="CL95" s="1">
        <v>42</v>
      </c>
      <c r="CM95" s="1">
        <v>43</v>
      </c>
      <c r="CN95" s="1">
        <v>44</v>
      </c>
      <c r="CO95" s="1">
        <v>45</v>
      </c>
      <c r="CP95" s="1">
        <v>46</v>
      </c>
      <c r="CQ95" s="1">
        <v>48</v>
      </c>
      <c r="CR95" s="1">
        <v>50</v>
      </c>
      <c r="CS95" s="1">
        <v>51</v>
      </c>
      <c r="CT95" s="1">
        <v>52</v>
      </c>
      <c r="CU95" s="1">
        <v>54</v>
      </c>
      <c r="CW95" t="s">
        <v>0</v>
      </c>
    </row>
    <row r="96" spans="2:103" x14ac:dyDescent="0.25">
      <c r="G96" t="s">
        <v>91</v>
      </c>
      <c r="H96">
        <f t="shared" ref="H96:AM96" si="51">SUM(H2:H93)</f>
        <v>7.1114470114353595E-4</v>
      </c>
      <c r="I96">
        <f t="shared" si="51"/>
        <v>1.15915726277396E-3</v>
      </c>
      <c r="J96">
        <f t="shared" si="51"/>
        <v>2.5701200645325E-3</v>
      </c>
      <c r="K96">
        <f t="shared" si="51"/>
        <v>0</v>
      </c>
      <c r="L96">
        <f t="shared" si="51"/>
        <v>4.6010387801789364E-2</v>
      </c>
      <c r="M96">
        <f t="shared" si="51"/>
        <v>1.6611306944078475E-8</v>
      </c>
      <c r="N96">
        <f t="shared" si="51"/>
        <v>6.7760037757795585E-2</v>
      </c>
      <c r="O96">
        <f t="shared" si="51"/>
        <v>1.0153018821769684E-4</v>
      </c>
      <c r="P96">
        <f t="shared" si="51"/>
        <v>8.1154749464936498E-23</v>
      </c>
      <c r="Q96">
        <f t="shared" si="51"/>
        <v>5.6768236395870496E-2</v>
      </c>
      <c r="R96">
        <f t="shared" si="51"/>
        <v>7.9740251659888401E-4</v>
      </c>
      <c r="S96">
        <f t="shared" si="51"/>
        <v>4.9454120758277598E-20</v>
      </c>
      <c r="T96">
        <f t="shared" si="51"/>
        <v>7.7846204715078602E-5</v>
      </c>
      <c r="U96">
        <f t="shared" si="51"/>
        <v>2.94082363397296E-3</v>
      </c>
      <c r="V96">
        <f t="shared" si="51"/>
        <v>4.8824706374951239E-2</v>
      </c>
      <c r="W96">
        <f t="shared" si="51"/>
        <v>1.63131923146749E-17</v>
      </c>
      <c r="X96">
        <f t="shared" si="51"/>
        <v>4.3282018242143298E-19</v>
      </c>
      <c r="Y96">
        <f t="shared" si="51"/>
        <v>2.0961080448768401E-4</v>
      </c>
      <c r="Z96">
        <f t="shared" si="51"/>
        <v>4.4899451128042292E-2</v>
      </c>
      <c r="AA96">
        <f t="shared" si="51"/>
        <v>1.44797760949513E-3</v>
      </c>
      <c r="AB96">
        <f t="shared" si="51"/>
        <v>1.61549255798959E-15</v>
      </c>
      <c r="AC96">
        <f t="shared" si="51"/>
        <v>1.1090436396881701E-15</v>
      </c>
      <c r="AD96">
        <f t="shared" si="51"/>
        <v>1.9452524184119399E-4</v>
      </c>
      <c r="AE96">
        <f t="shared" si="51"/>
        <v>4.3837612106098156E-2</v>
      </c>
      <c r="AF96">
        <f t="shared" si="51"/>
        <v>5.1664314562474838E-4</v>
      </c>
      <c r="AG96">
        <f t="shared" si="51"/>
        <v>6.6292358482075656E-13</v>
      </c>
      <c r="AH96">
        <f t="shared" si="51"/>
        <v>3.6401436079514898E-4</v>
      </c>
      <c r="AI96">
        <f t="shared" si="51"/>
        <v>3.55320707761801E-12</v>
      </c>
      <c r="AJ96">
        <f t="shared" si="51"/>
        <v>4.2264426957971862E-2</v>
      </c>
      <c r="AK96">
        <f t="shared" si="51"/>
        <v>3.262414759585612E-4</v>
      </c>
      <c r="AL96">
        <f t="shared" si="51"/>
        <v>2.8015895533344755E-11</v>
      </c>
      <c r="AM96">
        <f t="shared" si="51"/>
        <v>8.4212847972979201E-5</v>
      </c>
      <c r="AN96">
        <f t="shared" ref="AN96:BW96" si="52">SUM(AN2:AN93)</f>
        <v>6.2978783674192802E-9</v>
      </c>
      <c r="AO96">
        <f t="shared" si="52"/>
        <v>4.0899805931452413E-2</v>
      </c>
      <c r="AP96">
        <f t="shared" si="52"/>
        <v>3.7631744863843029E-5</v>
      </c>
      <c r="AQ96">
        <f t="shared" si="52"/>
        <v>2.7356582288642849E-8</v>
      </c>
      <c r="AR96">
        <f t="shared" si="52"/>
        <v>1.2093808049619699E-5</v>
      </c>
      <c r="AS96">
        <f t="shared" si="52"/>
        <v>3.2000962591801201E-7</v>
      </c>
      <c r="AT96">
        <f t="shared" si="52"/>
        <v>3.9074290219924937E-2</v>
      </c>
      <c r="AU96">
        <f t="shared" si="52"/>
        <v>6.2800527382418701E-7</v>
      </c>
      <c r="AV96">
        <f t="shared" si="52"/>
        <v>1.65554693590926E-7</v>
      </c>
      <c r="AW96">
        <f t="shared" si="52"/>
        <v>2.7525267832290686E-7</v>
      </c>
      <c r="AX96">
        <f t="shared" si="52"/>
        <v>9.7493959337909587E-7</v>
      </c>
      <c r="AY96">
        <f t="shared" si="52"/>
        <v>3.6691469381432883E-2</v>
      </c>
      <c r="AZ96">
        <f t="shared" si="52"/>
        <v>1.2108110632732872E-7</v>
      </c>
      <c r="BA96">
        <f t="shared" si="52"/>
        <v>5.4930049786511697E-7</v>
      </c>
      <c r="BB96">
        <f t="shared" si="52"/>
        <v>9.8777101473426203E-8</v>
      </c>
      <c r="BC96">
        <f t="shared" si="52"/>
        <v>1.3616363339445764E-6</v>
      </c>
      <c r="BD96">
        <f t="shared" si="52"/>
        <v>1.5827993628283517E-7</v>
      </c>
      <c r="BE96">
        <f t="shared" si="52"/>
        <v>3.3652931993735452E-2</v>
      </c>
      <c r="BF96">
        <f t="shared" si="52"/>
        <v>1.135658611669625E-6</v>
      </c>
      <c r="BG96">
        <f t="shared" si="52"/>
        <v>2.9591247926336852E-2</v>
      </c>
      <c r="BH96">
        <f t="shared" si="52"/>
        <v>5.3454721063040477E-6</v>
      </c>
      <c r="BI96">
        <f t="shared" si="52"/>
        <v>2.2373374145022471E-2</v>
      </c>
      <c r="BJ96">
        <f t="shared" si="52"/>
        <v>2.2595450872389248E-5</v>
      </c>
      <c r="BK96">
        <f t="shared" si="52"/>
        <v>1.3989379399077337E-2</v>
      </c>
      <c r="BL96">
        <f t="shared" si="52"/>
        <v>6.8861748750250102E-6</v>
      </c>
      <c r="BM96">
        <f t="shared" si="52"/>
        <v>7.2942537008095108E-3</v>
      </c>
      <c r="BN96">
        <f t="shared" si="52"/>
        <v>9.3084043049297997E-4</v>
      </c>
      <c r="BO96">
        <f t="shared" si="52"/>
        <v>4.2906754222398386E-4</v>
      </c>
      <c r="BP96">
        <f t="shared" si="52"/>
        <v>1.4791037473839888E-4</v>
      </c>
      <c r="BQ96">
        <f t="shared" si="52"/>
        <v>2.7008371223039941E-5</v>
      </c>
      <c r="BR96">
        <f t="shared" si="52"/>
        <v>0</v>
      </c>
      <c r="BS96">
        <f t="shared" si="52"/>
        <v>0</v>
      </c>
      <c r="BT96">
        <f t="shared" si="52"/>
        <v>0</v>
      </c>
      <c r="BU96">
        <f t="shared" si="52"/>
        <v>0</v>
      </c>
      <c r="BV96">
        <f t="shared" si="52"/>
        <v>0</v>
      </c>
      <c r="BW96">
        <f t="shared" si="52"/>
        <v>0</v>
      </c>
      <c r="BX96">
        <f t="shared" ref="BX96:CU96" si="53">SUM(BX2:BX93)</f>
        <v>0</v>
      </c>
      <c r="BY96">
        <f t="shared" si="53"/>
        <v>0</v>
      </c>
      <c r="BZ96">
        <f t="shared" si="53"/>
        <v>0</v>
      </c>
      <c r="CA96">
        <f t="shared" si="53"/>
        <v>0</v>
      </c>
      <c r="CB96">
        <f t="shared" si="53"/>
        <v>0</v>
      </c>
      <c r="CC96">
        <f t="shared" si="53"/>
        <v>0</v>
      </c>
      <c r="CD96">
        <f t="shared" si="53"/>
        <v>0</v>
      </c>
      <c r="CE96">
        <f t="shared" si="53"/>
        <v>0</v>
      </c>
      <c r="CF96">
        <f t="shared" si="53"/>
        <v>0</v>
      </c>
      <c r="CG96">
        <f t="shared" si="53"/>
        <v>0</v>
      </c>
      <c r="CH96">
        <f t="shared" si="53"/>
        <v>0</v>
      </c>
      <c r="CI96">
        <f t="shared" si="53"/>
        <v>0</v>
      </c>
      <c r="CJ96">
        <f t="shared" si="53"/>
        <v>0</v>
      </c>
      <c r="CK96">
        <f t="shared" si="53"/>
        <v>0</v>
      </c>
      <c r="CL96">
        <f t="shared" si="53"/>
        <v>0</v>
      </c>
      <c r="CM96">
        <f t="shared" si="53"/>
        <v>0</v>
      </c>
      <c r="CN96">
        <f t="shared" si="53"/>
        <v>0</v>
      </c>
      <c r="CO96">
        <f t="shared" si="53"/>
        <v>0</v>
      </c>
      <c r="CP96">
        <f t="shared" si="53"/>
        <v>0</v>
      </c>
      <c r="CQ96">
        <f t="shared" si="53"/>
        <v>0</v>
      </c>
      <c r="CR96">
        <f t="shared" si="53"/>
        <v>0</v>
      </c>
      <c r="CS96">
        <f t="shared" si="53"/>
        <v>0</v>
      </c>
      <c r="CT96">
        <f t="shared" si="53"/>
        <v>0</v>
      </c>
      <c r="CU96">
        <f t="shared" si="53"/>
        <v>0</v>
      </c>
      <c r="CW96" t="s">
        <v>91</v>
      </c>
      <c r="CY96">
        <f>+SUM(CY2:CY93)</f>
        <v>7.8973319150124788E-2</v>
      </c>
    </row>
    <row r="98" spans="8:8" x14ac:dyDescent="0.25">
      <c r="H98">
        <f>H96/SUM($H$96:$CU$96)</f>
        <v>1.2113702647960803E-3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672D-9C24-DD48-B0E6-043C04345249}">
  <dimension ref="B2:K73"/>
  <sheetViews>
    <sheetView workbookViewId="0">
      <selection activeCell="Q25" sqref="Q25"/>
    </sheetView>
  </sheetViews>
  <sheetFormatPr defaultColWidth="11" defaultRowHeight="15.75" x14ac:dyDescent="0.25"/>
  <sheetData>
    <row r="2" spans="2:11" x14ac:dyDescent="0.25">
      <c r="B2" t="s">
        <v>93</v>
      </c>
      <c r="C2" t="s">
        <v>97</v>
      </c>
      <c r="D2">
        <f>+Inlet!D2</f>
        <v>8.6674785211695901E-2</v>
      </c>
      <c r="F2" s="10">
        <f>+D2/SUM($D$2:$D$73)</f>
        <v>1.3942561137519472E-2</v>
      </c>
      <c r="K2" t="s">
        <v>122</v>
      </c>
    </row>
    <row r="3" spans="2:11" x14ac:dyDescent="0.25">
      <c r="B3" t="s">
        <v>94</v>
      </c>
      <c r="C3" t="s">
        <v>97</v>
      </c>
      <c r="D3">
        <f>+Inlet!D3</f>
        <v>6.0443606911377099E-3</v>
      </c>
      <c r="F3" s="10">
        <f t="shared" ref="F3:F66" si="0">+D3/SUM($D$2:$D$73)</f>
        <v>9.7229970939731903E-4</v>
      </c>
      <c r="K3" t="s">
        <v>123</v>
      </c>
    </row>
    <row r="4" spans="2:11" x14ac:dyDescent="0.25">
      <c r="B4" t="s">
        <v>95</v>
      </c>
      <c r="C4" t="s">
        <v>97</v>
      </c>
      <c r="D4">
        <f>+Inlet!D4-Primary!CY96-Secondary!CY96</f>
        <v>5.5367353040210769</v>
      </c>
      <c r="F4" s="10">
        <f t="shared" si="0"/>
        <v>0.89064276640583417</v>
      </c>
      <c r="K4" t="s">
        <v>139</v>
      </c>
    </row>
    <row r="5" spans="2:11" x14ac:dyDescent="0.25">
      <c r="B5" t="s">
        <v>3</v>
      </c>
      <c r="C5" t="s">
        <v>97</v>
      </c>
      <c r="D5">
        <f>+Inlet!D5</f>
        <v>4.8714784776234199E-5</v>
      </c>
      <c r="F5" s="10">
        <f t="shared" si="0"/>
        <v>7.8362912972306461E-6</v>
      </c>
      <c r="K5" s="5" t="s">
        <v>124</v>
      </c>
    </row>
    <row r="6" spans="2:11" x14ac:dyDescent="0.25">
      <c r="B6" t="s">
        <v>1</v>
      </c>
      <c r="C6" t="s">
        <v>97</v>
      </c>
      <c r="D6" s="5">
        <f>+Secondary!CV2</f>
        <v>7.1114470114353595E-4</v>
      </c>
      <c r="F6" s="10">
        <f t="shared" si="0"/>
        <v>1.143951894325411E-4</v>
      </c>
      <c r="G6" s="9">
        <f>+D6/SUM($D$6:$D$73)</f>
        <v>1.2113702647960803E-3</v>
      </c>
      <c r="K6" t="s">
        <v>140</v>
      </c>
    </row>
    <row r="7" spans="2:11" x14ac:dyDescent="0.25">
      <c r="B7" t="s">
        <v>2</v>
      </c>
      <c r="C7" t="s">
        <v>97</v>
      </c>
      <c r="D7" s="5">
        <f>+Secondary!CV3</f>
        <v>1.15915726277396E-3</v>
      </c>
      <c r="F7" s="10">
        <f t="shared" si="0"/>
        <v>1.8646277535908806E-4</v>
      </c>
      <c r="G7" s="9">
        <f t="shared" ref="G7:G70" si="1">+D7/SUM($D$6:$D$73)</f>
        <v>1.9745188821471329E-3</v>
      </c>
      <c r="K7" t="s">
        <v>125</v>
      </c>
    </row>
    <row r="8" spans="2:11" x14ac:dyDescent="0.25">
      <c r="B8" t="s">
        <v>4</v>
      </c>
      <c r="C8" t="s">
        <v>97</v>
      </c>
      <c r="D8" s="5">
        <f>+Secondary!CV4</f>
        <v>2.5701200645325E-3</v>
      </c>
      <c r="F8" s="10">
        <f t="shared" si="0"/>
        <v>4.1343115005117338E-4</v>
      </c>
      <c r="G8" s="9">
        <f t="shared" si="1"/>
        <v>4.3779655787691196E-3</v>
      </c>
      <c r="K8" t="s">
        <v>126</v>
      </c>
    </row>
    <row r="9" spans="2:11" x14ac:dyDescent="0.25">
      <c r="B9" t="s">
        <v>5</v>
      </c>
      <c r="C9" t="s">
        <v>97</v>
      </c>
      <c r="D9" s="5">
        <f>+Secondary!CV5</f>
        <v>0</v>
      </c>
      <c r="F9" s="10">
        <f t="shared" si="0"/>
        <v>0</v>
      </c>
      <c r="G9" s="9">
        <f t="shared" si="1"/>
        <v>0</v>
      </c>
      <c r="K9">
        <v>0</v>
      </c>
    </row>
    <row r="10" spans="2:11" x14ac:dyDescent="0.25">
      <c r="B10" t="s">
        <v>6</v>
      </c>
      <c r="C10" t="s">
        <v>97</v>
      </c>
      <c r="D10" s="5">
        <f>+Secondary!CV6</f>
        <v>4.6010387801789364E-2</v>
      </c>
      <c r="F10" s="10">
        <f t="shared" si="0"/>
        <v>7.4012602779529469E-3</v>
      </c>
      <c r="G10" s="9">
        <f t="shared" si="1"/>
        <v>7.8374507417688477E-2</v>
      </c>
      <c r="K10" t="s">
        <v>141</v>
      </c>
    </row>
    <row r="11" spans="2:11" x14ac:dyDescent="0.25">
      <c r="B11" t="s">
        <v>7</v>
      </c>
      <c r="C11" t="s">
        <v>97</v>
      </c>
      <c r="D11" s="5">
        <f>+Secondary!CV7</f>
        <v>1.6611306944078475E-8</v>
      </c>
      <c r="F11" s="10">
        <f t="shared" si="0"/>
        <v>2.6721054119285342E-9</v>
      </c>
      <c r="G11" s="9">
        <f t="shared" si="1"/>
        <v>2.829584929635275E-8</v>
      </c>
      <c r="K11" s="5" t="s">
        <v>142</v>
      </c>
    </row>
    <row r="12" spans="2:11" x14ac:dyDescent="0.25">
      <c r="B12" t="s">
        <v>8</v>
      </c>
      <c r="C12" t="s">
        <v>97</v>
      </c>
      <c r="D12" s="5">
        <f>+Secondary!CV8</f>
        <v>6.7760037757795585E-2</v>
      </c>
      <c r="F12" s="10">
        <f t="shared" si="0"/>
        <v>1.0899922818513178E-2</v>
      </c>
      <c r="G12" s="9">
        <f t="shared" si="1"/>
        <v>0.11542305630522566</v>
      </c>
      <c r="K12" t="s">
        <v>143</v>
      </c>
    </row>
    <row r="13" spans="2:11" x14ac:dyDescent="0.25">
      <c r="B13" t="s">
        <v>9</v>
      </c>
      <c r="C13" t="s">
        <v>97</v>
      </c>
      <c r="D13" s="5">
        <f>+Secondary!CV9</f>
        <v>1.0153018821769684E-4</v>
      </c>
      <c r="F13" s="10">
        <f t="shared" si="0"/>
        <v>1.6332210723933554E-5</v>
      </c>
      <c r="G13" s="9">
        <f t="shared" si="1"/>
        <v>1.729474336071065E-4</v>
      </c>
      <c r="K13" t="s">
        <v>144</v>
      </c>
    </row>
    <row r="14" spans="2:11" x14ac:dyDescent="0.25">
      <c r="B14" t="s">
        <v>10</v>
      </c>
      <c r="C14" t="s">
        <v>97</v>
      </c>
      <c r="D14" s="5">
        <f>+Secondary!CV10</f>
        <v>8.1154749464936498E-23</v>
      </c>
      <c r="F14" s="10">
        <f t="shared" si="0"/>
        <v>1.3054604672527847E-23</v>
      </c>
      <c r="G14" s="9">
        <f t="shared" si="1"/>
        <v>1.382397284135248E-22</v>
      </c>
      <c r="K14" s="5" t="s">
        <v>127</v>
      </c>
    </row>
    <row r="15" spans="2:11" x14ac:dyDescent="0.25">
      <c r="B15" t="s">
        <v>11</v>
      </c>
      <c r="C15" t="s">
        <v>97</v>
      </c>
      <c r="D15" s="5">
        <f>+Secondary!CV11</f>
        <v>5.6768236395870496E-2</v>
      </c>
      <c r="F15" s="10">
        <f t="shared" si="0"/>
        <v>9.1317746526330956E-3</v>
      </c>
      <c r="G15" s="9">
        <f t="shared" si="1"/>
        <v>9.6699523239493643E-2</v>
      </c>
      <c r="K15" t="s">
        <v>145</v>
      </c>
    </row>
    <row r="16" spans="2:11" x14ac:dyDescent="0.25">
      <c r="B16" t="s">
        <v>96</v>
      </c>
      <c r="C16" t="s">
        <v>97</v>
      </c>
      <c r="D16" s="5">
        <f>+Secondary!CV12</f>
        <v>7.9740251659888401E-4</v>
      </c>
      <c r="F16" s="10">
        <f t="shared" si="0"/>
        <v>1.2827067654955763E-4</v>
      </c>
      <c r="G16" s="9">
        <f t="shared" si="1"/>
        <v>1.3583026016058097E-3</v>
      </c>
      <c r="K16" t="s">
        <v>128</v>
      </c>
    </row>
    <row r="17" spans="2:11" x14ac:dyDescent="0.25">
      <c r="B17" t="s">
        <v>12</v>
      </c>
      <c r="C17" t="s">
        <v>97</v>
      </c>
      <c r="D17" s="5">
        <f>+Secondary!CV13</f>
        <v>4.9454120758277598E-20</v>
      </c>
      <c r="F17" s="10">
        <f t="shared" si="0"/>
        <v>7.955221354058951E-21</v>
      </c>
      <c r="G17" s="9">
        <f t="shared" si="1"/>
        <v>8.4240593035256978E-20</v>
      </c>
      <c r="K17" s="5" t="s">
        <v>113</v>
      </c>
    </row>
    <row r="18" spans="2:11" x14ac:dyDescent="0.25">
      <c r="B18" t="s">
        <v>98</v>
      </c>
      <c r="C18" t="s">
        <v>97</v>
      </c>
      <c r="D18" s="5">
        <f>+Secondary!CV14</f>
        <v>7.7846204715078602E-5</v>
      </c>
      <c r="F18" s="10">
        <f t="shared" si="0"/>
        <v>1.2522390057418676E-5</v>
      </c>
      <c r="G18" s="9">
        <f t="shared" si="1"/>
        <v>1.3260392360012988E-4</v>
      </c>
      <c r="K18" t="s">
        <v>146</v>
      </c>
    </row>
    <row r="19" spans="2:11" x14ac:dyDescent="0.25">
      <c r="B19" t="s">
        <v>13</v>
      </c>
      <c r="C19" t="s">
        <v>97</v>
      </c>
      <c r="D19" s="5">
        <f>+Secondary!CV15</f>
        <v>2.94082363397296E-3</v>
      </c>
      <c r="F19" s="10">
        <f t="shared" si="0"/>
        <v>4.7306276226915053E-4</v>
      </c>
      <c r="G19" s="9">
        <f t="shared" si="1"/>
        <v>5.0094253651555547E-3</v>
      </c>
      <c r="K19" t="s">
        <v>129</v>
      </c>
    </row>
    <row r="20" spans="2:11" x14ac:dyDescent="0.25">
      <c r="B20" t="s">
        <v>14</v>
      </c>
      <c r="C20" t="s">
        <v>97</v>
      </c>
      <c r="D20" s="5">
        <f>+Secondary!CV16</f>
        <v>4.8824706374951239E-2</v>
      </c>
      <c r="F20" s="10">
        <f t="shared" si="0"/>
        <v>7.8539733555905607E-3</v>
      </c>
      <c r="G20" s="9">
        <f t="shared" si="1"/>
        <v>8.3168442927170017E-2</v>
      </c>
      <c r="K20" t="s">
        <v>147</v>
      </c>
    </row>
    <row r="21" spans="2:11" x14ac:dyDescent="0.25">
      <c r="B21" t="s">
        <v>15</v>
      </c>
      <c r="C21" t="s">
        <v>97</v>
      </c>
      <c r="D21" s="5">
        <f>+Secondary!CV17</f>
        <v>1.63131923146749E-17</v>
      </c>
      <c r="F21" s="10">
        <f t="shared" si="0"/>
        <v>2.6241505028243876E-18</v>
      </c>
      <c r="G21" s="9">
        <f t="shared" si="1"/>
        <v>2.7788038161741899E-17</v>
      </c>
      <c r="K21" s="5" t="s">
        <v>114</v>
      </c>
    </row>
    <row r="22" spans="2:11" x14ac:dyDescent="0.25">
      <c r="B22" t="s">
        <v>99</v>
      </c>
      <c r="C22" t="s">
        <v>97</v>
      </c>
      <c r="D22" s="5">
        <f>+Secondary!CV18</f>
        <v>4.3282018242143298E-19</v>
      </c>
      <c r="F22" s="10">
        <f t="shared" si="0"/>
        <v>6.9623730133557313E-20</v>
      </c>
      <c r="G22" s="9">
        <f t="shared" si="1"/>
        <v>7.3726978229022094E-19</v>
      </c>
      <c r="K22" s="5" t="s">
        <v>115</v>
      </c>
    </row>
    <row r="23" spans="2:11" x14ac:dyDescent="0.25">
      <c r="B23" t="s">
        <v>100</v>
      </c>
      <c r="C23" t="s">
        <v>97</v>
      </c>
      <c r="D23" s="5">
        <f>+Secondary!CV19</f>
        <v>2.0961080448768401E-4</v>
      </c>
      <c r="F23" s="10">
        <f t="shared" si="0"/>
        <v>3.3718127475207302E-5</v>
      </c>
      <c r="G23" s="9">
        <f t="shared" si="1"/>
        <v>3.5705292513332705E-4</v>
      </c>
      <c r="K23" t="s">
        <v>130</v>
      </c>
    </row>
    <row r="24" spans="2:11" x14ac:dyDescent="0.25">
      <c r="B24" t="s">
        <v>16</v>
      </c>
      <c r="C24" t="s">
        <v>97</v>
      </c>
      <c r="D24" s="5">
        <f>+Secondary!CV20</f>
        <v>4.4899451128042292E-2</v>
      </c>
      <c r="F24" s="10">
        <f t="shared" si="0"/>
        <v>7.2225542972481809E-3</v>
      </c>
      <c r="G24" s="9">
        <f t="shared" si="1"/>
        <v>7.6482127919557288E-2</v>
      </c>
      <c r="K24" t="s">
        <v>148</v>
      </c>
    </row>
    <row r="25" spans="2:11" x14ac:dyDescent="0.25">
      <c r="B25" t="s">
        <v>17</v>
      </c>
      <c r="C25" t="s">
        <v>97</v>
      </c>
      <c r="D25" s="5">
        <f>+Secondary!CV21</f>
        <v>1.44797760949513E-3</v>
      </c>
      <c r="F25" s="10">
        <f t="shared" si="0"/>
        <v>2.3292260023300186E-4</v>
      </c>
      <c r="G25" s="9">
        <f t="shared" si="1"/>
        <v>2.466498052242225E-3</v>
      </c>
      <c r="K25" t="s">
        <v>131</v>
      </c>
    </row>
    <row r="26" spans="2:11" x14ac:dyDescent="0.25">
      <c r="B26" t="s">
        <v>18</v>
      </c>
      <c r="C26" t="s">
        <v>97</v>
      </c>
      <c r="D26" s="5">
        <f>+Secondary!CV22</f>
        <v>1.61549255798959E-15</v>
      </c>
      <c r="F26" s="10">
        <f t="shared" si="0"/>
        <v>2.5986916150947871E-16</v>
      </c>
      <c r="G26" s="9">
        <f t="shared" si="1"/>
        <v>2.7518445185643841E-15</v>
      </c>
      <c r="K26" s="5" t="s">
        <v>116</v>
      </c>
    </row>
    <row r="27" spans="2:11" x14ac:dyDescent="0.25">
      <c r="B27" t="s">
        <v>19</v>
      </c>
      <c r="C27" t="s">
        <v>97</v>
      </c>
      <c r="D27" s="5">
        <f>+Secondary!CV23</f>
        <v>1.1090436396881701E-15</v>
      </c>
      <c r="F27" s="10">
        <f t="shared" si="0"/>
        <v>1.7840146604070111E-16</v>
      </c>
      <c r="G27" s="9">
        <f t="shared" si="1"/>
        <v>1.8891548869296933E-15</v>
      </c>
      <c r="K27" s="5" t="s">
        <v>117</v>
      </c>
    </row>
    <row r="28" spans="2:11" x14ac:dyDescent="0.25">
      <c r="B28" t="s">
        <v>101</v>
      </c>
      <c r="C28" t="s">
        <v>97</v>
      </c>
      <c r="D28" s="5">
        <f>+Secondary!CV24</f>
        <v>1.9452524184119399E-4</v>
      </c>
      <c r="F28" s="10">
        <f t="shared" si="0"/>
        <v>3.1291454262474786E-5</v>
      </c>
      <c r="G28" s="9">
        <f t="shared" si="1"/>
        <v>3.3135604236348966E-4</v>
      </c>
      <c r="K28" t="s">
        <v>132</v>
      </c>
    </row>
    <row r="29" spans="2:11" x14ac:dyDescent="0.25">
      <c r="B29" t="s">
        <v>20</v>
      </c>
      <c r="C29" t="s">
        <v>97</v>
      </c>
      <c r="D29" s="5">
        <f>+Secondary!CV25</f>
        <v>4.3837612106098156E-2</v>
      </c>
      <c r="F29" s="10">
        <f t="shared" si="0"/>
        <v>7.0517461960743428E-3</v>
      </c>
      <c r="G29" s="9">
        <f t="shared" si="1"/>
        <v>7.4673381802044331E-2</v>
      </c>
      <c r="K29" t="s">
        <v>149</v>
      </c>
    </row>
    <row r="30" spans="2:11" x14ac:dyDescent="0.25">
      <c r="B30" t="s">
        <v>21</v>
      </c>
      <c r="C30" t="s">
        <v>97</v>
      </c>
      <c r="D30" s="5">
        <f>+Secondary!CV26</f>
        <v>5.1664314562474838E-4</v>
      </c>
      <c r="F30" s="10">
        <f t="shared" si="0"/>
        <v>8.3107545366970377E-5</v>
      </c>
      <c r="G30" s="9">
        <f t="shared" si="1"/>
        <v>8.8005456992670719E-4</v>
      </c>
      <c r="K30" t="s">
        <v>150</v>
      </c>
    </row>
    <row r="31" spans="2:11" x14ac:dyDescent="0.25">
      <c r="B31" t="s">
        <v>22</v>
      </c>
      <c r="C31" t="s">
        <v>97</v>
      </c>
      <c r="D31" s="5">
        <f>+Secondary!CV27</f>
        <v>6.6292358482075656E-13</v>
      </c>
      <c r="F31" s="10">
        <f t="shared" si="0"/>
        <v>1.066383099570663E-13</v>
      </c>
      <c r="G31" s="9">
        <f t="shared" si="1"/>
        <v>1.1292299825795953E-12</v>
      </c>
      <c r="K31" s="5" t="s">
        <v>151</v>
      </c>
    </row>
    <row r="32" spans="2:11" x14ac:dyDescent="0.25">
      <c r="B32" t="s">
        <v>23</v>
      </c>
      <c r="C32" t="s">
        <v>97</v>
      </c>
      <c r="D32" s="5">
        <f>+Secondary!CV28</f>
        <v>3.6401436079514898E-4</v>
      </c>
      <c r="F32" s="10">
        <f t="shared" si="0"/>
        <v>5.8555581856077972E-5</v>
      </c>
      <c r="G32" s="9">
        <f t="shared" si="1"/>
        <v>6.200653283599364E-4</v>
      </c>
      <c r="K32" t="s">
        <v>133</v>
      </c>
    </row>
    <row r="33" spans="2:11" x14ac:dyDescent="0.25">
      <c r="B33" t="s">
        <v>24</v>
      </c>
      <c r="C33" t="s">
        <v>97</v>
      </c>
      <c r="D33" s="5">
        <f>+Secondary!CV29</f>
        <v>3.55320707761801E-12</v>
      </c>
      <c r="F33" s="10">
        <f t="shared" si="0"/>
        <v>5.7157115293630933E-13</v>
      </c>
      <c r="G33" s="9">
        <f t="shared" si="1"/>
        <v>6.0525648177763393E-12</v>
      </c>
      <c r="K33" s="5" t="s">
        <v>134</v>
      </c>
    </row>
    <row r="34" spans="2:11" x14ac:dyDescent="0.25">
      <c r="B34" t="s">
        <v>25</v>
      </c>
      <c r="C34" t="s">
        <v>97</v>
      </c>
      <c r="D34" s="5">
        <f>+Secondary!CV30</f>
        <v>4.2264426957971862E-2</v>
      </c>
      <c r="F34" s="10">
        <f t="shared" si="0"/>
        <v>6.7986826314538375E-3</v>
      </c>
      <c r="G34" s="9">
        <f t="shared" si="1"/>
        <v>7.1993604105051595E-2</v>
      </c>
      <c r="K34" t="s">
        <v>152</v>
      </c>
    </row>
    <row r="35" spans="2:11" x14ac:dyDescent="0.25">
      <c r="B35" t="s">
        <v>26</v>
      </c>
      <c r="C35" t="s">
        <v>97</v>
      </c>
      <c r="D35" s="5">
        <f>+Secondary!CV31</f>
        <v>3.262414759585612E-4</v>
      </c>
      <c r="F35" s="10">
        <f t="shared" si="0"/>
        <v>5.2479411550165973E-5</v>
      </c>
      <c r="G35" s="9">
        <f t="shared" si="1"/>
        <v>5.5572265740558497E-4</v>
      </c>
      <c r="K35" t="s">
        <v>153</v>
      </c>
    </row>
    <row r="36" spans="2:11" x14ac:dyDescent="0.25">
      <c r="B36" t="s">
        <v>27</v>
      </c>
      <c r="C36" t="s">
        <v>97</v>
      </c>
      <c r="D36" s="5">
        <f>+Secondary!CV32</f>
        <v>2.8015895533344755E-11</v>
      </c>
      <c r="F36" s="10">
        <f t="shared" si="0"/>
        <v>4.5066547940324003E-12</v>
      </c>
      <c r="G36" s="9">
        <f t="shared" si="1"/>
        <v>4.7722527828942167E-11</v>
      </c>
      <c r="K36" s="5" t="s">
        <v>154</v>
      </c>
    </row>
    <row r="37" spans="2:11" x14ac:dyDescent="0.25">
      <c r="B37" t="s">
        <v>28</v>
      </c>
      <c r="C37" t="s">
        <v>97</v>
      </c>
      <c r="D37" s="5">
        <f>+Secondary!CV33</f>
        <v>8.4212847972979201E-5</v>
      </c>
      <c r="F37" s="10">
        <f t="shared" si="0"/>
        <v>1.3546532345712192E-5</v>
      </c>
      <c r="G37" s="9">
        <f t="shared" si="1"/>
        <v>1.4344892085143974E-4</v>
      </c>
      <c r="K37" t="s">
        <v>155</v>
      </c>
    </row>
    <row r="38" spans="2:11" x14ac:dyDescent="0.25">
      <c r="B38" t="s">
        <v>29</v>
      </c>
      <c r="C38" t="s">
        <v>97</v>
      </c>
      <c r="D38" s="5">
        <f>+Secondary!CV34</f>
        <v>6.2978783674192802E-9</v>
      </c>
      <c r="F38" s="10">
        <f t="shared" si="0"/>
        <v>1.013080724226078E-9</v>
      </c>
      <c r="G38" s="9">
        <f t="shared" si="1"/>
        <v>1.0727862519859181E-8</v>
      </c>
      <c r="K38" s="5" t="s">
        <v>135</v>
      </c>
    </row>
    <row r="39" spans="2:11" x14ac:dyDescent="0.25">
      <c r="B39" t="s">
        <v>30</v>
      </c>
      <c r="C39" t="s">
        <v>97</v>
      </c>
      <c r="D39" s="5">
        <f>+Secondary!CV35</f>
        <v>4.0899805931452413E-2</v>
      </c>
      <c r="F39" s="10">
        <f t="shared" si="0"/>
        <v>6.5791688242338728E-3</v>
      </c>
      <c r="G39" s="9">
        <f t="shared" si="1"/>
        <v>6.9669096404181438E-2</v>
      </c>
      <c r="K39" t="s">
        <v>156</v>
      </c>
    </row>
    <row r="40" spans="2:11" x14ac:dyDescent="0.25">
      <c r="B40" t="s">
        <v>31</v>
      </c>
      <c r="C40" t="s">
        <v>97</v>
      </c>
      <c r="D40" s="5">
        <f>+Secondary!CV36</f>
        <v>3.7631744863843029E-5</v>
      </c>
      <c r="F40" s="10">
        <f t="shared" si="0"/>
        <v>6.05346644002834E-6</v>
      </c>
      <c r="G40" s="9">
        <f t="shared" si="1"/>
        <v>6.4102251858375413E-5</v>
      </c>
      <c r="K40" t="s">
        <v>157</v>
      </c>
    </row>
    <row r="41" spans="2:11" x14ac:dyDescent="0.25">
      <c r="B41" t="s">
        <v>32</v>
      </c>
      <c r="C41" t="s">
        <v>97</v>
      </c>
      <c r="D41" s="5">
        <f>+Secondary!CV37</f>
        <v>2.7356582288642849E-8</v>
      </c>
      <c r="F41" s="10">
        <f>+D41/SUM($D$2:$D$73)</f>
        <v>4.4005972456856615E-9</v>
      </c>
      <c r="G41" s="9">
        <f t="shared" si="1"/>
        <v>4.6599447732115418E-8</v>
      </c>
      <c r="K41" s="5" t="s">
        <v>158</v>
      </c>
    </row>
    <row r="42" spans="2:11" x14ac:dyDescent="0.25">
      <c r="B42" t="s">
        <v>33</v>
      </c>
      <c r="C42" t="s">
        <v>97</v>
      </c>
      <c r="D42" s="5">
        <f>+Secondary!CV38</f>
        <v>1.2093808049619699E-5</v>
      </c>
      <c r="F42" s="10">
        <f t="shared" si="0"/>
        <v>1.9454176633424684E-6</v>
      </c>
      <c r="G42" s="9">
        <f t="shared" si="1"/>
        <v>2.0600701145495619E-5</v>
      </c>
      <c r="K42" t="s">
        <v>159</v>
      </c>
    </row>
    <row r="43" spans="2:11" x14ac:dyDescent="0.25">
      <c r="B43" t="s">
        <v>34</v>
      </c>
      <c r="C43" t="s">
        <v>97</v>
      </c>
      <c r="D43" s="5">
        <f>+Secondary!CV39</f>
        <v>3.2000962591801201E-7</v>
      </c>
      <c r="F43" s="10">
        <f t="shared" si="0"/>
        <v>5.1476952184642379E-8</v>
      </c>
      <c r="G43" s="9">
        <f t="shared" si="1"/>
        <v>5.4510726813016681E-7</v>
      </c>
      <c r="K43" s="5" t="s">
        <v>136</v>
      </c>
    </row>
    <row r="44" spans="2:11" x14ac:dyDescent="0.25">
      <c r="B44" t="s">
        <v>35</v>
      </c>
      <c r="C44" t="s">
        <v>97</v>
      </c>
      <c r="D44" s="5">
        <f>+Secondary!CV40</f>
        <v>3.9074290219924937E-2</v>
      </c>
      <c r="F44" s="10">
        <f t="shared" si="0"/>
        <v>6.2855152045184172E-3</v>
      </c>
      <c r="G44" s="9">
        <f t="shared" si="1"/>
        <v>6.6559496561411732E-2</v>
      </c>
      <c r="K44" t="s">
        <v>160</v>
      </c>
    </row>
    <row r="45" spans="2:11" x14ac:dyDescent="0.25">
      <c r="B45" t="s">
        <v>36</v>
      </c>
      <c r="C45" t="s">
        <v>97</v>
      </c>
      <c r="D45" s="5">
        <f>+Secondary!CV41</f>
        <v>6.2800527382418701E-7</v>
      </c>
      <c r="F45" s="10">
        <f t="shared" si="0"/>
        <v>1.0102132821665013E-7</v>
      </c>
      <c r="G45" s="9">
        <f t="shared" si="1"/>
        <v>1.0697498183174857E-6</v>
      </c>
      <c r="K45" s="5" t="s">
        <v>161</v>
      </c>
    </row>
    <row r="46" spans="2:11" x14ac:dyDescent="0.25">
      <c r="B46" t="s">
        <v>37</v>
      </c>
      <c r="C46" t="s">
        <v>97</v>
      </c>
      <c r="D46" s="5">
        <f>+Secondary!CV42</f>
        <v>1.65554693590926E-7</v>
      </c>
      <c r="F46" s="10">
        <f t="shared" si="0"/>
        <v>2.6631233424542856E-8</v>
      </c>
      <c r="G46" s="9">
        <f t="shared" si="1"/>
        <v>2.820073505307547E-7</v>
      </c>
      <c r="K46" s="5" t="s">
        <v>162</v>
      </c>
    </row>
    <row r="47" spans="2:11" x14ac:dyDescent="0.25">
      <c r="B47" t="s">
        <v>102</v>
      </c>
      <c r="C47" t="s">
        <v>97</v>
      </c>
      <c r="D47" s="5">
        <f>+Secondary!CV43</f>
        <v>2.7525267832290686E-7</v>
      </c>
      <c r="F47" s="10">
        <f t="shared" si="0"/>
        <v>4.4277321096438625E-8</v>
      </c>
      <c r="G47" s="9">
        <f t="shared" si="1"/>
        <v>4.6886788200725207E-7</v>
      </c>
      <c r="K47" s="5" t="s">
        <v>163</v>
      </c>
    </row>
    <row r="48" spans="2:11" x14ac:dyDescent="0.25">
      <c r="B48" t="s">
        <v>38</v>
      </c>
      <c r="C48" t="s">
        <v>97</v>
      </c>
      <c r="D48" s="5">
        <f>+Secondary!CV44</f>
        <v>9.7493959337909587E-7</v>
      </c>
      <c r="F48" s="10">
        <f t="shared" si="0"/>
        <v>1.568294037634622E-7</v>
      </c>
      <c r="G48" s="9">
        <f t="shared" si="1"/>
        <v>1.6607208511751886E-6</v>
      </c>
      <c r="K48" s="5" t="s">
        <v>164</v>
      </c>
    </row>
    <row r="49" spans="2:11" x14ac:dyDescent="0.25">
      <c r="B49" t="s">
        <v>39</v>
      </c>
      <c r="C49" t="s">
        <v>97</v>
      </c>
      <c r="D49" s="5">
        <f>+Secondary!CV45</f>
        <v>3.6691469381432883E-2</v>
      </c>
      <c r="F49" s="10">
        <f t="shared" si="0"/>
        <v>5.9022131272269945E-3</v>
      </c>
      <c r="G49" s="9">
        <f t="shared" si="1"/>
        <v>6.2500578164854437E-2</v>
      </c>
      <c r="K49" t="s">
        <v>165</v>
      </c>
    </row>
    <row r="50" spans="2:11" x14ac:dyDescent="0.25">
      <c r="B50" t="s">
        <v>40</v>
      </c>
      <c r="C50" t="s">
        <v>97</v>
      </c>
      <c r="D50" s="5">
        <f>+Secondary!CV46</f>
        <v>1.2108110632732872E-7</v>
      </c>
      <c r="F50" s="10">
        <f t="shared" si="0"/>
        <v>1.9477183859689256E-8</v>
      </c>
      <c r="G50" s="9">
        <f t="shared" si="1"/>
        <v>2.0625064293902987E-7</v>
      </c>
      <c r="K50" s="5" t="s">
        <v>166</v>
      </c>
    </row>
    <row r="51" spans="2:11" x14ac:dyDescent="0.25">
      <c r="B51" t="s">
        <v>41</v>
      </c>
      <c r="C51" t="s">
        <v>97</v>
      </c>
      <c r="D51" s="5">
        <f>+Secondary!CV47</f>
        <v>5.4930049786511697E-7</v>
      </c>
      <c r="F51" s="10">
        <f t="shared" si="0"/>
        <v>8.836082784224561E-8</v>
      </c>
      <c r="G51" s="9">
        <f t="shared" si="1"/>
        <v>9.3568339675666259E-7</v>
      </c>
      <c r="K51" s="5" t="s">
        <v>137</v>
      </c>
    </row>
    <row r="52" spans="2:11" x14ac:dyDescent="0.25">
      <c r="B52" t="s">
        <v>103</v>
      </c>
      <c r="C52" t="s">
        <v>97</v>
      </c>
      <c r="D52" s="5">
        <f>+Secondary!CV48</f>
        <v>9.8777101473426203E-8</v>
      </c>
      <c r="F52" s="10">
        <f t="shared" si="0"/>
        <v>1.5889347437279481E-8</v>
      </c>
      <c r="G52" s="9">
        <f t="shared" si="1"/>
        <v>1.6825780094437142E-7</v>
      </c>
      <c r="K52" s="5" t="s">
        <v>138</v>
      </c>
    </row>
    <row r="53" spans="2:11" x14ac:dyDescent="0.25">
      <c r="B53" t="s">
        <v>42</v>
      </c>
      <c r="C53" t="s">
        <v>97</v>
      </c>
      <c r="D53" s="5">
        <f>+Secondary!CV49</f>
        <v>1.3616363339445764E-6</v>
      </c>
      <c r="F53" s="10">
        <f t="shared" si="0"/>
        <v>2.1903368767192909E-7</v>
      </c>
      <c r="G53" s="9">
        <f t="shared" si="1"/>
        <v>2.3194235487574627E-6</v>
      </c>
      <c r="K53" s="5" t="s">
        <v>167</v>
      </c>
    </row>
    <row r="54" spans="2:11" x14ac:dyDescent="0.25">
      <c r="B54" t="s">
        <v>43</v>
      </c>
      <c r="C54" t="s">
        <v>97</v>
      </c>
      <c r="D54" s="5">
        <f>+Secondary!CV50</f>
        <v>1.5827993628283517E-7</v>
      </c>
      <c r="F54" s="10">
        <f t="shared" si="0"/>
        <v>2.5461011331913016E-8</v>
      </c>
      <c r="G54" s="9">
        <f t="shared" si="1"/>
        <v>2.6961546365814127E-7</v>
      </c>
      <c r="K54" s="5" t="s">
        <v>168</v>
      </c>
    </row>
    <row r="55" spans="2:11" x14ac:dyDescent="0.25">
      <c r="B55" t="s">
        <v>44</v>
      </c>
      <c r="C55" t="s">
        <v>97</v>
      </c>
      <c r="D55" s="5">
        <f>+Secondary!CV51</f>
        <v>3.3652931993735452E-2</v>
      </c>
      <c r="F55" s="10">
        <f t="shared" si="0"/>
        <v>5.4134320683165262E-3</v>
      </c>
      <c r="G55" s="9">
        <f t="shared" si="1"/>
        <v>5.7324706314851155E-2</v>
      </c>
      <c r="K55" t="s">
        <v>169</v>
      </c>
    </row>
    <row r="56" spans="2:11" x14ac:dyDescent="0.25">
      <c r="B56" t="s">
        <v>45</v>
      </c>
      <c r="C56" t="s">
        <v>97</v>
      </c>
      <c r="D56" s="5">
        <f>+Secondary!CV52</f>
        <v>1.135658611669625E-6</v>
      </c>
      <c r="F56" s="10">
        <f t="shared" si="0"/>
        <v>1.8268276738016757E-7</v>
      </c>
      <c r="G56" s="9">
        <f t="shared" si="1"/>
        <v>1.9344910690103185E-6</v>
      </c>
      <c r="K56" s="5" t="s">
        <v>170</v>
      </c>
    </row>
    <row r="57" spans="2:11" x14ac:dyDescent="0.25">
      <c r="B57" t="s">
        <v>104</v>
      </c>
      <c r="C57" t="s">
        <v>97</v>
      </c>
      <c r="D57" s="5">
        <f>+Secondary!CV53</f>
        <v>2.9591247926336852E-2</v>
      </c>
      <c r="F57" s="10">
        <f t="shared" si="0"/>
        <v>4.7600669830419676E-3</v>
      </c>
      <c r="G57" s="9">
        <f t="shared" si="1"/>
        <v>5.0405997230285285E-2</v>
      </c>
      <c r="K57" t="s">
        <v>171</v>
      </c>
    </row>
    <row r="58" spans="2:11" x14ac:dyDescent="0.25">
      <c r="B58" t="s">
        <v>105</v>
      </c>
      <c r="C58" t="s">
        <v>97</v>
      </c>
      <c r="D58" s="5">
        <f>+Secondary!CV54</f>
        <v>5.3454721063040477E-6</v>
      </c>
      <c r="F58" s="10">
        <f t="shared" si="0"/>
        <v>8.5987604663821132E-7</v>
      </c>
      <c r="G58" s="9">
        <f t="shared" si="1"/>
        <v>9.105525149046458E-6</v>
      </c>
      <c r="K58" s="5" t="s">
        <v>172</v>
      </c>
    </row>
    <row r="59" spans="2:11" x14ac:dyDescent="0.25">
      <c r="B59" t="s">
        <v>48</v>
      </c>
      <c r="C59" t="s">
        <v>97</v>
      </c>
      <c r="D59" s="5">
        <f>+Secondary!CV55</f>
        <v>2.2373374145022471E-2</v>
      </c>
      <c r="F59" s="10">
        <f t="shared" si="0"/>
        <v>3.5989952107487858E-3</v>
      </c>
      <c r="G59" s="9">
        <f t="shared" si="1"/>
        <v>3.8111006267580058E-2</v>
      </c>
      <c r="K59" t="s">
        <v>173</v>
      </c>
    </row>
    <row r="60" spans="2:11" x14ac:dyDescent="0.25">
      <c r="B60" t="s">
        <v>49</v>
      </c>
      <c r="C60" t="s">
        <v>97</v>
      </c>
      <c r="D60" s="5">
        <f>+Secondary!CV56</f>
        <v>2.2595450872389248E-5</v>
      </c>
      <c r="F60" s="10">
        <f t="shared" si="0"/>
        <v>3.6347186145157415E-6</v>
      </c>
      <c r="G60" s="9">
        <f t="shared" si="1"/>
        <v>3.8489293757598267E-5</v>
      </c>
      <c r="K60" t="s">
        <v>174</v>
      </c>
    </row>
    <row r="61" spans="2:11" x14ac:dyDescent="0.25">
      <c r="B61" t="s">
        <v>50</v>
      </c>
      <c r="C61" t="s">
        <v>97</v>
      </c>
      <c r="D61" s="5">
        <f>+Secondary!CV57</f>
        <v>1.3989379399077337E-2</v>
      </c>
      <c r="F61" s="10">
        <f t="shared" si="0"/>
        <v>2.2503404775818404E-3</v>
      </c>
      <c r="G61" s="9">
        <f t="shared" si="1"/>
        <v>2.3829634390501817E-2</v>
      </c>
      <c r="K61" t="s">
        <v>175</v>
      </c>
    </row>
    <row r="62" spans="2:11" x14ac:dyDescent="0.25">
      <c r="B62" t="s">
        <v>51</v>
      </c>
      <c r="C62" t="s">
        <v>97</v>
      </c>
      <c r="D62" s="5">
        <f>+Secondary!CV58</f>
        <v>6.8861748750250102E-6</v>
      </c>
      <c r="F62" s="10">
        <f t="shared" si="0"/>
        <v>1.1077144750250964E-6</v>
      </c>
      <c r="G62" s="9">
        <f t="shared" si="1"/>
        <v>1.1729972069506412E-5</v>
      </c>
      <c r="K62" s="5" t="s">
        <v>176</v>
      </c>
    </row>
    <row r="63" spans="2:11" x14ac:dyDescent="0.25">
      <c r="B63" t="s">
        <v>52</v>
      </c>
      <c r="C63" t="s">
        <v>97</v>
      </c>
      <c r="D63" s="5">
        <f>+Secondary!CV59</f>
        <v>7.2942537008095108E-3</v>
      </c>
      <c r="F63" s="10">
        <f t="shared" si="0"/>
        <v>1.1733582947764927E-3</v>
      </c>
      <c r="G63" s="9">
        <f t="shared" si="1"/>
        <v>1.2425097202905203E-2</v>
      </c>
      <c r="K63" t="s">
        <v>177</v>
      </c>
    </row>
    <row r="64" spans="2:11" x14ac:dyDescent="0.25">
      <c r="B64" t="s">
        <v>53</v>
      </c>
      <c r="C64" t="s">
        <v>97</v>
      </c>
      <c r="D64" s="5">
        <f>+Secondary!CV60</f>
        <v>9.3084043049297997E-4</v>
      </c>
      <c r="F64" s="10">
        <f t="shared" si="0"/>
        <v>1.4973558434237718E-4</v>
      </c>
      <c r="G64" s="9">
        <f t="shared" si="1"/>
        <v>1.5856019414276525E-3</v>
      </c>
      <c r="K64" t="s">
        <v>178</v>
      </c>
    </row>
    <row r="65" spans="2:11" x14ac:dyDescent="0.25">
      <c r="B65" t="s">
        <v>54</v>
      </c>
      <c r="C65" t="s">
        <v>97</v>
      </c>
      <c r="D65" s="5">
        <f>+Secondary!CV61</f>
        <v>4.2906754222398386E-4</v>
      </c>
      <c r="F65" s="10">
        <f t="shared" si="0"/>
        <v>6.9020078041980091E-5</v>
      </c>
      <c r="G65" s="9">
        <f t="shared" si="1"/>
        <v>7.3087750130667629E-4</v>
      </c>
      <c r="K65" t="s">
        <v>179</v>
      </c>
    </row>
    <row r="66" spans="2:11" x14ac:dyDescent="0.25">
      <c r="B66" t="s">
        <v>55</v>
      </c>
      <c r="C66" t="s">
        <v>97</v>
      </c>
      <c r="D66" s="5">
        <f>+Secondary!CV62</f>
        <v>1.4791037473839888E-4</v>
      </c>
      <c r="F66" s="10">
        <f t="shared" si="0"/>
        <v>2.3792957059272435E-5</v>
      </c>
      <c r="G66" s="9">
        <f t="shared" si="1"/>
        <v>2.5195185948067347E-4</v>
      </c>
      <c r="K66" t="s">
        <v>180</v>
      </c>
    </row>
    <row r="67" spans="2:11" x14ac:dyDescent="0.25">
      <c r="B67" t="s">
        <v>56</v>
      </c>
      <c r="C67" t="s">
        <v>97</v>
      </c>
      <c r="D67" s="5">
        <f>+Secondary!CV63</f>
        <v>2.7008371223039941E-5</v>
      </c>
      <c r="F67" s="10">
        <f t="shared" ref="F67:F73" si="2">+D67/SUM($D$2:$D$73)</f>
        <v>4.3445837919566272E-6</v>
      </c>
      <c r="G67" s="9">
        <f t="shared" si="1"/>
        <v>4.6006301878583735E-5</v>
      </c>
      <c r="K67" s="5" t="s">
        <v>181</v>
      </c>
    </row>
    <row r="68" spans="2:11" x14ac:dyDescent="0.25">
      <c r="B68" t="s">
        <v>57</v>
      </c>
      <c r="C68" t="s">
        <v>97</v>
      </c>
      <c r="D68" s="5">
        <f>+Secondary!CV64</f>
        <v>0</v>
      </c>
      <c r="F68" s="10">
        <f t="shared" si="2"/>
        <v>0</v>
      </c>
      <c r="G68" s="9">
        <f t="shared" si="1"/>
        <v>0</v>
      </c>
      <c r="K68">
        <v>0</v>
      </c>
    </row>
    <row r="69" spans="2:11" x14ac:dyDescent="0.25">
      <c r="B69" t="s">
        <v>58</v>
      </c>
      <c r="C69" t="s">
        <v>97</v>
      </c>
      <c r="D69" s="5">
        <f>+Secondary!CV65</f>
        <v>0</v>
      </c>
      <c r="F69" s="10">
        <f t="shared" si="2"/>
        <v>0</v>
      </c>
      <c r="G69" s="9">
        <f t="shared" si="1"/>
        <v>0</v>
      </c>
      <c r="K69">
        <v>0</v>
      </c>
    </row>
    <row r="70" spans="2:11" x14ac:dyDescent="0.25">
      <c r="B70" t="s">
        <v>59</v>
      </c>
      <c r="C70" t="s">
        <v>97</v>
      </c>
      <c r="D70" s="5">
        <f>+Secondary!CV66</f>
        <v>0</v>
      </c>
      <c r="F70" s="10">
        <f t="shared" si="2"/>
        <v>0</v>
      </c>
      <c r="G70" s="9">
        <f t="shared" si="1"/>
        <v>0</v>
      </c>
      <c r="K70">
        <v>0</v>
      </c>
    </row>
    <row r="71" spans="2:11" x14ac:dyDescent="0.25">
      <c r="B71" t="s">
        <v>60</v>
      </c>
      <c r="C71" t="s">
        <v>97</v>
      </c>
      <c r="D71" s="5">
        <f>+Secondary!CV67</f>
        <v>0</v>
      </c>
      <c r="F71" s="10">
        <f t="shared" si="2"/>
        <v>0</v>
      </c>
      <c r="G71" s="9">
        <f t="shared" ref="G71:G73" si="3">+D71/SUM($D$6:$D$73)</f>
        <v>0</v>
      </c>
      <c r="K71">
        <v>0</v>
      </c>
    </row>
    <row r="72" spans="2:11" x14ac:dyDescent="0.25">
      <c r="B72" t="s">
        <v>61</v>
      </c>
      <c r="C72" t="s">
        <v>97</v>
      </c>
      <c r="D72" s="5">
        <f>+Secondary!CV68</f>
        <v>0</v>
      </c>
      <c r="F72" s="10">
        <f t="shared" si="2"/>
        <v>0</v>
      </c>
      <c r="G72" s="9">
        <f t="shared" si="3"/>
        <v>0</v>
      </c>
      <c r="K72">
        <v>0</v>
      </c>
    </row>
    <row r="73" spans="2:11" x14ac:dyDescent="0.25">
      <c r="B73" t="s">
        <v>62</v>
      </c>
      <c r="C73" t="s">
        <v>97</v>
      </c>
      <c r="D73" s="5">
        <f>+Secondary!CV69</f>
        <v>0</v>
      </c>
      <c r="F73" s="10">
        <f t="shared" si="2"/>
        <v>0</v>
      </c>
      <c r="G73" s="9">
        <f t="shared" si="3"/>
        <v>0</v>
      </c>
      <c r="K7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36FF-BC1F-E248-8EC8-249FDB9D2F44}">
  <dimension ref="C3:AH95"/>
  <sheetViews>
    <sheetView topLeftCell="F7" zoomScale="150" workbookViewId="0">
      <selection activeCell="H22" sqref="H22"/>
    </sheetView>
  </sheetViews>
  <sheetFormatPr defaultColWidth="11" defaultRowHeight="15.75" x14ac:dyDescent="0.25"/>
  <cols>
    <col min="7" max="7" width="12" customWidth="1"/>
    <col min="10" max="10" width="18" bestFit="1" customWidth="1"/>
    <col min="11" max="11" width="14" bestFit="1" customWidth="1"/>
    <col min="12" max="12" width="16.375" bestFit="1" customWidth="1"/>
    <col min="13" max="13" width="19.375" bestFit="1" customWidth="1"/>
    <col min="18" max="18" width="17.125" bestFit="1" customWidth="1"/>
    <col min="19" max="19" width="13.375" bestFit="1" customWidth="1"/>
    <col min="20" max="20" width="16.375" bestFit="1" customWidth="1"/>
    <col min="21" max="21" width="18.375" bestFit="1" customWidth="1"/>
    <col min="32" max="34" width="12.125" bestFit="1" customWidth="1"/>
  </cols>
  <sheetData>
    <row r="3" spans="3:34" x14ac:dyDescent="0.25">
      <c r="C3" t="s">
        <v>118</v>
      </c>
      <c r="D3" t="s">
        <v>119</v>
      </c>
      <c r="E3" t="s">
        <v>120</v>
      </c>
      <c r="F3" t="s">
        <v>110</v>
      </c>
      <c r="G3" t="s">
        <v>109</v>
      </c>
    </row>
    <row r="4" spans="3:34" x14ac:dyDescent="0.25">
      <c r="C4" t="s">
        <v>1</v>
      </c>
      <c r="D4" s="1">
        <v>1</v>
      </c>
      <c r="E4" s="5">
        <f>+Inlet!D6</f>
        <v>7.1114470114353595E-4</v>
      </c>
      <c r="F4" s="5">
        <f>+Secondary!B2</f>
        <v>7.1114470114353595E-4</v>
      </c>
      <c r="G4" s="5">
        <f>+Outlet!D6</f>
        <v>7.1114470114353595E-4</v>
      </c>
      <c r="AF4">
        <f>+Tabella4[[#This Row],[Inlet]]*Tabella4[[#This Row],[NC]]</f>
        <v>7.1114470114353595E-4</v>
      </c>
      <c r="AG4">
        <f>+Tabella4[[#This Row],[Primary]]*Tabella4[[#This Row],[NC]]</f>
        <v>7.1114470114353595E-4</v>
      </c>
      <c r="AH4">
        <f>+Tabella4[[#This Row],[Secondary]]*Tabella4[[#This Row],[NC]]</f>
        <v>7.1114470114353595E-4</v>
      </c>
    </row>
    <row r="5" spans="3:34" x14ac:dyDescent="0.25">
      <c r="C5" t="s">
        <v>2</v>
      </c>
      <c r="D5" s="1">
        <v>1</v>
      </c>
      <c r="E5" s="5">
        <f>+Inlet!D7</f>
        <v>1.15915726277396E-3</v>
      </c>
      <c r="F5" s="5">
        <f>+Secondary!B3</f>
        <v>1.15915726277396E-3</v>
      </c>
      <c r="G5" s="5">
        <f>+Outlet!D7</f>
        <v>1.15915726277396E-3</v>
      </c>
      <c r="AF5">
        <f>+Tabella4[[#This Row],[Inlet]]*Tabella4[[#This Row],[NC]]</f>
        <v>1.15915726277396E-3</v>
      </c>
      <c r="AG5">
        <f>+Tabella4[[#This Row],[Primary]]*Tabella4[[#This Row],[NC]]</f>
        <v>1.15915726277396E-3</v>
      </c>
      <c r="AH5">
        <f>+Tabella4[[#This Row],[Secondary]]*Tabella4[[#This Row],[NC]]</f>
        <v>1.15915726277396E-3</v>
      </c>
    </row>
    <row r="6" spans="3:34" x14ac:dyDescent="0.25">
      <c r="C6" t="s">
        <v>4</v>
      </c>
      <c r="D6" s="1">
        <v>2</v>
      </c>
      <c r="E6" s="5">
        <f>+Inlet!D8</f>
        <v>2.5701200645325E-3</v>
      </c>
      <c r="F6" s="5">
        <f>+Secondary!B4</f>
        <v>2.5701200645325E-3</v>
      </c>
      <c r="G6" s="5">
        <f>+Outlet!D8</f>
        <v>2.5701200645325E-3</v>
      </c>
      <c r="AF6">
        <f>+Tabella4[[#This Row],[Inlet]]*Tabella4[[#This Row],[NC]]</f>
        <v>5.1402401290649999E-3</v>
      </c>
      <c r="AG6">
        <f>+Tabella4[[#This Row],[Primary]]*Tabella4[[#This Row],[NC]]</f>
        <v>5.1402401290649999E-3</v>
      </c>
      <c r="AH6">
        <f>+Tabella4[[#This Row],[Secondary]]*Tabella4[[#This Row],[NC]]</f>
        <v>5.1402401290649999E-3</v>
      </c>
    </row>
    <row r="7" spans="3:34" x14ac:dyDescent="0.25">
      <c r="C7" t="s">
        <v>5</v>
      </c>
      <c r="D7" s="1">
        <v>2</v>
      </c>
      <c r="E7" s="5">
        <f>+Inlet!D9</f>
        <v>0</v>
      </c>
      <c r="F7" s="5">
        <f>+Secondary!B5</f>
        <v>0</v>
      </c>
      <c r="G7" s="5">
        <f>+Outlet!D9</f>
        <v>0</v>
      </c>
      <c r="J7" s="6" t="s">
        <v>107</v>
      </c>
      <c r="K7" t="s">
        <v>121</v>
      </c>
      <c r="L7" t="s">
        <v>112</v>
      </c>
      <c r="M7" t="s">
        <v>111</v>
      </c>
      <c r="AF7">
        <f>+Tabella4[[#This Row],[Inlet]]*Tabella4[[#This Row],[NC]]</f>
        <v>0</v>
      </c>
      <c r="AG7">
        <f>+Tabella4[[#This Row],[Primary]]*Tabella4[[#This Row],[NC]]</f>
        <v>0</v>
      </c>
      <c r="AH7">
        <f>+Tabella4[[#This Row],[Secondary]]*Tabella4[[#This Row],[NC]]</f>
        <v>0</v>
      </c>
    </row>
    <row r="8" spans="3:34" x14ac:dyDescent="0.25">
      <c r="C8" t="s">
        <v>6</v>
      </c>
      <c r="D8" s="1">
        <v>3</v>
      </c>
      <c r="E8" s="5">
        <f>+Inlet!D10</f>
        <v>2.3793870260887098E-2</v>
      </c>
      <c r="F8" s="5">
        <f>+Secondary!B6</f>
        <v>3.8202128189215881E-2</v>
      </c>
      <c r="G8" s="5">
        <f>+Outlet!D10</f>
        <v>4.6010387801789364E-2</v>
      </c>
      <c r="J8" s="7">
        <v>1</v>
      </c>
      <c r="K8" s="8">
        <v>6.3722191102745206E-3</v>
      </c>
      <c r="L8" s="8">
        <v>3.6862071838300761E-3</v>
      </c>
      <c r="M8" s="8">
        <v>3.1897270019362787E-3</v>
      </c>
      <c r="P8" s="7">
        <v>1</v>
      </c>
      <c r="Q8" s="8">
        <v>6.3722191102745206E-3</v>
      </c>
      <c r="R8" s="8">
        <v>3.6862071838300761E-3</v>
      </c>
      <c r="S8" s="8">
        <v>3.1897270019362787E-3</v>
      </c>
      <c r="AF8">
        <f>+Tabella4[[#This Row],[Inlet]]*Tabella4[[#This Row],[NC]]</f>
        <v>7.1381610782661295E-2</v>
      </c>
      <c r="AG8">
        <f>+Tabella4[[#This Row],[Primary]]*Tabella4[[#This Row],[NC]]</f>
        <v>0.11460638456764764</v>
      </c>
      <c r="AH8">
        <f>+Tabella4[[#This Row],[Secondary]]*Tabella4[[#This Row],[NC]]</f>
        <v>0.13803116340536808</v>
      </c>
    </row>
    <row r="9" spans="3:34" x14ac:dyDescent="0.25">
      <c r="C9" t="s">
        <v>7</v>
      </c>
      <c r="D9" s="1">
        <v>3</v>
      </c>
      <c r="E9" s="5">
        <f>+Inlet!D11</f>
        <v>2.8280897263054401E-9</v>
      </c>
      <c r="F9" s="5">
        <f>+Secondary!B7</f>
        <v>1.1449167841188555E-8</v>
      </c>
      <c r="G9" s="5">
        <f>+Outlet!D11</f>
        <v>1.6611306944078475E-8</v>
      </c>
      <c r="J9" s="7">
        <v>2</v>
      </c>
      <c r="K9" s="8">
        <v>8.7565369158947373E-3</v>
      </c>
      <c r="L9" s="8">
        <v>5.0654895455178187E-3</v>
      </c>
      <c r="M9" s="8">
        <v>4.3832394587696435E-3</v>
      </c>
      <c r="P9" s="7">
        <v>2</v>
      </c>
      <c r="Q9" s="8">
        <v>8.7565369158947373E-3</v>
      </c>
      <c r="R9" s="8">
        <v>5.0654895455178187E-3</v>
      </c>
      <c r="S9" s="8">
        <v>4.3832394587696435E-3</v>
      </c>
      <c r="AF9">
        <f>+Tabella4[[#This Row],[Inlet]]*Tabella4[[#This Row],[NC]]</f>
        <v>8.4842691789163208E-9</v>
      </c>
      <c r="AG9">
        <f>+Tabella4[[#This Row],[Primary]]*Tabella4[[#This Row],[NC]]</f>
        <v>3.4347503523565664E-8</v>
      </c>
      <c r="AH9">
        <f>+Tabella4[[#This Row],[Secondary]]*Tabella4[[#This Row],[NC]]</f>
        <v>4.9833920832235423E-8</v>
      </c>
    </row>
    <row r="10" spans="3:34" x14ac:dyDescent="0.25">
      <c r="C10" t="s">
        <v>8</v>
      </c>
      <c r="D10" s="1">
        <v>4</v>
      </c>
      <c r="E10" s="5">
        <f>+Inlet!D12</f>
        <v>2.26564734726744E-2</v>
      </c>
      <c r="F10" s="5">
        <f>+Secondary!B8</f>
        <v>5.2157349925587217E-2</v>
      </c>
      <c r="G10" s="5">
        <f>+Outlet!D12</f>
        <v>6.7760037757795585E-2</v>
      </c>
      <c r="J10" s="7">
        <v>3</v>
      </c>
      <c r="K10" s="8">
        <v>8.1067001869283783E-2</v>
      </c>
      <c r="L10" s="8">
        <v>7.5293190238505142E-2</v>
      </c>
      <c r="M10" s="8">
        <v>7.8468948949323464E-2</v>
      </c>
      <c r="P10" s="7">
        <v>3</v>
      </c>
      <c r="Q10" s="8">
        <v>8.1067001869283783E-2</v>
      </c>
      <c r="R10" s="8">
        <v>7.5293190238505142E-2</v>
      </c>
      <c r="S10" s="8">
        <v>7.8468948949323464E-2</v>
      </c>
      <c r="AF10">
        <f>+Tabella4[[#This Row],[Inlet]]*Tabella4[[#This Row],[NC]]</f>
        <v>9.0625893890697598E-2</v>
      </c>
      <c r="AG10">
        <f>+Tabella4[[#This Row],[Primary]]*Tabella4[[#This Row],[NC]]</f>
        <v>0.20862939970234887</v>
      </c>
      <c r="AH10">
        <f>+Tabella4[[#This Row],[Secondary]]*Tabella4[[#This Row],[NC]]</f>
        <v>0.27104015103118234</v>
      </c>
    </row>
    <row r="11" spans="3:34" x14ac:dyDescent="0.25">
      <c r="C11" t="s">
        <v>9</v>
      </c>
      <c r="D11" s="1">
        <v>4</v>
      </c>
      <c r="E11" s="5">
        <f>+Inlet!D13</f>
        <v>6.5688059618994703E-5</v>
      </c>
      <c r="F11" s="5">
        <f>+Secondary!B9</f>
        <v>8.7688471000871231E-5</v>
      </c>
      <c r="G11" s="5">
        <f>+Outlet!D13</f>
        <v>1.0153018821769684E-4</v>
      </c>
      <c r="J11" s="7">
        <v>4</v>
      </c>
      <c r="K11" s="8">
        <v>7.7415623111227003E-2</v>
      </c>
      <c r="L11" s="8">
        <v>0.10157841357150638</v>
      </c>
      <c r="M11" s="8">
        <v>0.11453061378444747</v>
      </c>
      <c r="P11" s="7">
        <v>4</v>
      </c>
      <c r="Q11" s="8">
        <v>7.7415623111227003E-2</v>
      </c>
      <c r="R11" s="8">
        <v>0.10157841357150638</v>
      </c>
      <c r="S11" s="8">
        <v>0.11453061378444747</v>
      </c>
      <c r="AF11">
        <f>+Tabella4[[#This Row],[Inlet]]*Tabella4[[#This Row],[NC]]</f>
        <v>2.6275223847597881E-4</v>
      </c>
      <c r="AG11">
        <f>+Tabella4[[#This Row],[Primary]]*Tabella4[[#This Row],[NC]]</f>
        <v>3.5075388400348492E-4</v>
      </c>
      <c r="AH11">
        <f>+Tabella4[[#This Row],[Secondary]]*Tabella4[[#This Row],[NC]]</f>
        <v>4.0612075287078735E-4</v>
      </c>
    </row>
    <row r="12" spans="3:34" x14ac:dyDescent="0.25">
      <c r="C12" t="s">
        <v>10</v>
      </c>
      <c r="D12" s="1">
        <v>4</v>
      </c>
      <c r="E12" s="5">
        <f>+Inlet!D14</f>
        <v>8.1154749464936498E-23</v>
      </c>
      <c r="F12" s="5">
        <f>+Secondary!B10</f>
        <v>8.1154749464936498E-23</v>
      </c>
      <c r="G12" s="5">
        <f>+Outlet!D14</f>
        <v>8.1154749464936498E-23</v>
      </c>
      <c r="J12" s="7">
        <v>5</v>
      </c>
      <c r="K12" s="8">
        <v>4.5335740618613826E-2</v>
      </c>
      <c r="L12" s="8">
        <v>8.3012931561955439E-2</v>
      </c>
      <c r="M12" s="8">
        <v>9.8308714053249077E-2</v>
      </c>
      <c r="P12" s="7">
        <v>5</v>
      </c>
      <c r="Q12" s="8">
        <v>4.5335740618613826E-2</v>
      </c>
      <c r="R12" s="8">
        <v>8.3012931561955439E-2</v>
      </c>
      <c r="S12" s="8">
        <v>9.8308714053249077E-2</v>
      </c>
      <c r="AF12">
        <f>+Tabella4[[#This Row],[Inlet]]*Tabella4[[#This Row],[NC]]</f>
        <v>3.2461899785974599E-22</v>
      </c>
      <c r="AG12">
        <f>+Tabella4[[#This Row],[Primary]]*Tabella4[[#This Row],[NC]]</f>
        <v>3.2461899785974599E-22</v>
      </c>
      <c r="AH12">
        <f>+Tabella4[[#This Row],[Secondary]]*Tabella4[[#This Row],[NC]]</f>
        <v>3.2461899785974599E-22</v>
      </c>
    </row>
    <row r="13" spans="3:34" x14ac:dyDescent="0.25">
      <c r="C13" t="s">
        <v>11</v>
      </c>
      <c r="D13" s="1">
        <v>5</v>
      </c>
      <c r="E13" s="5">
        <f>+Inlet!D15</f>
        <v>1.24311871132496E-2</v>
      </c>
      <c r="F13" s="5">
        <f>+Secondary!B11</f>
        <v>4.1243721045750262E-2</v>
      </c>
      <c r="G13" s="5">
        <f>+Outlet!D15</f>
        <v>5.6768236395870496E-2</v>
      </c>
      <c r="J13" s="7">
        <v>6</v>
      </c>
      <c r="K13" s="8">
        <v>2.6864939257724162E-2</v>
      </c>
      <c r="L13" s="8">
        <v>7.2315338838358389E-2</v>
      </c>
      <c r="M13" s="8">
        <v>8.8641574077550148E-2</v>
      </c>
      <c r="P13" s="7">
        <v>6</v>
      </c>
      <c r="Q13" s="8">
        <v>2.6864939257724162E-2</v>
      </c>
      <c r="R13" s="8">
        <v>7.2315338838358389E-2</v>
      </c>
      <c r="S13" s="8">
        <v>8.8641574077550148E-2</v>
      </c>
      <c r="AF13">
        <f>+Tabella4[[#This Row],[Inlet]]*Tabella4[[#This Row],[NC]]</f>
        <v>6.2155935566248002E-2</v>
      </c>
      <c r="AG13">
        <f>+Tabella4[[#This Row],[Primary]]*Tabella4[[#This Row],[NC]]</f>
        <v>0.20621860522875129</v>
      </c>
      <c r="AH13">
        <f>+Tabella4[[#This Row],[Secondary]]*Tabella4[[#This Row],[NC]]</f>
        <v>0.28384118197935249</v>
      </c>
    </row>
    <row r="14" spans="3:34" x14ac:dyDescent="0.25">
      <c r="C14" t="s">
        <v>96</v>
      </c>
      <c r="D14" s="1">
        <v>5</v>
      </c>
      <c r="E14" s="5">
        <f>+Inlet!D16</f>
        <v>7.9740251659888401E-4</v>
      </c>
      <c r="F14" s="5">
        <f>+Secondary!B12</f>
        <v>7.9740251659888401E-4</v>
      </c>
      <c r="G14" s="5">
        <f>+Outlet!D16</f>
        <v>7.9740251659888401E-4</v>
      </c>
      <c r="J14" s="7">
        <v>7</v>
      </c>
      <c r="K14" s="8">
        <v>9.5802012362383952E-3</v>
      </c>
      <c r="L14" s="8">
        <v>6.2310420854528779E-2</v>
      </c>
      <c r="M14" s="8">
        <v>7.9375485988345526E-2</v>
      </c>
      <c r="P14" s="7">
        <v>7</v>
      </c>
      <c r="Q14" s="8">
        <v>9.5802012362383952E-3</v>
      </c>
      <c r="R14" s="8">
        <v>6.2310420854528779E-2</v>
      </c>
      <c r="S14" s="8">
        <v>7.9375485988345526E-2</v>
      </c>
      <c r="AF14">
        <f>+Tabella4[[#This Row],[Inlet]]*Tabella4[[#This Row],[NC]]</f>
        <v>3.9870125829944199E-3</v>
      </c>
      <c r="AG14">
        <f>+Tabella4[[#This Row],[Primary]]*Tabella4[[#This Row],[NC]]</f>
        <v>3.9870125829944199E-3</v>
      </c>
      <c r="AH14">
        <f>+Tabella4[[#This Row],[Secondary]]*Tabella4[[#This Row],[NC]]</f>
        <v>3.9870125829944199E-3</v>
      </c>
    </row>
    <row r="15" spans="3:34" x14ac:dyDescent="0.25">
      <c r="C15" t="s">
        <v>12</v>
      </c>
      <c r="D15" s="1">
        <v>5</v>
      </c>
      <c r="E15" s="5">
        <f>+Inlet!D17</f>
        <v>4.9454120758277598E-20</v>
      </c>
      <c r="F15" s="5">
        <f>+Secondary!B13</f>
        <v>4.9454120758277598E-20</v>
      </c>
      <c r="G15" s="5">
        <f>+Outlet!D17</f>
        <v>4.9454120758277598E-20</v>
      </c>
      <c r="J15" s="7">
        <v>8</v>
      </c>
      <c r="K15" s="8">
        <v>5.6977932813915746E-3</v>
      </c>
      <c r="L15" s="8">
        <v>6.0047293201720198E-2</v>
      </c>
      <c r="M15" s="8">
        <v>7.6265263485899792E-2</v>
      </c>
      <c r="P15" s="7">
        <v>8</v>
      </c>
      <c r="Q15" s="8">
        <v>5.6977932813915746E-3</v>
      </c>
      <c r="R15" s="8">
        <v>6.0047293201720198E-2</v>
      </c>
      <c r="S15" s="8">
        <v>7.6265263485899792E-2</v>
      </c>
      <c r="AF15">
        <f>+Tabella4[[#This Row],[Inlet]]*Tabella4[[#This Row],[NC]]</f>
        <v>2.4727060379138801E-19</v>
      </c>
      <c r="AG15">
        <f>+Tabella4[[#This Row],[Primary]]*Tabella4[[#This Row],[NC]]</f>
        <v>2.4727060379138801E-19</v>
      </c>
      <c r="AH15">
        <f>+Tabella4[[#This Row],[Secondary]]*Tabella4[[#This Row],[NC]]</f>
        <v>2.4727060379138801E-19</v>
      </c>
    </row>
    <row r="16" spans="3:34" x14ac:dyDescent="0.25">
      <c r="C16" t="s">
        <v>98</v>
      </c>
      <c r="D16" s="1">
        <v>5</v>
      </c>
      <c r="E16" s="5">
        <f>+Inlet!D18</f>
        <v>7.7846204715078602E-5</v>
      </c>
      <c r="F16" s="5">
        <f>+Secondary!B14</f>
        <v>7.7846204715078602E-5</v>
      </c>
      <c r="G16" s="5">
        <f>+Outlet!D18</f>
        <v>7.7846204715078602E-5</v>
      </c>
      <c r="J16" s="7">
        <v>9</v>
      </c>
      <c r="K16" s="8">
        <v>1.888522385860382E-3</v>
      </c>
      <c r="L16" s="8">
        <v>5.7845045246903787E-2</v>
      </c>
      <c r="M16" s="8">
        <v>7.2780355222464371E-2</v>
      </c>
      <c r="P16" s="7">
        <v>9</v>
      </c>
      <c r="Q16" s="8">
        <v>1.888522385860382E-3</v>
      </c>
      <c r="R16" s="8">
        <v>5.7845045246903787E-2</v>
      </c>
      <c r="S16" s="8">
        <v>7.2780355222464371E-2</v>
      </c>
      <c r="AF16">
        <f>+Tabella4[[#This Row],[Inlet]]*Tabella4[[#This Row],[NC]]</f>
        <v>3.8923102357539302E-4</v>
      </c>
      <c r="AG16">
        <f>+Tabella4[[#This Row],[Primary]]*Tabella4[[#This Row],[NC]]</f>
        <v>3.8923102357539302E-4</v>
      </c>
      <c r="AH16">
        <f>+Tabella4[[#This Row],[Secondary]]*Tabella4[[#This Row],[NC]]</f>
        <v>3.8923102357539302E-4</v>
      </c>
    </row>
    <row r="17" spans="3:34" x14ac:dyDescent="0.25">
      <c r="C17" t="s">
        <v>13</v>
      </c>
      <c r="D17" s="1">
        <v>6</v>
      </c>
      <c r="E17" s="5">
        <f>+Inlet!D19</f>
        <v>2.94082363397296E-3</v>
      </c>
      <c r="F17" s="5">
        <f>+Secondary!B15</f>
        <v>2.94082363397296E-3</v>
      </c>
      <c r="G17" s="5">
        <f>+Outlet!D19</f>
        <v>2.94082363397296E-3</v>
      </c>
      <c r="J17" s="7">
        <v>10</v>
      </c>
      <c r="K17" s="8">
        <v>3.5933850845791993E-4</v>
      </c>
      <c r="L17" s="8">
        <v>5.6968528462183941E-2</v>
      </c>
      <c r="M17" s="8">
        <v>6.9838420113778721E-2</v>
      </c>
      <c r="P17" s="7">
        <v>10</v>
      </c>
      <c r="Q17" s="8">
        <v>3.5933850845791993E-4</v>
      </c>
      <c r="R17" s="8">
        <v>5.6968528462183941E-2</v>
      </c>
      <c r="S17" s="8">
        <v>6.9838420113778721E-2</v>
      </c>
      <c r="AF17">
        <f>+Tabella4[[#This Row],[Inlet]]*Tabella4[[#This Row],[NC]]</f>
        <v>1.7644941803837761E-2</v>
      </c>
      <c r="AG17">
        <f>+Tabella4[[#This Row],[Primary]]*Tabella4[[#This Row],[NC]]</f>
        <v>1.7644941803837761E-2</v>
      </c>
      <c r="AH17">
        <f>+Tabella4[[#This Row],[Secondary]]*Tabella4[[#This Row],[NC]]</f>
        <v>1.7644941803837761E-2</v>
      </c>
    </row>
    <row r="18" spans="3:34" x14ac:dyDescent="0.25">
      <c r="C18" t="s">
        <v>14</v>
      </c>
      <c r="D18" s="1">
        <v>6</v>
      </c>
      <c r="E18" s="5">
        <f>+Inlet!D20</f>
        <v>4.7346598724411996E-3</v>
      </c>
      <c r="F18" s="5">
        <f>+Secondary!B16</f>
        <v>3.3540807671867665E-2</v>
      </c>
      <c r="G18" s="5">
        <f>+Outlet!D20</f>
        <v>4.8824706374951239E-2</v>
      </c>
      <c r="J18" s="7">
        <v>11</v>
      </c>
      <c r="K18" s="8">
        <v>2.5611345520587425E-5</v>
      </c>
      <c r="L18" s="8">
        <v>5.6776400871788292E-2</v>
      </c>
      <c r="M18" s="8">
        <v>6.6641499726320955E-2</v>
      </c>
      <c r="P18" s="7">
        <v>11</v>
      </c>
      <c r="Q18" s="8">
        <v>2.5611345520587425E-5</v>
      </c>
      <c r="R18" s="8">
        <v>5.6776400871788292E-2</v>
      </c>
      <c r="S18" s="8">
        <v>6.6641499726320955E-2</v>
      </c>
      <c r="AF18">
        <f>+Tabella4[[#This Row],[Inlet]]*Tabella4[[#This Row],[NC]]</f>
        <v>2.8407959234647197E-2</v>
      </c>
      <c r="AG18">
        <f>+Tabella4[[#This Row],[Primary]]*Tabella4[[#This Row],[NC]]</f>
        <v>0.20124484603120599</v>
      </c>
      <c r="AH18">
        <f>+Tabella4[[#This Row],[Secondary]]*Tabella4[[#This Row],[NC]]</f>
        <v>0.29294823824970745</v>
      </c>
    </row>
    <row r="19" spans="3:34" x14ac:dyDescent="0.25">
      <c r="C19" t="s">
        <v>15</v>
      </c>
      <c r="D19" s="1">
        <v>6</v>
      </c>
      <c r="E19" s="5">
        <f>+Inlet!D21</f>
        <v>1.63131923146749E-17</v>
      </c>
      <c r="F19" s="5">
        <f>+Secondary!B17</f>
        <v>1.63131923146749E-17</v>
      </c>
      <c r="G19" s="5">
        <f>+Outlet!D21</f>
        <v>1.63131923146749E-17</v>
      </c>
      <c r="J19" s="7">
        <v>12</v>
      </c>
      <c r="K19" s="8">
        <v>2.3827530558136762E-5</v>
      </c>
      <c r="L19" s="8">
        <v>5.6755615851203034E-2</v>
      </c>
      <c r="M19" s="8">
        <v>6.2578843460636052E-2</v>
      </c>
      <c r="P19" s="7">
        <v>12</v>
      </c>
      <c r="Q19" s="8">
        <v>2.3827530558136762E-5</v>
      </c>
      <c r="R19" s="8">
        <v>5.6755615851203034E-2</v>
      </c>
      <c r="S19" s="8">
        <v>6.2578843460636052E-2</v>
      </c>
      <c r="AF19">
        <f>+Tabella4[[#This Row],[Inlet]]*Tabella4[[#This Row],[NC]]</f>
        <v>9.7879153888049406E-17</v>
      </c>
      <c r="AG19">
        <f>+Tabella4[[#This Row],[Primary]]*Tabella4[[#This Row],[NC]]</f>
        <v>9.7879153888049406E-17</v>
      </c>
      <c r="AH19">
        <f>+Tabella4[[#This Row],[Secondary]]*Tabella4[[#This Row],[NC]]</f>
        <v>9.7879153888049406E-17</v>
      </c>
    </row>
    <row r="20" spans="3:34" x14ac:dyDescent="0.25">
      <c r="C20" t="s">
        <v>99</v>
      </c>
      <c r="D20" s="1">
        <v>6</v>
      </c>
      <c r="E20" s="5">
        <f>+Inlet!D22</f>
        <v>4.3282018242143298E-19</v>
      </c>
      <c r="F20" s="5">
        <f>+Secondary!B18</f>
        <v>4.3282018242143298E-19</v>
      </c>
      <c r="G20" s="5">
        <f>+Outlet!D22</f>
        <v>4.3282018242143298E-19</v>
      </c>
      <c r="J20" s="7">
        <v>13</v>
      </c>
      <c r="K20" s="8">
        <v>5.5547089305753563E-5</v>
      </c>
      <c r="L20" s="8">
        <v>5.6667220215070709E-2</v>
      </c>
      <c r="M20" s="8">
        <v>5.7396354205746056E-2</v>
      </c>
      <c r="P20" s="7">
        <v>13</v>
      </c>
      <c r="Q20" s="8">
        <v>5.5547089305753563E-5</v>
      </c>
      <c r="R20" s="8">
        <v>5.6667220215070709E-2</v>
      </c>
      <c r="S20" s="8">
        <v>5.7396354205746056E-2</v>
      </c>
      <c r="AF20">
        <f>+Tabella4[[#This Row],[Inlet]]*Tabella4[[#This Row],[NC]]</f>
        <v>2.5969210945285977E-18</v>
      </c>
      <c r="AG20">
        <f>+Tabella4[[#This Row],[Primary]]*Tabella4[[#This Row],[NC]]</f>
        <v>2.5969210945285977E-18</v>
      </c>
      <c r="AH20">
        <f>+Tabella4[[#This Row],[Secondary]]*Tabella4[[#This Row],[NC]]</f>
        <v>2.5969210945285977E-18</v>
      </c>
    </row>
    <row r="21" spans="3:34" x14ac:dyDescent="0.25">
      <c r="C21" t="s">
        <v>100</v>
      </c>
      <c r="D21" s="1">
        <v>6</v>
      </c>
      <c r="E21" s="5">
        <f>+Inlet!D23</f>
        <v>2.0961080448768401E-4</v>
      </c>
      <c r="F21" s="5">
        <f>+Secondary!B19</f>
        <v>2.0961080448768401E-4</v>
      </c>
      <c r="G21" s="5">
        <f>+Outlet!D23</f>
        <v>2.0961080448768401E-4</v>
      </c>
      <c r="J21" s="7">
        <v>14</v>
      </c>
      <c r="K21" s="8">
        <v>2.2173657068211015E-4</v>
      </c>
      <c r="L21" s="8">
        <v>5.6102856298207007E-2</v>
      </c>
      <c r="M21" s="8">
        <v>5.0468655219104534E-2</v>
      </c>
      <c r="P21" s="7">
        <v>14</v>
      </c>
      <c r="Q21" s="8">
        <v>2.2173657068211015E-4</v>
      </c>
      <c r="R21" s="8">
        <v>5.6102856298207007E-2</v>
      </c>
      <c r="S21" s="8">
        <v>5.0468655219104534E-2</v>
      </c>
      <c r="AF21">
        <f>+Tabella4[[#This Row],[Inlet]]*Tabella4[[#This Row],[NC]]</f>
        <v>1.2576648269261041E-3</v>
      </c>
      <c r="AG21">
        <f>+Tabella4[[#This Row],[Primary]]*Tabella4[[#This Row],[NC]]</f>
        <v>1.2576648269261041E-3</v>
      </c>
      <c r="AH21">
        <f>+Tabella4[[#This Row],[Secondary]]*Tabella4[[#This Row],[NC]]</f>
        <v>1.2576648269261041E-3</v>
      </c>
    </row>
    <row r="22" spans="3:34" x14ac:dyDescent="0.25">
      <c r="C22" t="s">
        <v>16</v>
      </c>
      <c r="D22" s="1">
        <v>7</v>
      </c>
      <c r="E22" s="5">
        <f>+Inlet!D24</f>
        <v>1.1693698851101501E-3</v>
      </c>
      <c r="F22" s="5">
        <f>+Secondary!B20</f>
        <v>2.9972459814883948E-2</v>
      </c>
      <c r="G22" s="5">
        <f>+Outlet!D24</f>
        <v>4.4899451128042292E-2</v>
      </c>
      <c r="J22" s="7">
        <v>15</v>
      </c>
      <c r="K22" s="8">
        <v>8.7195476352200905E-4</v>
      </c>
      <c r="L22" s="8">
        <v>4.955129498263252E-2</v>
      </c>
      <c r="M22" s="8">
        <v>3.8166032869901646E-2</v>
      </c>
      <c r="P22" s="7">
        <v>15</v>
      </c>
      <c r="Q22" s="8">
        <v>8.7195476352200905E-4</v>
      </c>
      <c r="R22" s="8">
        <v>4.955129498263252E-2</v>
      </c>
      <c r="S22" s="8">
        <v>3.8166032869901646E-2</v>
      </c>
      <c r="AF22">
        <f>+Tabella4[[#This Row],[Inlet]]*Tabella4[[#This Row],[NC]]</f>
        <v>8.1855891957710505E-3</v>
      </c>
      <c r="AG22">
        <f>+Tabella4[[#This Row],[Primary]]*Tabella4[[#This Row],[NC]]</f>
        <v>0.20980721870418764</v>
      </c>
      <c r="AH22">
        <f>+Tabella4[[#This Row],[Secondary]]*Tabella4[[#This Row],[NC]]</f>
        <v>0.31429615789629606</v>
      </c>
    </row>
    <row r="23" spans="3:34" x14ac:dyDescent="0.25">
      <c r="C23" t="s">
        <v>17</v>
      </c>
      <c r="D23" s="1">
        <v>7</v>
      </c>
      <c r="E23" s="5">
        <f>+Inlet!D25</f>
        <v>1.44797760949513E-3</v>
      </c>
      <c r="F23" s="5">
        <f>+Secondary!B21</f>
        <v>1.44797760949513E-3</v>
      </c>
      <c r="G23" s="5">
        <f>+Outlet!D25</f>
        <v>1.44797760949513E-3</v>
      </c>
      <c r="J23" s="7">
        <v>16</v>
      </c>
      <c r="K23" s="8">
        <v>3.4121714611924474E-3</v>
      </c>
      <c r="L23" s="8">
        <v>3.9265506716198564E-2</v>
      </c>
      <c r="M23" s="8">
        <v>2.3896876221912725E-2</v>
      </c>
      <c r="P23" s="7">
        <v>16</v>
      </c>
      <c r="Q23" s="8">
        <v>3.4121714611924474E-3</v>
      </c>
      <c r="R23" s="8">
        <v>3.9265506716198564E-2</v>
      </c>
      <c r="S23" s="8">
        <v>2.3896876221912725E-2</v>
      </c>
      <c r="AF23">
        <f>+Tabella4[[#This Row],[Inlet]]*Tabella4[[#This Row],[NC]]</f>
        <v>1.013584326646591E-2</v>
      </c>
      <c r="AG23">
        <f>+Tabella4[[#This Row],[Primary]]*Tabella4[[#This Row],[NC]]</f>
        <v>1.013584326646591E-2</v>
      </c>
      <c r="AH23">
        <f>+Tabella4[[#This Row],[Secondary]]*Tabella4[[#This Row],[NC]]</f>
        <v>1.013584326646591E-2</v>
      </c>
    </row>
    <row r="24" spans="3:34" x14ac:dyDescent="0.25">
      <c r="C24" t="s">
        <v>18</v>
      </c>
      <c r="D24" s="1">
        <v>7</v>
      </c>
      <c r="E24" s="5">
        <f>+Inlet!D26</f>
        <v>1.61549255798959E-15</v>
      </c>
      <c r="F24" s="5">
        <f>+Secondary!B22</f>
        <v>1.61549255798959E-15</v>
      </c>
      <c r="G24" s="5">
        <f>+Outlet!D26</f>
        <v>1.61549255798959E-15</v>
      </c>
      <c r="J24" s="7">
        <v>17</v>
      </c>
      <c r="K24" s="8">
        <v>1.5770574251926506E-2</v>
      </c>
      <c r="L24" s="8">
        <v>3.2919875952778919E-2</v>
      </c>
      <c r="M24" s="8">
        <v>1.2451809095898471E-2</v>
      </c>
      <c r="P24" s="7">
        <v>17</v>
      </c>
      <c r="Q24" s="8">
        <v>1.5770574251926506E-2</v>
      </c>
      <c r="R24" s="8">
        <v>3.2919875952778919E-2</v>
      </c>
      <c r="S24" s="8">
        <v>1.2451809095898471E-2</v>
      </c>
      <c r="AF24">
        <f>+Tabella4[[#This Row],[Inlet]]*Tabella4[[#This Row],[NC]]</f>
        <v>1.130844790592713E-14</v>
      </c>
      <c r="AG24">
        <f>+Tabella4[[#This Row],[Primary]]*Tabella4[[#This Row],[NC]]</f>
        <v>1.130844790592713E-14</v>
      </c>
      <c r="AH24">
        <f>+Tabella4[[#This Row],[Secondary]]*Tabella4[[#This Row],[NC]]</f>
        <v>1.130844790592713E-14</v>
      </c>
    </row>
    <row r="25" spans="3:34" x14ac:dyDescent="0.25">
      <c r="C25" t="s">
        <v>19</v>
      </c>
      <c r="D25" s="1">
        <v>7</v>
      </c>
      <c r="E25" s="5">
        <f>+Inlet!D27</f>
        <v>1.1090436396881701E-15</v>
      </c>
      <c r="F25" s="5">
        <f>+Secondary!B23</f>
        <v>1.1090436396881701E-15</v>
      </c>
      <c r="G25" s="5">
        <f>+Outlet!D27</f>
        <v>1.1090436396881701E-15</v>
      </c>
      <c r="J25" s="7">
        <v>18</v>
      </c>
      <c r="K25" s="8">
        <v>0.12969642376644033</v>
      </c>
      <c r="L25" s="8">
        <v>2.3380824220042864E-2</v>
      </c>
      <c r="M25" s="8">
        <v>1.5875120236832645E-3</v>
      </c>
      <c r="P25" s="7">
        <v>18</v>
      </c>
      <c r="Q25" s="8">
        <v>0.12969642376644033</v>
      </c>
      <c r="R25" s="8">
        <v>2.3380824220042864E-2</v>
      </c>
      <c r="S25" s="8">
        <v>1.5875120236832645E-3</v>
      </c>
      <c r="AF25">
        <f>+Tabella4[[#This Row],[Inlet]]*Tabella4[[#This Row],[NC]]</f>
        <v>7.7633054778171915E-15</v>
      </c>
      <c r="AG25">
        <f>+Tabella4[[#This Row],[Primary]]*Tabella4[[#This Row],[NC]]</f>
        <v>7.7633054778171915E-15</v>
      </c>
      <c r="AH25">
        <f>+Tabella4[[#This Row],[Secondary]]*Tabella4[[#This Row],[NC]]</f>
        <v>7.7633054778171915E-15</v>
      </c>
    </row>
    <row r="26" spans="3:34" x14ac:dyDescent="0.25">
      <c r="C26" t="s">
        <v>101</v>
      </c>
      <c r="D26" s="1">
        <v>7</v>
      </c>
      <c r="E26" s="5">
        <f>+Inlet!D28</f>
        <v>1.9452524184119399E-4</v>
      </c>
      <c r="F26" s="5">
        <f>+Secondary!B24</f>
        <v>1.9452524184119399E-4</v>
      </c>
      <c r="G26" s="5">
        <f>+Outlet!D28</f>
        <v>1.9452524184119399E-4</v>
      </c>
      <c r="J26" s="7">
        <v>19</v>
      </c>
      <c r="K26" s="8">
        <v>0.10735517677298016</v>
      </c>
      <c r="L26" s="8">
        <v>1.788471427874928E-2</v>
      </c>
      <c r="M26" s="8">
        <v>7.3175794683956648E-4</v>
      </c>
      <c r="P26" s="7">
        <v>19</v>
      </c>
      <c r="Q26" s="8">
        <v>0.10735517677298016</v>
      </c>
      <c r="R26" s="8">
        <v>1.788471427874928E-2</v>
      </c>
      <c r="S26" s="8">
        <v>7.3175794683956648E-4</v>
      </c>
      <c r="AF26">
        <f>+Tabella4[[#This Row],[Inlet]]*Tabella4[[#This Row],[NC]]</f>
        <v>1.3616766928883578E-3</v>
      </c>
      <c r="AG26">
        <f>+Tabella4[[#This Row],[Primary]]*Tabella4[[#This Row],[NC]]</f>
        <v>1.3616766928883578E-3</v>
      </c>
      <c r="AH26">
        <f>+Tabella4[[#This Row],[Secondary]]*Tabella4[[#This Row],[NC]]</f>
        <v>1.3616766928883578E-3</v>
      </c>
    </row>
    <row r="27" spans="3:34" x14ac:dyDescent="0.25">
      <c r="C27" t="s">
        <v>20</v>
      </c>
      <c r="D27" s="1">
        <v>8</v>
      </c>
      <c r="E27" s="5">
        <f>+Inlet!D29</f>
        <v>7.8531933495412805E-4</v>
      </c>
      <c r="F27" s="5">
        <f>+Secondary!B25</f>
        <v>2.9582865180567526E-2</v>
      </c>
      <c r="G27" s="5">
        <f>+Outlet!D29</f>
        <v>4.3837612106098156E-2</v>
      </c>
      <c r="J27" s="7">
        <v>20</v>
      </c>
      <c r="K27" s="8">
        <v>8.5020756238750689E-2</v>
      </c>
      <c r="L27" s="8">
        <v>1.3265350606115266E-2</v>
      </c>
      <c r="M27" s="8">
        <v>2.5225537120293406E-4</v>
      </c>
      <c r="P27" s="7">
        <v>20</v>
      </c>
      <c r="Q27" s="8">
        <v>8.5020756238750689E-2</v>
      </c>
      <c r="R27" s="8">
        <v>1.3265350606115266E-2</v>
      </c>
      <c r="S27" s="8">
        <v>2.5225537120293406E-4</v>
      </c>
      <c r="AF27">
        <f>+Tabella4[[#This Row],[Inlet]]*Tabella4[[#This Row],[NC]]</f>
        <v>6.2825546796330244E-3</v>
      </c>
      <c r="AG27">
        <f>+Tabella4[[#This Row],[Primary]]*Tabella4[[#This Row],[NC]]</f>
        <v>0.23666292144454021</v>
      </c>
      <c r="AH27">
        <f>+Tabella4[[#This Row],[Secondary]]*Tabella4[[#This Row],[NC]]</f>
        <v>0.35070089684878525</v>
      </c>
    </row>
    <row r="28" spans="3:34" x14ac:dyDescent="0.25">
      <c r="C28" t="s">
        <v>21</v>
      </c>
      <c r="D28" s="1">
        <v>8</v>
      </c>
      <c r="E28" s="5">
        <f>+Inlet!D30</f>
        <v>5.23018392722026E-4</v>
      </c>
      <c r="F28" s="5">
        <f>+Secondary!B26</f>
        <v>5.1982099576249085E-4</v>
      </c>
      <c r="G28" s="5">
        <f>+Outlet!D30</f>
        <v>5.1664314562474838E-4</v>
      </c>
      <c r="J28" s="7">
        <v>21</v>
      </c>
      <c r="K28" s="8">
        <v>7.7295746773606677E-2</v>
      </c>
      <c r="L28" s="8">
        <v>9.2980705179378873E-3</v>
      </c>
      <c r="M28" s="8">
        <v>4.6061722989373676E-5</v>
      </c>
      <c r="P28" s="7">
        <v>21</v>
      </c>
      <c r="Q28" s="8">
        <v>7.7295746773606677E-2</v>
      </c>
      <c r="R28" s="8">
        <v>9.2980705179378873E-3</v>
      </c>
      <c r="S28" s="8">
        <v>4.6061722989373676E-5</v>
      </c>
      <c r="AF28">
        <f>+Tabella4[[#This Row],[Inlet]]*Tabella4[[#This Row],[NC]]</f>
        <v>4.184147141776208E-3</v>
      </c>
      <c r="AG28">
        <f>+Tabella4[[#This Row],[Primary]]*Tabella4[[#This Row],[NC]]</f>
        <v>4.1585679660999268E-3</v>
      </c>
      <c r="AH28">
        <f>+Tabella4[[#This Row],[Secondary]]*Tabella4[[#This Row],[NC]]</f>
        <v>4.133145164997987E-3</v>
      </c>
    </row>
    <row r="29" spans="3:34" x14ac:dyDescent="0.25">
      <c r="C29" t="s">
        <v>22</v>
      </c>
      <c r="D29" s="1">
        <v>8</v>
      </c>
      <c r="E29" s="5">
        <f>+Inlet!D31</f>
        <v>6.7110389592260004E-13</v>
      </c>
      <c r="F29" s="5">
        <f>+Secondary!B27</f>
        <v>6.6700119975318329E-13</v>
      </c>
      <c r="G29" s="5">
        <f>+Outlet!D31</f>
        <v>6.6292358482075656E-13</v>
      </c>
      <c r="J29" s="7">
        <v>22</v>
      </c>
      <c r="K29" s="8">
        <v>6.956617190537577E-2</v>
      </c>
      <c r="L29" s="8">
        <v>5.9052897512054062E-3</v>
      </c>
      <c r="M29" s="8">
        <v>0</v>
      </c>
      <c r="P29" s="7">
        <v>22</v>
      </c>
      <c r="Q29" s="8">
        <v>6.956617190537577E-2</v>
      </c>
      <c r="R29" s="8">
        <v>5.9052897512054062E-3</v>
      </c>
      <c r="S29" s="8">
        <v>0</v>
      </c>
      <c r="AF29">
        <f>+Tabella4[[#This Row],[Inlet]]*Tabella4[[#This Row],[NC]]</f>
        <v>5.3688311673808003E-12</v>
      </c>
      <c r="AG29">
        <f>+Tabella4[[#This Row],[Primary]]*Tabella4[[#This Row],[NC]]</f>
        <v>5.3360095980254663E-12</v>
      </c>
      <c r="AH29">
        <f>+Tabella4[[#This Row],[Secondary]]*Tabella4[[#This Row],[NC]]</f>
        <v>5.3033886785660525E-12</v>
      </c>
    </row>
    <row r="30" spans="3:34" x14ac:dyDescent="0.25">
      <c r="C30" t="s">
        <v>23</v>
      </c>
      <c r="D30" s="1">
        <v>8</v>
      </c>
      <c r="E30" s="5">
        <f>+Inlet!D32</f>
        <v>3.6401436079514898E-4</v>
      </c>
      <c r="F30" s="5">
        <f>+Secondary!B28</f>
        <v>3.6401436079514898E-4</v>
      </c>
      <c r="G30" s="5">
        <f>+Outlet!D32</f>
        <v>3.6401436079514898E-4</v>
      </c>
      <c r="J30" s="7">
        <v>23</v>
      </c>
      <c r="K30" s="8">
        <v>6.1836629186646092E-2</v>
      </c>
      <c r="L30" s="8">
        <v>3.1459591046448451E-3</v>
      </c>
      <c r="M30" s="8">
        <v>0</v>
      </c>
      <c r="P30" s="7">
        <v>23</v>
      </c>
      <c r="Q30" s="8">
        <v>6.1836629186646092E-2</v>
      </c>
      <c r="R30" s="8">
        <v>3.1459591046448451E-3</v>
      </c>
      <c r="S30" s="8">
        <v>0</v>
      </c>
      <c r="AF30">
        <f>+Tabella4[[#This Row],[Inlet]]*Tabella4[[#This Row],[NC]]</f>
        <v>2.9121148863611918E-3</v>
      </c>
      <c r="AG30">
        <f>+Tabella4[[#This Row],[Primary]]*Tabella4[[#This Row],[NC]]</f>
        <v>2.9121148863611918E-3</v>
      </c>
      <c r="AH30">
        <f>+Tabella4[[#This Row],[Secondary]]*Tabella4[[#This Row],[NC]]</f>
        <v>2.9121148863611918E-3</v>
      </c>
    </row>
    <row r="31" spans="3:34" x14ac:dyDescent="0.25">
      <c r="C31" t="s">
        <v>24</v>
      </c>
      <c r="D31" s="1">
        <v>8</v>
      </c>
      <c r="E31" s="5">
        <f>+Inlet!D33</f>
        <v>3.55320707761801E-12</v>
      </c>
      <c r="F31" s="5">
        <f>+Secondary!B29</f>
        <v>3.55320707761801E-12</v>
      </c>
      <c r="G31" s="5">
        <f>+Outlet!D33</f>
        <v>3.55320707761801E-12</v>
      </c>
      <c r="J31" s="7">
        <v>24</v>
      </c>
      <c r="K31" s="8">
        <v>5.7971724509821784E-2</v>
      </c>
      <c r="L31" s="8">
        <v>9.5816192841553381E-4</v>
      </c>
      <c r="M31" s="8">
        <v>0</v>
      </c>
      <c r="P31" s="7">
        <v>24</v>
      </c>
      <c r="Q31" s="8">
        <v>5.7971724509821784E-2</v>
      </c>
      <c r="R31" s="8">
        <v>9.5816192841553381E-4</v>
      </c>
      <c r="S31" s="8">
        <v>0</v>
      </c>
      <c r="AF31">
        <f>+Tabella4[[#This Row],[Inlet]]*Tabella4[[#This Row],[NC]]</f>
        <v>2.842565662094408E-11</v>
      </c>
      <c r="AG31">
        <f>+Tabella4[[#This Row],[Primary]]*Tabella4[[#This Row],[NC]]</f>
        <v>2.842565662094408E-11</v>
      </c>
      <c r="AH31">
        <f>+Tabella4[[#This Row],[Secondary]]*Tabella4[[#This Row],[NC]]</f>
        <v>2.842565662094408E-11</v>
      </c>
    </row>
    <row r="32" spans="3:34" x14ac:dyDescent="0.25">
      <c r="C32" t="s">
        <v>25</v>
      </c>
      <c r="D32" s="1">
        <v>9</v>
      </c>
      <c r="E32" s="5">
        <f>+Inlet!D34</f>
        <v>1.3366580259489399E-4</v>
      </c>
      <c r="F32" s="5">
        <f>+Secondary!B30</f>
        <v>2.8933820163736929E-2</v>
      </c>
      <c r="G32" s="5">
        <f>+Outlet!D34</f>
        <v>4.2264426957971862E-2</v>
      </c>
      <c r="J32" s="7">
        <v>25</v>
      </c>
      <c r="K32" s="8">
        <v>5.0242300979577638E-2</v>
      </c>
      <c r="L32" s="8">
        <v>0</v>
      </c>
      <c r="M32" s="8">
        <v>0</v>
      </c>
      <c r="P32" s="7">
        <v>25</v>
      </c>
      <c r="Q32" s="8">
        <v>5.0242300979577638E-2</v>
      </c>
      <c r="R32" s="8">
        <v>0</v>
      </c>
      <c r="S32" s="8">
        <v>0</v>
      </c>
      <c r="AF32">
        <f>+Tabella4[[#This Row],[Inlet]]*Tabella4[[#This Row],[NC]]</f>
        <v>1.2029922233540459E-3</v>
      </c>
      <c r="AG32">
        <f>+Tabella4[[#This Row],[Primary]]*Tabella4[[#This Row],[NC]]</f>
        <v>0.26040438147363237</v>
      </c>
      <c r="AH32">
        <f>+Tabella4[[#This Row],[Secondary]]*Tabella4[[#This Row],[NC]]</f>
        <v>0.38037984262174673</v>
      </c>
    </row>
    <row r="33" spans="3:34" x14ac:dyDescent="0.25">
      <c r="C33" t="s">
        <v>26</v>
      </c>
      <c r="D33" s="1">
        <v>9</v>
      </c>
      <c r="E33" s="5">
        <f>+Inlet!D35</f>
        <v>3.3641283729567801E-4</v>
      </c>
      <c r="F33" s="5">
        <f>+Secondary!B31</f>
        <v>3.3128812319603205E-4</v>
      </c>
      <c r="G33" s="5">
        <f>+Outlet!D35</f>
        <v>3.262414759585612E-4</v>
      </c>
      <c r="J33" s="7">
        <v>26</v>
      </c>
      <c r="K33" s="8">
        <v>4.251256011413216E-2</v>
      </c>
      <c r="L33" s="8">
        <v>0</v>
      </c>
      <c r="M33" s="8">
        <v>0</v>
      </c>
      <c r="P33" s="7">
        <v>26</v>
      </c>
      <c r="Q33" s="8">
        <v>4.251256011413216E-2</v>
      </c>
      <c r="R33" s="8">
        <v>0</v>
      </c>
      <c r="S33" s="8">
        <v>0</v>
      </c>
      <c r="AF33">
        <f>+Tabella4[[#This Row],[Inlet]]*Tabella4[[#This Row],[NC]]</f>
        <v>3.0277155356611021E-3</v>
      </c>
      <c r="AG33">
        <f>+Tabella4[[#This Row],[Primary]]*Tabella4[[#This Row],[NC]]</f>
        <v>2.9815931087642886E-3</v>
      </c>
      <c r="AH33">
        <f>+Tabella4[[#This Row],[Secondary]]*Tabella4[[#This Row],[NC]]</f>
        <v>2.9361732836270509E-3</v>
      </c>
    </row>
    <row r="34" spans="3:34" x14ac:dyDescent="0.25">
      <c r="C34" t="s">
        <v>27</v>
      </c>
      <c r="D34" s="1">
        <v>9</v>
      </c>
      <c r="E34" s="5">
        <f>+Inlet!D36</f>
        <v>2.8889358344335599E-11</v>
      </c>
      <c r="F34" s="5">
        <f>+Secondary!B32</f>
        <v>2.8449274953858978E-11</v>
      </c>
      <c r="G34" s="5">
        <f>+Outlet!D36</f>
        <v>2.8015895533344755E-11</v>
      </c>
      <c r="J34" s="7">
        <v>27</v>
      </c>
      <c r="K34" s="8">
        <v>3.4783170444994849E-2</v>
      </c>
      <c r="L34" s="8">
        <v>0</v>
      </c>
      <c r="M34" s="8">
        <v>0</v>
      </c>
      <c r="P34" s="7">
        <v>27</v>
      </c>
      <c r="Q34" s="8">
        <v>3.4783170444994849E-2</v>
      </c>
      <c r="R34" s="8">
        <v>0</v>
      </c>
      <c r="S34" s="8">
        <v>0</v>
      </c>
      <c r="AF34">
        <f>+Tabella4[[#This Row],[Inlet]]*Tabella4[[#This Row],[NC]]</f>
        <v>2.6000422509902038E-10</v>
      </c>
      <c r="AG34">
        <f>+Tabella4[[#This Row],[Primary]]*Tabella4[[#This Row],[NC]]</f>
        <v>2.5604347458473077E-10</v>
      </c>
      <c r="AH34">
        <f>+Tabella4[[#This Row],[Secondary]]*Tabella4[[#This Row],[NC]]</f>
        <v>2.5214305980010281E-10</v>
      </c>
    </row>
    <row r="35" spans="3:34" x14ac:dyDescent="0.25">
      <c r="C35" t="s">
        <v>28</v>
      </c>
      <c r="D35" s="1">
        <v>9</v>
      </c>
      <c r="E35" s="5">
        <f>+Inlet!D37</f>
        <v>8.4212847972979201E-5</v>
      </c>
      <c r="F35" s="5">
        <f>+Secondary!B33</f>
        <v>8.4212847972979201E-5</v>
      </c>
      <c r="G35" s="5">
        <f>+Outlet!D37</f>
        <v>8.4212847972979201E-5</v>
      </c>
      <c r="J35" s="7" t="s">
        <v>108</v>
      </c>
      <c r="K35" s="8">
        <v>1</v>
      </c>
      <c r="L35" s="8">
        <v>1</v>
      </c>
      <c r="M35" s="8">
        <v>1</v>
      </c>
      <c r="AF35">
        <f>+Tabella4[[#This Row],[Inlet]]*Tabella4[[#This Row],[NC]]</f>
        <v>7.5791563175681283E-4</v>
      </c>
      <c r="AG35">
        <f>+Tabella4[[#This Row],[Primary]]*Tabella4[[#This Row],[NC]]</f>
        <v>7.5791563175681283E-4</v>
      </c>
      <c r="AH35">
        <f>+Tabella4[[#This Row],[Secondary]]*Tabella4[[#This Row],[NC]]</f>
        <v>7.5791563175681283E-4</v>
      </c>
    </row>
    <row r="36" spans="3:34" x14ac:dyDescent="0.25">
      <c r="C36" t="s">
        <v>29</v>
      </c>
      <c r="D36" s="1">
        <v>9</v>
      </c>
      <c r="E36" s="5">
        <f>+Inlet!D38</f>
        <v>6.2978783674192802E-9</v>
      </c>
      <c r="F36" s="5">
        <f>+Secondary!B34</f>
        <v>6.2978783674192802E-9</v>
      </c>
      <c r="G36" s="5">
        <f>+Outlet!D38</f>
        <v>6.2978783674192802E-9</v>
      </c>
      <c r="AF36">
        <f>+Tabella4[[#This Row],[Inlet]]*Tabella4[[#This Row],[NC]]</f>
        <v>5.6680905306773525E-8</v>
      </c>
      <c r="AG36">
        <f>+Tabella4[[#This Row],[Primary]]*Tabella4[[#This Row],[NC]]</f>
        <v>5.6680905306773525E-8</v>
      </c>
      <c r="AH36">
        <f>+Tabella4[[#This Row],[Secondary]]*Tabella4[[#This Row],[NC]]</f>
        <v>5.6680905306773525E-8</v>
      </c>
    </row>
    <row r="37" spans="3:34" x14ac:dyDescent="0.25">
      <c r="C37" t="s">
        <v>30</v>
      </c>
      <c r="D37" s="1">
        <v>10</v>
      </c>
      <c r="E37" s="5">
        <f>+Inlet!D39</f>
        <v>5.31262659394946E-5</v>
      </c>
      <c r="F37" s="5">
        <f>+Secondary!B35</f>
        <v>2.8853410545116684E-2</v>
      </c>
      <c r="G37" s="5">
        <f>+Outlet!D39</f>
        <v>4.0899805931452413E-2</v>
      </c>
      <c r="AF37">
        <f>+Tabella4[[#This Row],[Inlet]]*Tabella4[[#This Row],[NC]]</f>
        <v>5.3126265939494599E-4</v>
      </c>
      <c r="AG37">
        <f>+Tabella4[[#This Row],[Primary]]*Tabella4[[#This Row],[NC]]</f>
        <v>0.28853410545116687</v>
      </c>
      <c r="AH37">
        <f>+Tabella4[[#This Row],[Secondary]]*Tabella4[[#This Row],[NC]]</f>
        <v>0.40899805931452415</v>
      </c>
    </row>
    <row r="38" spans="3:34" x14ac:dyDescent="0.25">
      <c r="C38" t="s">
        <v>31</v>
      </c>
      <c r="D38" s="1">
        <v>10</v>
      </c>
      <c r="E38" s="5">
        <f>+Inlet!D40</f>
        <v>3.98999016549474E-5</v>
      </c>
      <c r="F38" s="5">
        <f>+Secondary!B36</f>
        <v>3.8749231207488604E-5</v>
      </c>
      <c r="G38" s="5">
        <f>+Outlet!D40</f>
        <v>3.7631744863843029E-5</v>
      </c>
      <c r="AF38">
        <f>+Tabella4[[#This Row],[Inlet]]*Tabella4[[#This Row],[NC]]</f>
        <v>3.9899901654947401E-4</v>
      </c>
      <c r="AG38">
        <f>+Tabella4[[#This Row],[Primary]]*Tabella4[[#This Row],[NC]]</f>
        <v>3.8749231207488603E-4</v>
      </c>
      <c r="AH38">
        <f>+Tabella4[[#This Row],[Secondary]]*Tabella4[[#This Row],[NC]]</f>
        <v>3.7631744863843026E-4</v>
      </c>
    </row>
    <row r="39" spans="3:34" x14ac:dyDescent="0.25">
      <c r="C39" t="s">
        <v>32</v>
      </c>
      <c r="D39" s="1">
        <v>10</v>
      </c>
      <c r="E39" s="5">
        <f>+Inlet!D41</f>
        <v>2.9005430040026501E-8</v>
      </c>
      <c r="F39" s="5">
        <f>+Secondary!B37</f>
        <v>2.8168944490474935E-8</v>
      </c>
      <c r="G39" s="5">
        <f>+Outlet!D41</f>
        <v>2.7356582288642849E-8</v>
      </c>
      <c r="AF39">
        <f>+Tabella4[[#This Row],[Inlet]]*Tabella4[[#This Row],[NC]]</f>
        <v>2.9005430040026501E-7</v>
      </c>
      <c r="AG39">
        <f>+Tabella4[[#This Row],[Primary]]*Tabella4[[#This Row],[NC]]</f>
        <v>2.8168944490474937E-7</v>
      </c>
      <c r="AH39">
        <f>+Tabella4[[#This Row],[Secondary]]*Tabella4[[#This Row],[NC]]</f>
        <v>2.7356582288642847E-7</v>
      </c>
    </row>
    <row r="40" spans="3:34" x14ac:dyDescent="0.25">
      <c r="C40" t="s">
        <v>33</v>
      </c>
      <c r="D40" s="1">
        <v>10</v>
      </c>
      <c r="E40" s="5">
        <f>+Inlet!D42</f>
        <v>1.2093808049619699E-5</v>
      </c>
      <c r="F40" s="5">
        <f>+Secondary!B38</f>
        <v>1.2093808049619699E-5</v>
      </c>
      <c r="G40" s="5">
        <f>+Outlet!D42</f>
        <v>1.2093808049619699E-5</v>
      </c>
      <c r="AF40">
        <f>+Tabella4[[#This Row],[Inlet]]*Tabella4[[#This Row],[NC]]</f>
        <v>1.2093808049619699E-4</v>
      </c>
      <c r="AG40">
        <f>+Tabella4[[#This Row],[Primary]]*Tabella4[[#This Row],[NC]]</f>
        <v>1.2093808049619699E-4</v>
      </c>
      <c r="AH40">
        <f>+Tabella4[[#This Row],[Secondary]]*Tabella4[[#This Row],[NC]]</f>
        <v>1.2093808049619699E-4</v>
      </c>
    </row>
    <row r="41" spans="3:34" x14ac:dyDescent="0.25">
      <c r="C41" t="s">
        <v>34</v>
      </c>
      <c r="D41" s="1">
        <v>10</v>
      </c>
      <c r="E41" s="5">
        <f>+Inlet!D43</f>
        <v>3.2000962591801201E-7</v>
      </c>
      <c r="F41" s="5">
        <f>+Secondary!B39</f>
        <v>3.2000962591801201E-7</v>
      </c>
      <c r="G41" s="5">
        <f>+Outlet!D43</f>
        <v>3.2000962591801201E-7</v>
      </c>
      <c r="AF41">
        <f>+Tabella4[[#This Row],[Inlet]]*Tabella4[[#This Row],[NC]]</f>
        <v>3.20009625918012E-6</v>
      </c>
      <c r="AG41">
        <f>+Tabella4[[#This Row],[Primary]]*Tabella4[[#This Row],[NC]]</f>
        <v>3.20009625918012E-6</v>
      </c>
      <c r="AH41">
        <f>+Tabella4[[#This Row],[Secondary]]*Tabella4[[#This Row],[NC]]</f>
        <v>3.20009625918012E-6</v>
      </c>
    </row>
    <row r="42" spans="3:34" x14ac:dyDescent="0.25">
      <c r="C42" t="s">
        <v>35</v>
      </c>
      <c r="D42" s="1">
        <v>11</v>
      </c>
      <c r="E42" s="5">
        <f>+Inlet!D44</f>
        <v>6.36753582062744E-6</v>
      </c>
      <c r="F42" s="5">
        <f>+Secondary!B40</f>
        <v>2.8806019105484783E-2</v>
      </c>
      <c r="G42" s="5">
        <f>+Outlet!D44</f>
        <v>3.9074290219924937E-2</v>
      </c>
      <c r="AF42">
        <f>+Tabella4[[#This Row],[Inlet]]*Tabella4[[#This Row],[NC]]</f>
        <v>7.0042894026901844E-5</v>
      </c>
      <c r="AG42">
        <f>+Tabella4[[#This Row],[Primary]]*Tabella4[[#This Row],[NC]]</f>
        <v>0.31686621016033262</v>
      </c>
      <c r="AH42">
        <f>+Tabella4[[#This Row],[Secondary]]*Tabella4[[#This Row],[NC]]</f>
        <v>0.42981719241917432</v>
      </c>
    </row>
    <row r="43" spans="3:34" x14ac:dyDescent="0.25">
      <c r="C43" t="s">
        <v>36</v>
      </c>
      <c r="D43" s="1">
        <v>11</v>
      </c>
      <c r="E43" s="5">
        <f>+Inlet!D45</f>
        <v>6.9458670121346895E-7</v>
      </c>
      <c r="F43" s="5">
        <f>+Secondary!B41</f>
        <v>6.6045750165336401E-7</v>
      </c>
      <c r="G43" s="5">
        <f>+Outlet!D45</f>
        <v>6.2800527382418701E-7</v>
      </c>
      <c r="AF43">
        <f>+Tabella4[[#This Row],[Inlet]]*Tabella4[[#This Row],[NC]]</f>
        <v>7.6404537133481586E-6</v>
      </c>
      <c r="AG43">
        <f>+Tabella4[[#This Row],[Primary]]*Tabella4[[#This Row],[NC]]</f>
        <v>7.265032518187004E-6</v>
      </c>
      <c r="AH43">
        <f>+Tabella4[[#This Row],[Secondary]]*Tabella4[[#This Row],[NC]]</f>
        <v>6.9080580120660573E-6</v>
      </c>
    </row>
    <row r="44" spans="3:34" x14ac:dyDescent="0.25">
      <c r="C44" t="s">
        <v>37</v>
      </c>
      <c r="D44" s="1">
        <v>11</v>
      </c>
      <c r="E44" s="5">
        <f>+Inlet!D46</f>
        <v>1.65554693590926E-7</v>
      </c>
      <c r="F44" s="5">
        <f>+Secondary!B42</f>
        <v>1.65554693590926E-7</v>
      </c>
      <c r="G44" s="5">
        <f>+Outlet!D46</f>
        <v>1.65554693590926E-7</v>
      </c>
      <c r="AF44">
        <f>+Tabella4[[#This Row],[Inlet]]*Tabella4[[#This Row],[NC]]</f>
        <v>1.821101629500186E-6</v>
      </c>
      <c r="AG44">
        <f>+Tabella4[[#This Row],[Primary]]*Tabella4[[#This Row],[NC]]</f>
        <v>1.821101629500186E-6</v>
      </c>
      <c r="AH44">
        <f>+Tabella4[[#This Row],[Secondary]]*Tabella4[[#This Row],[NC]]</f>
        <v>1.821101629500186E-6</v>
      </c>
    </row>
    <row r="45" spans="3:34" x14ac:dyDescent="0.25">
      <c r="C45" t="s">
        <v>102</v>
      </c>
      <c r="D45" s="1">
        <v>11</v>
      </c>
      <c r="E45" s="5">
        <f>+Inlet!D47</f>
        <v>2.8947638471494402E-7</v>
      </c>
      <c r="F45" s="5">
        <f>+Secondary!B43</f>
        <v>2.7525267832290686E-7</v>
      </c>
      <c r="G45" s="5">
        <f>+Outlet!D47</f>
        <v>2.7525267832290686E-7</v>
      </c>
      <c r="AF45">
        <f>+Tabella4[[#This Row],[Inlet]]*Tabella4[[#This Row],[NC]]</f>
        <v>3.1842402318643843E-6</v>
      </c>
      <c r="AG45">
        <f>+Tabella4[[#This Row],[Primary]]*Tabella4[[#This Row],[NC]]</f>
        <v>3.0277794615519753E-6</v>
      </c>
      <c r="AH45">
        <f>+Tabella4[[#This Row],[Secondary]]*Tabella4[[#This Row],[NC]]</f>
        <v>3.0277794615519753E-6</v>
      </c>
    </row>
    <row r="46" spans="3:34" x14ac:dyDescent="0.25">
      <c r="C46" t="s">
        <v>38</v>
      </c>
      <c r="D46" s="1">
        <v>12</v>
      </c>
      <c r="E46" s="5">
        <f>+Inlet!D48</f>
        <v>1.15040433650954E-6</v>
      </c>
      <c r="F46" s="5">
        <f>+Secondary!B44</f>
        <v>1.0590442559488057E-6</v>
      </c>
      <c r="G46" s="5">
        <f>+Outlet!D48</f>
        <v>9.7493959337909587E-7</v>
      </c>
      <c r="AF46">
        <f>+Tabella4[[#This Row],[Inlet]]*Tabella4[[#This Row],[NC]]</f>
        <v>1.380485203811448E-5</v>
      </c>
      <c r="AG46">
        <f>+Tabella4[[#This Row],[Primary]]*Tabella4[[#This Row],[NC]]</f>
        <v>1.2708531071385669E-5</v>
      </c>
      <c r="AH46">
        <f>+Tabella4[[#This Row],[Secondary]]*Tabella4[[#This Row],[NC]]</f>
        <v>1.169927512054915E-5</v>
      </c>
    </row>
    <row r="47" spans="3:34" x14ac:dyDescent="0.25">
      <c r="C47" t="s">
        <v>39</v>
      </c>
      <c r="D47" s="1">
        <v>12</v>
      </c>
      <c r="E47" s="5">
        <f>+Inlet!D49</f>
        <v>5.0522337157809797E-6</v>
      </c>
      <c r="F47" s="5">
        <f>+Secondary!B45</f>
        <v>2.8794735851316984E-2</v>
      </c>
      <c r="G47" s="5">
        <f>+Outlet!D49</f>
        <v>3.6691469381432883E-2</v>
      </c>
      <c r="AF47">
        <f>+Tabella4[[#This Row],[Inlet]]*Tabella4[[#This Row],[NC]]</f>
        <v>6.0626804589371757E-5</v>
      </c>
      <c r="AG47">
        <f>+Tabella4[[#This Row],[Primary]]*Tabella4[[#This Row],[NC]]</f>
        <v>0.34553683021580384</v>
      </c>
      <c r="AH47">
        <f>+Tabella4[[#This Row],[Secondary]]*Tabella4[[#This Row],[NC]]</f>
        <v>0.44029763257719456</v>
      </c>
    </row>
    <row r="48" spans="3:34" x14ac:dyDescent="0.25">
      <c r="C48" t="s">
        <v>40</v>
      </c>
      <c r="D48" s="1">
        <v>12</v>
      </c>
      <c r="E48" s="5">
        <f>+Inlet!D50</f>
        <v>1.42872677173312E-7</v>
      </c>
      <c r="F48" s="5">
        <f>+Secondary!B46</f>
        <v>1.3152635407435234E-7</v>
      </c>
      <c r="G48" s="5">
        <f>+Outlet!D50</f>
        <v>1.2108110632732872E-7</v>
      </c>
      <c r="AF48">
        <f>+Tabella4[[#This Row],[Inlet]]*Tabella4[[#This Row],[NC]]</f>
        <v>1.7144721260797441E-6</v>
      </c>
      <c r="AG48">
        <f>+Tabella4[[#This Row],[Primary]]*Tabella4[[#This Row],[NC]]</f>
        <v>1.5783162488922279E-6</v>
      </c>
      <c r="AH48">
        <f>+Tabella4[[#This Row],[Secondary]]*Tabella4[[#This Row],[NC]]</f>
        <v>1.4529732759279445E-6</v>
      </c>
    </row>
    <row r="49" spans="3:34" x14ac:dyDescent="0.25">
      <c r="C49" t="s">
        <v>41</v>
      </c>
      <c r="D49" s="1">
        <v>12</v>
      </c>
      <c r="E49" s="5">
        <f>+Inlet!D51</f>
        <v>5.4930049786511697E-7</v>
      </c>
      <c r="F49" s="5">
        <f>+Secondary!B47</f>
        <v>5.4930049786511697E-7</v>
      </c>
      <c r="G49" s="5">
        <f>+Outlet!D51</f>
        <v>5.4930049786511697E-7</v>
      </c>
      <c r="AF49">
        <f>+Tabella4[[#This Row],[Inlet]]*Tabella4[[#This Row],[NC]]</f>
        <v>6.5916059743814033E-6</v>
      </c>
      <c r="AG49">
        <f>+Tabella4[[#This Row],[Primary]]*Tabella4[[#This Row],[NC]]</f>
        <v>6.5916059743814033E-6</v>
      </c>
      <c r="AH49">
        <f>+Tabella4[[#This Row],[Secondary]]*Tabella4[[#This Row],[NC]]</f>
        <v>6.5916059743814033E-6</v>
      </c>
    </row>
    <row r="50" spans="3:34" x14ac:dyDescent="0.25">
      <c r="C50" t="s">
        <v>103</v>
      </c>
      <c r="D50" s="1">
        <v>12</v>
      </c>
      <c r="E50" s="5">
        <f>+Inlet!D52</f>
        <v>9.8777101473426203E-8</v>
      </c>
      <c r="F50" s="5">
        <f>+Secondary!B48</f>
        <v>9.8777101473426203E-8</v>
      </c>
      <c r="G50" s="5">
        <f>+Outlet!D52</f>
        <v>9.8777101473426203E-8</v>
      </c>
      <c r="AF50">
        <f>+Tabella4[[#This Row],[Inlet]]*Tabella4[[#This Row],[NC]]</f>
        <v>1.1853252176811144E-6</v>
      </c>
      <c r="AG50">
        <f>+Tabella4[[#This Row],[Primary]]*Tabella4[[#This Row],[NC]]</f>
        <v>1.1853252176811144E-6</v>
      </c>
      <c r="AH50">
        <f>+Tabella4[[#This Row],[Secondary]]*Tabella4[[#This Row],[NC]]</f>
        <v>1.1853252176811144E-6</v>
      </c>
    </row>
    <row r="51" spans="3:34" x14ac:dyDescent="0.25">
      <c r="C51" t="s">
        <v>42</v>
      </c>
      <c r="D51" s="1">
        <v>13</v>
      </c>
      <c r="E51" s="5">
        <f>+Inlet!D53</f>
        <v>1.7767883216190999E-6</v>
      </c>
      <c r="F51" s="5">
        <f>+Secondary!B49</f>
        <v>1.5554226230979695E-6</v>
      </c>
      <c r="G51" s="5">
        <f>+Outlet!D53</f>
        <v>1.3616363339445764E-6</v>
      </c>
      <c r="AF51">
        <f>+Tabella4[[#This Row],[Inlet]]*Tabella4[[#This Row],[NC]]</f>
        <v>2.3098248181048298E-5</v>
      </c>
      <c r="AG51">
        <f>+Tabella4[[#This Row],[Primary]]*Tabella4[[#This Row],[NC]]</f>
        <v>2.0220494100273604E-5</v>
      </c>
      <c r="AH51">
        <f>+Tabella4[[#This Row],[Secondary]]*Tabella4[[#This Row],[NC]]</f>
        <v>1.7701272341279494E-5</v>
      </c>
    </row>
    <row r="52" spans="3:34" x14ac:dyDescent="0.25">
      <c r="C52" t="s">
        <v>43</v>
      </c>
      <c r="D52" s="1">
        <v>13</v>
      </c>
      <c r="E52" s="5">
        <f>+Inlet!D54</f>
        <v>2.06538218262178E-7</v>
      </c>
      <c r="F52" s="5">
        <f>+Secondary!B50</f>
        <v>1.8080612828803075E-7</v>
      </c>
      <c r="G52" s="5">
        <f>+Outlet!D54</f>
        <v>1.5827993628283517E-7</v>
      </c>
      <c r="AF52">
        <f>+Tabella4[[#This Row],[Inlet]]*Tabella4[[#This Row],[NC]]</f>
        <v>2.6849968374083139E-6</v>
      </c>
      <c r="AG52">
        <f>+Tabella4[[#This Row],[Primary]]*Tabella4[[#This Row],[NC]]</f>
        <v>2.3504796677443999E-6</v>
      </c>
      <c r="AH52">
        <f>+Tabella4[[#This Row],[Secondary]]*Tabella4[[#This Row],[NC]]</f>
        <v>2.0576391716768572E-6</v>
      </c>
    </row>
    <row r="53" spans="3:34" x14ac:dyDescent="0.25">
      <c r="C53" t="s">
        <v>44</v>
      </c>
      <c r="D53" s="1">
        <v>13</v>
      </c>
      <c r="E53" s="5">
        <f>+Inlet!D55</f>
        <v>1.43202293204218E-5</v>
      </c>
      <c r="F53" s="5">
        <f>+Secondary!B51</f>
        <v>2.8749988232886357E-2</v>
      </c>
      <c r="G53" s="5">
        <f>+Outlet!D55</f>
        <v>3.3652931993735452E-2</v>
      </c>
      <c r="AF53">
        <f>+Tabella4[[#This Row],[Inlet]]*Tabella4[[#This Row],[NC]]</f>
        <v>1.8616298116548338E-4</v>
      </c>
      <c r="AG53">
        <f>+Tabella4[[#This Row],[Primary]]*Tabella4[[#This Row],[NC]]</f>
        <v>0.37374984702752262</v>
      </c>
      <c r="AH53">
        <f>+Tabella4[[#This Row],[Secondary]]*Tabella4[[#This Row],[NC]]</f>
        <v>0.43748811591856085</v>
      </c>
    </row>
    <row r="54" spans="3:34" x14ac:dyDescent="0.25">
      <c r="C54" t="s">
        <v>45</v>
      </c>
      <c r="D54" s="1">
        <v>14</v>
      </c>
      <c r="E54" s="5">
        <f>+Inlet!D56</f>
        <v>1.73939982511811E-6</v>
      </c>
      <c r="F54" s="5">
        <f>+Secondary!B52</f>
        <v>1.4054765706094218E-6</v>
      </c>
      <c r="G54" s="5">
        <f>+Outlet!D56</f>
        <v>1.135658611669625E-6</v>
      </c>
      <c r="AF54">
        <f>+Tabella4[[#This Row],[Inlet]]*Tabella4[[#This Row],[NC]]</f>
        <v>2.4351597551653538E-5</v>
      </c>
      <c r="AG54">
        <f>+Tabella4[[#This Row],[Primary]]*Tabella4[[#This Row],[NC]]</f>
        <v>1.9676671988531907E-5</v>
      </c>
      <c r="AH54">
        <f>+Tabella4[[#This Row],[Secondary]]*Tabella4[[#This Row],[NC]]</f>
        <v>1.5899220563374749E-5</v>
      </c>
    </row>
    <row r="55" spans="3:34" x14ac:dyDescent="0.25">
      <c r="C55" t="s">
        <v>104</v>
      </c>
      <c r="D55" s="1">
        <v>14</v>
      </c>
      <c r="E55" s="5">
        <f>+Inlet!D57</f>
        <v>6.3342220320428803E-5</v>
      </c>
      <c r="F55" s="5">
        <f>+Secondary!B53</f>
        <v>2.8463972914584565E-2</v>
      </c>
      <c r="G55" s="5">
        <f>+Outlet!D57</f>
        <v>2.9591247926336852E-2</v>
      </c>
      <c r="AF55">
        <f>+Tabella4[[#This Row],[Inlet]]*Tabella4[[#This Row],[NC]]</f>
        <v>8.8679108448600321E-4</v>
      </c>
      <c r="AG55">
        <f>+Tabella4[[#This Row],[Primary]]*Tabella4[[#This Row],[NC]]</f>
        <v>0.39849562080418388</v>
      </c>
      <c r="AH55">
        <f>+Tabella4[[#This Row],[Secondary]]*Tabella4[[#This Row],[NC]]</f>
        <v>0.41427747096871592</v>
      </c>
    </row>
    <row r="56" spans="3:34" x14ac:dyDescent="0.25">
      <c r="C56" t="s">
        <v>105</v>
      </c>
      <c r="D56" s="1">
        <v>15</v>
      </c>
      <c r="E56" s="5">
        <f>+Inlet!D58</f>
        <v>1.0679308080105E-5</v>
      </c>
      <c r="F56" s="5">
        <f>+Secondary!B54</f>
        <v>7.55552403588452E-6</v>
      </c>
      <c r="G56" s="5">
        <f>+Outlet!D58</f>
        <v>5.3454721063040477E-6</v>
      </c>
      <c r="AF56">
        <f>+Tabella4[[#This Row],[Inlet]]*Tabella4[[#This Row],[NC]]</f>
        <v>1.60189621201575E-4</v>
      </c>
      <c r="AG56">
        <f>+Tabella4[[#This Row],[Primary]]*Tabella4[[#This Row],[NC]]</f>
        <v>1.1333286053826781E-4</v>
      </c>
      <c r="AH56">
        <f>+Tabella4[[#This Row],[Secondary]]*Tabella4[[#This Row],[NC]]</f>
        <v>8.018208159456071E-5</v>
      </c>
    </row>
    <row r="57" spans="3:34" x14ac:dyDescent="0.25">
      <c r="C57" t="s">
        <v>48</v>
      </c>
      <c r="D57" s="1">
        <v>15</v>
      </c>
      <c r="E57" s="5">
        <f>+Inlet!D59</f>
        <v>2.4524703067885402E-4</v>
      </c>
      <c r="F57" s="5">
        <f>+Secondary!B55</f>
        <v>2.5133702061051841E-2</v>
      </c>
      <c r="G57" s="5">
        <f>+Outlet!D59</f>
        <v>2.2373374145022471E-2</v>
      </c>
      <c r="AF57">
        <f>+Tabella4[[#This Row],[Inlet]]*Tabella4[[#This Row],[NC]]</f>
        <v>3.6787054601828103E-3</v>
      </c>
      <c r="AG57">
        <f>+Tabella4[[#This Row],[Primary]]*Tabella4[[#This Row],[NC]]</f>
        <v>0.3770055309157776</v>
      </c>
      <c r="AH57">
        <f>+Tabella4[[#This Row],[Secondary]]*Tabella4[[#This Row],[NC]]</f>
        <v>0.33560061217533704</v>
      </c>
    </row>
    <row r="58" spans="3:34" x14ac:dyDescent="0.25">
      <c r="C58" t="s">
        <v>49</v>
      </c>
      <c r="D58" s="1">
        <v>16</v>
      </c>
      <c r="E58" s="5">
        <f>+Inlet!D60</f>
        <v>7.2695341019647397E-5</v>
      </c>
      <c r="F58" s="5">
        <f>+Secondary!B56</f>
        <v>4.0528804653740105E-5</v>
      </c>
      <c r="G58" s="5">
        <f>+Outlet!D60</f>
        <v>2.2595450872389248E-5</v>
      </c>
      <c r="AF58">
        <f>+Tabella4[[#This Row],[Inlet]]*Tabella4[[#This Row],[NC]]</f>
        <v>1.1631254563143584E-3</v>
      </c>
      <c r="AG58">
        <f>+Tabella4[[#This Row],[Primary]]*Tabella4[[#This Row],[NC]]</f>
        <v>6.4846087445984168E-4</v>
      </c>
      <c r="AH58">
        <f>+Tabella4[[#This Row],[Secondary]]*Tabella4[[#This Row],[NC]]</f>
        <v>3.6152721395822798E-4</v>
      </c>
    </row>
    <row r="59" spans="3:34" x14ac:dyDescent="0.25">
      <c r="C59" t="s">
        <v>50</v>
      </c>
      <c r="D59" s="1">
        <v>16</v>
      </c>
      <c r="E59" s="5">
        <f>+Inlet!D61</f>
        <v>9.2880678479418603E-4</v>
      </c>
      <c r="F59" s="5">
        <f>+Secondary!B57</f>
        <v>1.9881941817091731E-2</v>
      </c>
      <c r="G59" s="5">
        <f>+Outlet!D61</f>
        <v>1.3989379399077337E-2</v>
      </c>
      <c r="AF59">
        <f>+Tabella4[[#This Row],[Inlet]]*Tabella4[[#This Row],[NC]]</f>
        <v>1.4860908556706976E-2</v>
      </c>
      <c r="AG59">
        <f>+Tabella4[[#This Row],[Primary]]*Tabella4[[#This Row],[NC]]</f>
        <v>0.3181110690734677</v>
      </c>
      <c r="AH59">
        <f>+Tabella4[[#This Row],[Secondary]]*Tabella4[[#This Row],[NC]]</f>
        <v>0.22383007038523739</v>
      </c>
    </row>
    <row r="60" spans="3:34" x14ac:dyDescent="0.25">
      <c r="C60" t="s">
        <v>51</v>
      </c>
      <c r="D60" s="1">
        <v>17</v>
      </c>
      <c r="E60" s="5">
        <f>+Inlet!D62</f>
        <v>6.1810605848908699E-5</v>
      </c>
      <c r="F60" s="5">
        <f>+Secondary!B58</f>
        <v>2.0631011633141722E-5</v>
      </c>
      <c r="G60" s="5">
        <f>+Outlet!D62</f>
        <v>6.8861748750250102E-6</v>
      </c>
      <c r="AF60">
        <f>+Tabella4[[#This Row],[Inlet]]*Tabella4[[#This Row],[NC]]</f>
        <v>1.0507802994314478E-3</v>
      </c>
      <c r="AG60">
        <f>+Tabella4[[#This Row],[Primary]]*Tabella4[[#This Row],[NC]]</f>
        <v>3.5072719776340928E-4</v>
      </c>
      <c r="AH60">
        <f>+Tabella4[[#This Row],[Secondary]]*Tabella4[[#This Row],[NC]]</f>
        <v>1.1706497287542517E-4</v>
      </c>
    </row>
    <row r="61" spans="3:34" x14ac:dyDescent="0.25">
      <c r="C61" t="s">
        <v>52</v>
      </c>
      <c r="D61" s="1">
        <v>17</v>
      </c>
      <c r="E61" s="5">
        <f>+Inlet!D63</f>
        <v>4.5669906775103099E-3</v>
      </c>
      <c r="F61" s="5">
        <f>+Secondary!B59</f>
        <v>1.6682203521511473E-2</v>
      </c>
      <c r="G61" s="5">
        <f>+Outlet!D63</f>
        <v>7.2942537008095108E-3</v>
      </c>
      <c r="AF61">
        <f>+Tabella4[[#This Row],[Inlet]]*Tabella4[[#This Row],[NC]]</f>
        <v>7.7638841517675264E-2</v>
      </c>
      <c r="AG61">
        <f>+Tabella4[[#This Row],[Primary]]*Tabella4[[#This Row],[NC]]</f>
        <v>0.28359745986569501</v>
      </c>
      <c r="AH61">
        <f>+Tabella4[[#This Row],[Secondary]]*Tabella4[[#This Row],[NC]]</f>
        <v>0.12400231291376168</v>
      </c>
    </row>
    <row r="62" spans="3:34" x14ac:dyDescent="0.25">
      <c r="C62" t="s">
        <v>53</v>
      </c>
      <c r="D62" s="1">
        <v>18</v>
      </c>
      <c r="E62" s="5">
        <f>+Inlet!D64</f>
        <v>3.8067033145851602E-2</v>
      </c>
      <c r="F62" s="5">
        <f>+Secondary!B60</f>
        <v>1.1862925569831919E-2</v>
      </c>
      <c r="G62" s="5">
        <f>+Outlet!D64</f>
        <v>9.3084043049297997E-4</v>
      </c>
      <c r="AF62">
        <f>+Tabella4[[#This Row],[Inlet]]*Tabella4[[#This Row],[NC]]</f>
        <v>0.68520659662532879</v>
      </c>
      <c r="AG62">
        <f>+Tabella4[[#This Row],[Primary]]*Tabella4[[#This Row],[NC]]</f>
        <v>0.21353266025697454</v>
      </c>
      <c r="AH62">
        <f>+Tabella4[[#This Row],[Secondary]]*Tabella4[[#This Row],[NC]]</f>
        <v>1.6755127748873638E-2</v>
      </c>
    </row>
    <row r="63" spans="3:34" x14ac:dyDescent="0.25">
      <c r="C63" t="s">
        <v>54</v>
      </c>
      <c r="D63" s="1">
        <v>19</v>
      </c>
      <c r="E63" s="5">
        <f>+Inlet!D65</f>
        <v>3.1509682024503501E-2</v>
      </c>
      <c r="F63" s="5">
        <f>+Secondary!B61</f>
        <v>9.0743180107670258E-3</v>
      </c>
      <c r="G63" s="5">
        <f>+Outlet!D65</f>
        <v>4.2906754222398386E-4</v>
      </c>
      <c r="AF63">
        <f>+Tabella4[[#This Row],[Inlet]]*Tabella4[[#This Row],[NC]]</f>
        <v>0.59868395846556655</v>
      </c>
      <c r="AG63">
        <f>+Tabella4[[#This Row],[Primary]]*Tabella4[[#This Row],[NC]]</f>
        <v>0.17241204220457348</v>
      </c>
      <c r="AH63">
        <f>+Tabella4[[#This Row],[Secondary]]*Tabella4[[#This Row],[NC]]</f>
        <v>8.1522833022556924E-3</v>
      </c>
    </row>
    <row r="64" spans="3:34" x14ac:dyDescent="0.25">
      <c r="C64" t="s">
        <v>55</v>
      </c>
      <c r="D64" s="1">
        <v>20</v>
      </c>
      <c r="E64" s="5">
        <f>+Inlet!D66</f>
        <v>2.4954334528562001E-2</v>
      </c>
      <c r="F64" s="5">
        <f>+Secondary!B62</f>
        <v>6.7305525851894732E-3</v>
      </c>
      <c r="G64" s="5">
        <f>+Outlet!D66</f>
        <v>1.4791037473839888E-4</v>
      </c>
      <c r="AF64">
        <f>+Tabella4[[#This Row],[Inlet]]*Tabella4[[#This Row],[NC]]</f>
        <v>0.49908669057124</v>
      </c>
      <c r="AG64">
        <f>+Tabella4[[#This Row],[Primary]]*Tabella4[[#This Row],[NC]]</f>
        <v>0.13461105170378945</v>
      </c>
      <c r="AH64">
        <f>+Tabella4[[#This Row],[Secondary]]*Tabella4[[#This Row],[NC]]</f>
        <v>2.9582074947679775E-3</v>
      </c>
    </row>
    <row r="65" spans="3:34" x14ac:dyDescent="0.25">
      <c r="C65" t="s">
        <v>56</v>
      </c>
      <c r="D65" s="1">
        <v>21</v>
      </c>
      <c r="E65" s="5">
        <f>+Inlet!D67</f>
        <v>2.2686976780200201E-2</v>
      </c>
      <c r="F65" s="5">
        <f>+Secondary!B63</f>
        <v>4.7176402961359529E-3</v>
      </c>
      <c r="G65" s="5">
        <f>+Outlet!D67</f>
        <v>2.7008371223039941E-5</v>
      </c>
      <c r="AF65">
        <f>+Tabella4[[#This Row],[Inlet]]*Tabella4[[#This Row],[NC]]</f>
        <v>0.47642651238420419</v>
      </c>
      <c r="AG65">
        <f>+Tabella4[[#This Row],[Primary]]*Tabella4[[#This Row],[NC]]</f>
        <v>9.907044621885501E-2</v>
      </c>
      <c r="AH65">
        <f>+Tabella4[[#This Row],[Secondary]]*Tabella4[[#This Row],[NC]]</f>
        <v>5.6717579568383875E-4</v>
      </c>
    </row>
    <row r="66" spans="3:34" x14ac:dyDescent="0.25">
      <c r="C66" t="s">
        <v>57</v>
      </c>
      <c r="D66" s="1">
        <v>22</v>
      </c>
      <c r="E66" s="5">
        <f>+Inlet!D68</f>
        <v>2.0418279046158099E-2</v>
      </c>
      <c r="F66" s="5">
        <f>+Secondary!B64</f>
        <v>2.9962165630922554E-3</v>
      </c>
      <c r="G66" s="5">
        <f>+Outlet!D68</f>
        <v>0</v>
      </c>
      <c r="AF66">
        <f>+Tabella4[[#This Row],[Inlet]]*Tabella4[[#This Row],[NC]]</f>
        <v>0.44920213901547817</v>
      </c>
      <c r="AG66">
        <f>+Tabella4[[#This Row],[Primary]]*Tabella4[[#This Row],[NC]]</f>
        <v>6.5916764388029625E-2</v>
      </c>
      <c r="AH66">
        <f>+Tabella4[[#This Row],[Secondary]]*Tabella4[[#This Row],[NC]]</f>
        <v>0</v>
      </c>
    </row>
    <row r="67" spans="3:34" x14ac:dyDescent="0.25">
      <c r="C67" t="s">
        <v>58</v>
      </c>
      <c r="D67" s="1">
        <v>23</v>
      </c>
      <c r="E67" s="5">
        <f>+Inlet!D69</f>
        <v>1.81495907482754E-2</v>
      </c>
      <c r="F67" s="5">
        <f>+Secondary!B65</f>
        <v>1.596191748969423E-3</v>
      </c>
      <c r="G67" s="5">
        <f>+Outlet!D69</f>
        <v>0</v>
      </c>
      <c r="AF67">
        <f>+Tabella4[[#This Row],[Inlet]]*Tabella4[[#This Row],[NC]]</f>
        <v>0.41744058721033422</v>
      </c>
      <c r="AG67">
        <f>+Tabella4[[#This Row],[Primary]]*Tabella4[[#This Row],[NC]]</f>
        <v>3.6712410226296732E-2</v>
      </c>
      <c r="AH67">
        <f>+Tabella4[[#This Row],[Secondary]]*Tabella4[[#This Row],[NC]]</f>
        <v>0</v>
      </c>
    </row>
    <row r="68" spans="3:34" x14ac:dyDescent="0.25">
      <c r="C68" t="s">
        <v>59</v>
      </c>
      <c r="D68" s="1">
        <v>24</v>
      </c>
      <c r="E68" s="5">
        <f>+Inlet!D70</f>
        <v>1.7015207469495301E-2</v>
      </c>
      <c r="F68" s="5">
        <f>+Secondary!B66</f>
        <v>4.8615068201471898E-4</v>
      </c>
      <c r="G68" s="5">
        <f>+Outlet!D70</f>
        <v>0</v>
      </c>
      <c r="AF68">
        <f>+Tabella4[[#This Row],[Inlet]]*Tabella4[[#This Row],[NC]]</f>
        <v>0.40836497926788723</v>
      </c>
      <c r="AG68">
        <f>+Tabella4[[#This Row],[Primary]]*Tabella4[[#This Row],[NC]]</f>
        <v>1.1667616368353256E-2</v>
      </c>
      <c r="AH68">
        <f>+Tabella4[[#This Row],[Secondary]]*Tabella4[[#This Row],[NC]]</f>
        <v>0</v>
      </c>
    </row>
    <row r="69" spans="3:34" x14ac:dyDescent="0.25">
      <c r="C69" t="s">
        <v>60</v>
      </c>
      <c r="D69" s="1">
        <v>25</v>
      </c>
      <c r="E69" s="5">
        <f>+Inlet!D71</f>
        <v>1.47465541544741E-2</v>
      </c>
      <c r="F69" s="5">
        <f>+Secondary!B67</f>
        <v>0</v>
      </c>
      <c r="G69" s="5">
        <f>+Outlet!D71</f>
        <v>0</v>
      </c>
      <c r="AF69">
        <f>+Tabella4[[#This Row],[Inlet]]*Tabella4[[#This Row],[NC]]</f>
        <v>0.36866385386185252</v>
      </c>
      <c r="AG69">
        <f>+Tabella4[[#This Row],[Primary]]*Tabella4[[#This Row],[NC]]</f>
        <v>0</v>
      </c>
      <c r="AH69">
        <f>+Tabella4[[#This Row],[Secondary]]*Tabella4[[#This Row],[NC]]</f>
        <v>0</v>
      </c>
    </row>
    <row r="70" spans="3:34" x14ac:dyDescent="0.25">
      <c r="C70" t="s">
        <v>61</v>
      </c>
      <c r="D70" s="1">
        <v>26</v>
      </c>
      <c r="E70" s="5">
        <f>+Inlet!D72</f>
        <v>1.2477807698799699E-2</v>
      </c>
      <c r="F70" s="5">
        <f>+Secondary!B68</f>
        <v>0</v>
      </c>
      <c r="G70" s="5">
        <f>+Outlet!D72</f>
        <v>0</v>
      </c>
      <c r="AF70">
        <f>+Tabella4[[#This Row],[Inlet]]*Tabella4[[#This Row],[NC]]</f>
        <v>0.32442300016879216</v>
      </c>
      <c r="AG70">
        <f>+Tabella4[[#This Row],[Primary]]*Tabella4[[#This Row],[NC]]</f>
        <v>0</v>
      </c>
      <c r="AH70">
        <f>+Tabella4[[#This Row],[Secondary]]*Tabella4[[#This Row],[NC]]</f>
        <v>0</v>
      </c>
    </row>
    <row r="71" spans="3:34" x14ac:dyDescent="0.25">
      <c r="C71" t="s">
        <v>62</v>
      </c>
      <c r="D71" s="1">
        <v>27</v>
      </c>
      <c r="E71" s="5">
        <f>+Inlet!D73</f>
        <v>1.0209164322309099E-2</v>
      </c>
      <c r="F71" s="5">
        <f>+Secondary!B69</f>
        <v>0</v>
      </c>
      <c r="G71" s="5">
        <f>+Outlet!D73</f>
        <v>0</v>
      </c>
      <c r="AF71">
        <f>+Tabella4[[#This Row],[Inlet]]*Tabella4[[#This Row],[NC]]</f>
        <v>0.27564743670234571</v>
      </c>
      <c r="AG71">
        <f>+Tabella4[[#This Row],[Primary]]*Tabella4[[#This Row],[NC]]</f>
        <v>0</v>
      </c>
      <c r="AH71">
        <f>+Tabella4[[#This Row],[Secondary]]*Tabella4[[#This Row],[NC]]</f>
        <v>0</v>
      </c>
    </row>
    <row r="72" spans="3:34" x14ac:dyDescent="0.25">
      <c r="D72" s="1">
        <v>28</v>
      </c>
      <c r="E72" s="5">
        <f>+Inlet!D74</f>
        <v>0</v>
      </c>
      <c r="F72" s="5">
        <f>+Secondary!B70</f>
        <v>0</v>
      </c>
      <c r="G72" s="5">
        <f>+Outlet!D74</f>
        <v>0</v>
      </c>
    </row>
    <row r="73" spans="3:34" x14ac:dyDescent="0.25">
      <c r="D73" s="1">
        <v>29</v>
      </c>
      <c r="E73" s="5">
        <f>+Inlet!D75</f>
        <v>0</v>
      </c>
      <c r="F73" s="5">
        <f>+Secondary!B71</f>
        <v>0</v>
      </c>
      <c r="G73" s="5">
        <f>+Outlet!D75</f>
        <v>0</v>
      </c>
    </row>
    <row r="74" spans="3:34" x14ac:dyDescent="0.25">
      <c r="D74" s="1">
        <v>30</v>
      </c>
      <c r="E74" s="5">
        <f>+Inlet!D76</f>
        <v>0</v>
      </c>
      <c r="F74" s="5">
        <f>+Secondary!B72</f>
        <v>0</v>
      </c>
      <c r="G74" s="5">
        <f>+Outlet!D76</f>
        <v>0</v>
      </c>
      <c r="AF74">
        <f>+SUM(AF4:AF71)</f>
        <v>4.9252168545050177</v>
      </c>
      <c r="AG74">
        <f>+SUM(AG4:AG71)</f>
        <v>4.9280422295669393</v>
      </c>
      <c r="AH74">
        <f>+SUM(AH4:AH71)</f>
        <v>4.9280422295669393</v>
      </c>
    </row>
    <row r="75" spans="3:34" x14ac:dyDescent="0.25">
      <c r="D75" s="1">
        <v>31</v>
      </c>
      <c r="E75" s="5">
        <f>+Inlet!D77</f>
        <v>0</v>
      </c>
      <c r="F75" s="5">
        <f>+Secondary!B73</f>
        <v>0</v>
      </c>
      <c r="G75" s="5">
        <f>+Outlet!D77</f>
        <v>0</v>
      </c>
    </row>
    <row r="76" spans="3:34" x14ac:dyDescent="0.25">
      <c r="D76" s="1">
        <v>32</v>
      </c>
      <c r="E76" s="5">
        <f>+Inlet!D78</f>
        <v>0</v>
      </c>
      <c r="F76" s="5">
        <f>+Secondary!B74</f>
        <v>0</v>
      </c>
      <c r="G76" s="5">
        <f>+Outlet!D78</f>
        <v>0</v>
      </c>
    </row>
    <row r="77" spans="3:34" x14ac:dyDescent="0.25">
      <c r="D77" s="1">
        <v>33</v>
      </c>
      <c r="E77" s="5">
        <f>+Inlet!D79</f>
        <v>0</v>
      </c>
      <c r="F77" s="5">
        <f>+Secondary!B75</f>
        <v>0</v>
      </c>
      <c r="G77" s="5">
        <f>+Outlet!D79</f>
        <v>0</v>
      </c>
    </row>
    <row r="78" spans="3:34" x14ac:dyDescent="0.25">
      <c r="D78" s="1">
        <v>34</v>
      </c>
      <c r="E78" s="5">
        <f>+Inlet!D80</f>
        <v>0</v>
      </c>
      <c r="F78" s="5">
        <f>+Secondary!B76</f>
        <v>0</v>
      </c>
      <c r="G78" s="5">
        <f>+Outlet!D80</f>
        <v>0</v>
      </c>
    </row>
    <row r="79" spans="3:34" x14ac:dyDescent="0.25">
      <c r="D79" s="1">
        <v>35</v>
      </c>
      <c r="E79" s="5">
        <f>+Inlet!D81</f>
        <v>0</v>
      </c>
      <c r="F79" s="5">
        <f>+Secondary!B77</f>
        <v>0</v>
      </c>
      <c r="G79" s="5">
        <f>+Outlet!D81</f>
        <v>0</v>
      </c>
    </row>
    <row r="80" spans="3:34" x14ac:dyDescent="0.25">
      <c r="D80" s="1">
        <v>36</v>
      </c>
      <c r="E80" s="5">
        <f>+Inlet!D82</f>
        <v>0</v>
      </c>
      <c r="F80" s="5">
        <f>+Secondary!B78</f>
        <v>0</v>
      </c>
      <c r="G80" s="5">
        <f>+Outlet!D82</f>
        <v>0</v>
      </c>
    </row>
    <row r="81" spans="4:7" x14ac:dyDescent="0.25">
      <c r="D81" s="1">
        <v>37</v>
      </c>
      <c r="E81" s="5">
        <f>+Inlet!D83</f>
        <v>0</v>
      </c>
      <c r="F81" s="5">
        <f>+Secondary!B79</f>
        <v>0</v>
      </c>
      <c r="G81" s="5">
        <f>+Outlet!D83</f>
        <v>0</v>
      </c>
    </row>
    <row r="82" spans="4:7" x14ac:dyDescent="0.25">
      <c r="D82" s="1">
        <v>38</v>
      </c>
      <c r="E82" s="5">
        <f>+Inlet!D84</f>
        <v>0</v>
      </c>
      <c r="F82" s="5">
        <f>+Secondary!B80</f>
        <v>0</v>
      </c>
      <c r="G82" s="5">
        <f>+Outlet!D84</f>
        <v>0</v>
      </c>
    </row>
    <row r="83" spans="4:7" x14ac:dyDescent="0.25">
      <c r="D83" s="1">
        <v>39</v>
      </c>
      <c r="E83" s="5">
        <f>+Inlet!D85</f>
        <v>0</v>
      </c>
      <c r="F83" s="5">
        <f>+Secondary!B81</f>
        <v>0</v>
      </c>
      <c r="G83" s="5">
        <f>+Outlet!D85</f>
        <v>0</v>
      </c>
    </row>
    <row r="84" spans="4:7" x14ac:dyDescent="0.25">
      <c r="D84" s="1">
        <v>40</v>
      </c>
      <c r="E84" s="5">
        <f>+Inlet!D86</f>
        <v>0</v>
      </c>
      <c r="F84" s="5">
        <f>+Secondary!B82</f>
        <v>0</v>
      </c>
      <c r="G84" s="5">
        <f>+Outlet!D86</f>
        <v>0</v>
      </c>
    </row>
    <row r="85" spans="4:7" x14ac:dyDescent="0.25">
      <c r="D85" s="1">
        <v>41</v>
      </c>
      <c r="E85" s="5">
        <f>+Inlet!D87</f>
        <v>0</v>
      </c>
      <c r="F85" s="5">
        <f>+Secondary!B83</f>
        <v>0</v>
      </c>
      <c r="G85" s="5">
        <f>+Outlet!D87</f>
        <v>0</v>
      </c>
    </row>
    <row r="86" spans="4:7" x14ac:dyDescent="0.25">
      <c r="D86" s="1">
        <v>42</v>
      </c>
      <c r="E86" s="5">
        <f>+Inlet!D88</f>
        <v>0</v>
      </c>
      <c r="F86" s="5">
        <f>+Secondary!B84</f>
        <v>0</v>
      </c>
      <c r="G86" s="5">
        <f>+Outlet!D88</f>
        <v>0</v>
      </c>
    </row>
    <row r="87" spans="4:7" x14ac:dyDescent="0.25">
      <c r="D87" s="1">
        <v>43</v>
      </c>
      <c r="E87" s="5">
        <f>+Inlet!D89</f>
        <v>0</v>
      </c>
      <c r="F87" s="5">
        <f>+Secondary!B85</f>
        <v>0</v>
      </c>
      <c r="G87" s="5">
        <f>+Outlet!D89</f>
        <v>0</v>
      </c>
    </row>
    <row r="88" spans="4:7" x14ac:dyDescent="0.25">
      <c r="D88" s="1">
        <v>44</v>
      </c>
      <c r="E88" s="5">
        <f>+Inlet!D90</f>
        <v>0</v>
      </c>
      <c r="F88" s="5">
        <f>+Secondary!B86</f>
        <v>0</v>
      </c>
      <c r="G88" s="5">
        <f>+Outlet!D90</f>
        <v>0</v>
      </c>
    </row>
    <row r="89" spans="4:7" x14ac:dyDescent="0.25">
      <c r="D89" s="1">
        <v>45</v>
      </c>
      <c r="E89" s="5">
        <f>+Inlet!D91</f>
        <v>0</v>
      </c>
      <c r="F89" s="5">
        <f>+Secondary!B87</f>
        <v>0</v>
      </c>
      <c r="G89" s="5">
        <f>+Outlet!D91</f>
        <v>0</v>
      </c>
    </row>
    <row r="90" spans="4:7" x14ac:dyDescent="0.25">
      <c r="D90" s="1">
        <v>46</v>
      </c>
      <c r="E90" s="5">
        <f>+Inlet!D92</f>
        <v>0</v>
      </c>
      <c r="F90" s="5">
        <f>+Secondary!B88</f>
        <v>0</v>
      </c>
      <c r="G90" s="5">
        <f>+Outlet!D92</f>
        <v>0</v>
      </c>
    </row>
    <row r="91" spans="4:7" x14ac:dyDescent="0.25">
      <c r="D91" s="1">
        <v>48</v>
      </c>
      <c r="E91" s="5">
        <f>+Inlet!D93</f>
        <v>0</v>
      </c>
      <c r="F91" s="5">
        <f>+Secondary!B89</f>
        <v>0</v>
      </c>
      <c r="G91" s="5">
        <f>+Outlet!D93</f>
        <v>0</v>
      </c>
    </row>
    <row r="92" spans="4:7" x14ac:dyDescent="0.25">
      <c r="D92" s="1">
        <v>50</v>
      </c>
      <c r="E92" s="5">
        <f>+Inlet!D94</f>
        <v>0</v>
      </c>
      <c r="F92" s="5">
        <f>+Secondary!B90</f>
        <v>0</v>
      </c>
      <c r="G92" s="5">
        <f>+Outlet!D94</f>
        <v>0</v>
      </c>
    </row>
    <row r="93" spans="4:7" x14ac:dyDescent="0.25">
      <c r="D93" s="1">
        <v>51</v>
      </c>
      <c r="E93" s="5">
        <f>+Inlet!D95</f>
        <v>0</v>
      </c>
      <c r="F93" s="5">
        <f>+Secondary!B91</f>
        <v>0</v>
      </c>
      <c r="G93" s="5">
        <f>+Outlet!D95</f>
        <v>0</v>
      </c>
    </row>
    <row r="94" spans="4:7" x14ac:dyDescent="0.25">
      <c r="D94" s="1">
        <v>52</v>
      </c>
      <c r="E94" s="5">
        <f>+Inlet!D96</f>
        <v>0</v>
      </c>
      <c r="F94" s="5">
        <f>+Secondary!B92</f>
        <v>0</v>
      </c>
      <c r="G94" s="5">
        <f>+Outlet!D96</f>
        <v>0</v>
      </c>
    </row>
    <row r="95" spans="4:7" x14ac:dyDescent="0.25">
      <c r="D95" s="1">
        <v>54</v>
      </c>
      <c r="E95" s="5">
        <f>+Inlet!D97</f>
        <v>0</v>
      </c>
      <c r="F95" s="5">
        <f>+Secondary!B93</f>
        <v>0</v>
      </c>
      <c r="G95" s="5">
        <f>+Outlet!D97</f>
        <v>0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Inlet</vt:lpstr>
      <vt:lpstr>Primary</vt:lpstr>
      <vt:lpstr>Secondary</vt:lpstr>
      <vt:lpstr>Outlet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 Tauro</dc:creator>
  <cp:lastModifiedBy>Hamish Gault (Student)</cp:lastModifiedBy>
  <dcterms:created xsi:type="dcterms:W3CDTF">2025-10-30T14:36:11Z</dcterms:created>
  <dcterms:modified xsi:type="dcterms:W3CDTF">2026-02-12T11:08:14Z</dcterms:modified>
</cp:coreProperties>
</file>