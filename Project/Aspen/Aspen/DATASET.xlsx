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alessio_tauro_polito_it/Documents/PhD/Condivise/Power to X/FT/TEA/"/>
    </mc:Choice>
  </mc:AlternateContent>
  <xr:revisionPtr revIDLastSave="1266" documentId="8_{8DF422F6-C4A5-E74B-B421-987B667A9D0F}" xr6:coauthVersionLast="47" xr6:coauthVersionMax="47" xr10:uidLastSave="{D84A11AA-9218-534F-B1C4-6B201AE44212}"/>
  <bookViews>
    <workbookView xWindow="0" yWindow="500" windowWidth="28800" windowHeight="16620" activeTab="6" xr2:uid="{88D7E803-477E-4B4E-AF89-CAE2468782BB}"/>
  </bookViews>
  <sheets>
    <sheet name="5% CO" sheetId="1" r:id="rId1"/>
    <sheet name="5% CO Elab" sheetId="3" r:id="rId2"/>
    <sheet name="10% CO" sheetId="6" r:id="rId3"/>
    <sheet name="10% CO Elab" sheetId="7" r:id="rId4"/>
    <sheet name="Conv" sheetId="4" r:id="rId5"/>
    <sheet name="Interp" sheetId="8" r:id="rId6"/>
    <sheet name="RSTOIC" sheetId="9" r:id="rId7"/>
    <sheet name="Foglio11" sheetId="11" r:id="rId8"/>
  </sheets>
  <calcPr calcId="191029" iterate="1" iterateDelta="1.0000000000000001E-5"/>
  <pivotCaches>
    <pivotCache cacheId="0" r:id="rId9"/>
    <pivotCache cacheId="1" r:id="rId10"/>
    <pivotCache cacheId="2" r:id="rId11"/>
    <pivotCache cacheId="3" r:id="rId12"/>
    <pivotCache cacheId="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9" l="1"/>
  <c r="L3" i="6" l="1"/>
  <c r="G6" i="6"/>
  <c r="F6" i="6"/>
  <c r="G28" i="4" l="1"/>
  <c r="I86" i="11" l="1"/>
  <c r="I87" i="11"/>
  <c r="I88" i="11"/>
  <c r="H86" i="11"/>
  <c r="H87" i="11"/>
  <c r="H88" i="11"/>
  <c r="H85" i="11"/>
  <c r="G86" i="11"/>
  <c r="G87" i="11"/>
  <c r="G88" i="11"/>
  <c r="G85" i="11"/>
  <c r="F86" i="11"/>
  <c r="F87" i="11"/>
  <c r="F88" i="11"/>
  <c r="F85" i="11"/>
  <c r="L74" i="9"/>
  <c r="I85" i="11"/>
  <c r="D80" i="11" l="1"/>
  <c r="C80" i="11"/>
  <c r="L77" i="9" l="1"/>
  <c r="E54" i="1"/>
  <c r="AT71" i="9"/>
  <c r="AR71" i="9"/>
  <c r="AQ71" i="9"/>
  <c r="AP71" i="9"/>
  <c r="AO71" i="9"/>
  <c r="AN71" i="9"/>
  <c r="AL71" i="9"/>
  <c r="AJ71" i="9"/>
  <c r="AS71" i="9" s="1"/>
  <c r="AT70" i="9"/>
  <c r="AR70" i="9"/>
  <c r="AQ70" i="9"/>
  <c r="AP70" i="9"/>
  <c r="AO70" i="9"/>
  <c r="AN70" i="9"/>
  <c r="AL70" i="9"/>
  <c r="AJ70" i="9"/>
  <c r="AM70" i="9" s="1"/>
  <c r="AT69" i="9"/>
  <c r="AR69" i="9"/>
  <c r="AQ69" i="9"/>
  <c r="AP69" i="9"/>
  <c r="AO69" i="9"/>
  <c r="AN69" i="9"/>
  <c r="AL69" i="9"/>
  <c r="AJ69" i="9"/>
  <c r="AS69" i="9" s="1"/>
  <c r="AT68" i="9"/>
  <c r="AR68" i="9"/>
  <c r="AQ68" i="9"/>
  <c r="AP68" i="9"/>
  <c r="AO68" i="9"/>
  <c r="AN68" i="9"/>
  <c r="AL68" i="9"/>
  <c r="AJ68" i="9"/>
  <c r="AM68" i="9" s="1"/>
  <c r="AT67" i="9"/>
  <c r="AR67" i="9"/>
  <c r="AQ67" i="9"/>
  <c r="AP67" i="9"/>
  <c r="AO67" i="9"/>
  <c r="AN67" i="9"/>
  <c r="AM67" i="9"/>
  <c r="AL67" i="9"/>
  <c r="AJ67" i="9"/>
  <c r="AS67" i="9" s="1"/>
  <c r="AT66" i="9"/>
  <c r="AR66" i="9"/>
  <c r="AQ66" i="9"/>
  <c r="AP66" i="9"/>
  <c r="AO66" i="9"/>
  <c r="AN66" i="9"/>
  <c r="AL66" i="9"/>
  <c r="AJ66" i="9"/>
  <c r="AM66" i="9" s="1"/>
  <c r="AT65" i="9"/>
  <c r="AR65" i="9"/>
  <c r="AQ65" i="9"/>
  <c r="AP65" i="9"/>
  <c r="AO65" i="9"/>
  <c r="AN65" i="9"/>
  <c r="AL65" i="9"/>
  <c r="AJ65" i="9"/>
  <c r="AS65" i="9" s="1"/>
  <c r="AT64" i="9"/>
  <c r="AR64" i="9"/>
  <c r="AQ64" i="9"/>
  <c r="AP64" i="9"/>
  <c r="AO64" i="9"/>
  <c r="AN64" i="9"/>
  <c r="AL64" i="9"/>
  <c r="AJ64" i="9"/>
  <c r="AM64" i="9" s="1"/>
  <c r="AT63" i="9"/>
  <c r="AR63" i="9"/>
  <c r="AQ63" i="9"/>
  <c r="AP63" i="9"/>
  <c r="AO63" i="9"/>
  <c r="AN63" i="9"/>
  <c r="AL63" i="9"/>
  <c r="AJ63" i="9"/>
  <c r="AS63" i="9" s="1"/>
  <c r="AT62" i="9"/>
  <c r="AR62" i="9"/>
  <c r="AQ62" i="9"/>
  <c r="AP62" i="9"/>
  <c r="AO62" i="9"/>
  <c r="AN62" i="9"/>
  <c r="AL62" i="9"/>
  <c r="AJ62" i="9"/>
  <c r="AM62" i="9" s="1"/>
  <c r="AT61" i="9"/>
  <c r="AR61" i="9"/>
  <c r="AQ61" i="9"/>
  <c r="AP61" i="9"/>
  <c r="AO61" i="9"/>
  <c r="AN61" i="9"/>
  <c r="AL61" i="9"/>
  <c r="AJ61" i="9"/>
  <c r="AS61" i="9" s="1"/>
  <c r="AT60" i="9"/>
  <c r="AR60" i="9"/>
  <c r="AQ60" i="9"/>
  <c r="AP60" i="9"/>
  <c r="AO60" i="9"/>
  <c r="AN60" i="9"/>
  <c r="AL60" i="9"/>
  <c r="AJ60" i="9"/>
  <c r="AS60" i="9" s="1"/>
  <c r="AT59" i="9"/>
  <c r="AR59" i="9"/>
  <c r="AQ59" i="9"/>
  <c r="AP59" i="9"/>
  <c r="AO59" i="9"/>
  <c r="AN59" i="9"/>
  <c r="AL59" i="9"/>
  <c r="AJ59" i="9"/>
  <c r="AS59" i="9" s="1"/>
  <c r="AT58" i="9"/>
  <c r="AR58" i="9"/>
  <c r="AQ58" i="9"/>
  <c r="AP58" i="9"/>
  <c r="AO58" i="9"/>
  <c r="AN58" i="9"/>
  <c r="AL58" i="9"/>
  <c r="AJ58" i="9"/>
  <c r="AS58" i="9" s="1"/>
  <c r="AT57" i="9"/>
  <c r="AR57" i="9"/>
  <c r="AQ57" i="9"/>
  <c r="AP57" i="9"/>
  <c r="AO57" i="9"/>
  <c r="AN57" i="9"/>
  <c r="AL57" i="9"/>
  <c r="AJ57" i="9"/>
  <c r="AS57" i="9" s="1"/>
  <c r="AT56" i="9"/>
  <c r="AR56" i="9"/>
  <c r="AQ56" i="9"/>
  <c r="AP56" i="9"/>
  <c r="AO56" i="9"/>
  <c r="AN56" i="9"/>
  <c r="AL56" i="9"/>
  <c r="AJ56" i="9"/>
  <c r="AM56" i="9" s="1"/>
  <c r="AT55" i="9"/>
  <c r="AR55" i="9"/>
  <c r="AQ55" i="9"/>
  <c r="AP55" i="9"/>
  <c r="AO55" i="9"/>
  <c r="AN55" i="9"/>
  <c r="AL55" i="9"/>
  <c r="AJ55" i="9"/>
  <c r="AS55" i="9" s="1"/>
  <c r="AT54" i="9"/>
  <c r="AR54" i="9"/>
  <c r="AQ54" i="9"/>
  <c r="AP54" i="9"/>
  <c r="AO54" i="9"/>
  <c r="AN54" i="9"/>
  <c r="AL54" i="9"/>
  <c r="AJ54" i="9"/>
  <c r="AM54" i="9" s="1"/>
  <c r="AT53" i="9"/>
  <c r="AR53" i="9"/>
  <c r="AQ53" i="9"/>
  <c r="AP53" i="9"/>
  <c r="AO53" i="9"/>
  <c r="AN53" i="9"/>
  <c r="AL53" i="9"/>
  <c r="AJ53" i="9"/>
  <c r="AS53" i="9" s="1"/>
  <c r="AT52" i="9"/>
  <c r="AR52" i="9"/>
  <c r="AQ52" i="9"/>
  <c r="AP52" i="9"/>
  <c r="AO52" i="9"/>
  <c r="AN52" i="9"/>
  <c r="AL52" i="9"/>
  <c r="AJ52" i="9"/>
  <c r="AM52" i="9" s="1"/>
  <c r="AT51" i="9"/>
  <c r="AR51" i="9"/>
  <c r="AQ51" i="9"/>
  <c r="AP51" i="9"/>
  <c r="AO51" i="9"/>
  <c r="AN51" i="9"/>
  <c r="AL51" i="9"/>
  <c r="AJ51" i="9"/>
  <c r="AS51" i="9" s="1"/>
  <c r="AT50" i="9"/>
  <c r="AR50" i="9"/>
  <c r="AQ50" i="9"/>
  <c r="AP50" i="9"/>
  <c r="AO50" i="9"/>
  <c r="AN50" i="9"/>
  <c r="AL50" i="9"/>
  <c r="AJ50" i="9"/>
  <c r="AM50" i="9" s="1"/>
  <c r="AT49" i="9"/>
  <c r="AR49" i="9"/>
  <c r="AQ49" i="9"/>
  <c r="AP49" i="9"/>
  <c r="AO49" i="9"/>
  <c r="AN49" i="9"/>
  <c r="AL49" i="9"/>
  <c r="AJ49" i="9"/>
  <c r="AS49" i="9" s="1"/>
  <c r="AT48" i="9"/>
  <c r="AR48" i="9"/>
  <c r="AQ48" i="9"/>
  <c r="AP48" i="9"/>
  <c r="AO48" i="9"/>
  <c r="AN48" i="9"/>
  <c r="AL48" i="9"/>
  <c r="AJ48" i="9"/>
  <c r="AM48" i="9" s="1"/>
  <c r="AT47" i="9"/>
  <c r="AR47" i="9"/>
  <c r="AQ47" i="9"/>
  <c r="AP47" i="9"/>
  <c r="AO47" i="9"/>
  <c r="AN47" i="9"/>
  <c r="AL47" i="9"/>
  <c r="AJ47" i="9"/>
  <c r="AS47" i="9" s="1"/>
  <c r="AT46" i="9"/>
  <c r="AR46" i="9"/>
  <c r="AQ46" i="9"/>
  <c r="AP46" i="9"/>
  <c r="AO46" i="9"/>
  <c r="AN46" i="9"/>
  <c r="AL46" i="9"/>
  <c r="AJ46" i="9"/>
  <c r="AM46" i="9" s="1"/>
  <c r="AT45" i="9"/>
  <c r="AR45" i="9"/>
  <c r="AQ45" i="9"/>
  <c r="AP45" i="9"/>
  <c r="AO45" i="9"/>
  <c r="AN45" i="9"/>
  <c r="AL45" i="9"/>
  <c r="AJ45" i="9"/>
  <c r="AS45" i="9" s="1"/>
  <c r="AT44" i="9"/>
  <c r="AR44" i="9"/>
  <c r="AQ44" i="9"/>
  <c r="AP44" i="9"/>
  <c r="AO44" i="9"/>
  <c r="AN44" i="9"/>
  <c r="AL44" i="9"/>
  <c r="AJ44" i="9"/>
  <c r="AM44" i="9" s="1"/>
  <c r="AT43" i="9"/>
  <c r="AR43" i="9"/>
  <c r="AQ43" i="9"/>
  <c r="AP43" i="9"/>
  <c r="AO43" i="9"/>
  <c r="AN43" i="9"/>
  <c r="AL43" i="9"/>
  <c r="AJ43" i="9"/>
  <c r="AS43" i="9" s="1"/>
  <c r="AT42" i="9"/>
  <c r="AR42" i="9"/>
  <c r="AQ42" i="9"/>
  <c r="AP42" i="9"/>
  <c r="AO42" i="9"/>
  <c r="AN42" i="9"/>
  <c r="AL42" i="9"/>
  <c r="AJ42" i="9"/>
  <c r="AM42" i="9" s="1"/>
  <c r="AT41" i="9"/>
  <c r="AR41" i="9"/>
  <c r="AQ41" i="9"/>
  <c r="AP41" i="9"/>
  <c r="AO41" i="9"/>
  <c r="AN41" i="9"/>
  <c r="AL41" i="9"/>
  <c r="AJ41" i="9"/>
  <c r="AS41" i="9" s="1"/>
  <c r="AT40" i="9"/>
  <c r="AR40" i="9"/>
  <c r="AQ40" i="9"/>
  <c r="AP40" i="9"/>
  <c r="AO40" i="9"/>
  <c r="AN40" i="9"/>
  <c r="AL40" i="9"/>
  <c r="AJ40" i="9"/>
  <c r="AM40" i="9" s="1"/>
  <c r="AT39" i="9"/>
  <c r="AR39" i="9"/>
  <c r="AQ39" i="9"/>
  <c r="AP39" i="9"/>
  <c r="AO39" i="9"/>
  <c r="AN39" i="9"/>
  <c r="AL39" i="9"/>
  <c r="AJ39" i="9"/>
  <c r="AS39" i="9" s="1"/>
  <c r="AT38" i="9"/>
  <c r="AR38" i="9"/>
  <c r="AQ38" i="9"/>
  <c r="AP38" i="9"/>
  <c r="AO38" i="9"/>
  <c r="AN38" i="9"/>
  <c r="AL38" i="9"/>
  <c r="AJ38" i="9"/>
  <c r="AM38" i="9" s="1"/>
  <c r="AT37" i="9"/>
  <c r="AR37" i="9"/>
  <c r="AQ37" i="9"/>
  <c r="AP37" i="9"/>
  <c r="AO37" i="9"/>
  <c r="AN37" i="9"/>
  <c r="AL37" i="9"/>
  <c r="AJ37" i="9"/>
  <c r="AS37" i="9" s="1"/>
  <c r="AT36" i="9"/>
  <c r="AR36" i="9"/>
  <c r="AQ36" i="9"/>
  <c r="AP36" i="9"/>
  <c r="AO36" i="9"/>
  <c r="AN36" i="9"/>
  <c r="AL36" i="9"/>
  <c r="AJ36" i="9"/>
  <c r="AM36" i="9" s="1"/>
  <c r="AT35" i="9"/>
  <c r="AR35" i="9"/>
  <c r="AQ35" i="9"/>
  <c r="AP35" i="9"/>
  <c r="AO35" i="9"/>
  <c r="AN35" i="9"/>
  <c r="AL35" i="9"/>
  <c r="AJ35" i="9"/>
  <c r="AS35" i="9" s="1"/>
  <c r="AT34" i="9"/>
  <c r="AR34" i="9"/>
  <c r="AQ34" i="9"/>
  <c r="AP34" i="9"/>
  <c r="AO34" i="9"/>
  <c r="AN34" i="9"/>
  <c r="AL34" i="9"/>
  <c r="AJ34" i="9"/>
  <c r="AM34" i="9" s="1"/>
  <c r="AT33" i="9"/>
  <c r="AR33" i="9"/>
  <c r="AQ33" i="9"/>
  <c r="AP33" i="9"/>
  <c r="AO33" i="9"/>
  <c r="AN33" i="9"/>
  <c r="AL33" i="9"/>
  <c r="AJ33" i="9"/>
  <c r="AS33" i="9" s="1"/>
  <c r="AT32" i="9"/>
  <c r="AR32" i="9"/>
  <c r="AQ32" i="9"/>
  <c r="AP32" i="9"/>
  <c r="AO32" i="9"/>
  <c r="AN32" i="9"/>
  <c r="AL32" i="9"/>
  <c r="AJ32" i="9"/>
  <c r="AM32" i="9" s="1"/>
  <c r="AT31" i="9"/>
  <c r="AR31" i="9"/>
  <c r="AQ31" i="9"/>
  <c r="AP31" i="9"/>
  <c r="AO31" i="9"/>
  <c r="AN31" i="9"/>
  <c r="AL31" i="9"/>
  <c r="AJ31" i="9"/>
  <c r="AS31" i="9" s="1"/>
  <c r="AT30" i="9"/>
  <c r="AR30" i="9"/>
  <c r="AQ30" i="9"/>
  <c r="AP30" i="9"/>
  <c r="AO30" i="9"/>
  <c r="AN30" i="9"/>
  <c r="AL30" i="9"/>
  <c r="AJ30" i="9"/>
  <c r="AS30" i="9" s="1"/>
  <c r="AT29" i="9"/>
  <c r="AR29" i="9"/>
  <c r="AQ29" i="9"/>
  <c r="AP29" i="9"/>
  <c r="AO29" i="9"/>
  <c r="AN29" i="9"/>
  <c r="AL29" i="9"/>
  <c r="AJ29" i="9"/>
  <c r="AS29" i="9" s="1"/>
  <c r="AT28" i="9"/>
  <c r="AR28" i="9"/>
  <c r="AQ28" i="9"/>
  <c r="AP28" i="9"/>
  <c r="AO28" i="9"/>
  <c r="AN28" i="9"/>
  <c r="AL28" i="9"/>
  <c r="AJ28" i="9"/>
  <c r="AM28" i="9" s="1"/>
  <c r="AT27" i="9"/>
  <c r="AR27" i="9"/>
  <c r="AQ27" i="9"/>
  <c r="AP27" i="9"/>
  <c r="AO27" i="9"/>
  <c r="AN27" i="9"/>
  <c r="AL27" i="9"/>
  <c r="AJ27" i="9"/>
  <c r="AS27" i="9" s="1"/>
  <c r="AT26" i="9"/>
  <c r="AR26" i="9"/>
  <c r="AQ26" i="9"/>
  <c r="AP26" i="9"/>
  <c r="AO26" i="9"/>
  <c r="AN26" i="9"/>
  <c r="AL26" i="9"/>
  <c r="AJ26" i="9"/>
  <c r="AM26" i="9" s="1"/>
  <c r="AT25" i="9"/>
  <c r="AR25" i="9"/>
  <c r="AQ25" i="9"/>
  <c r="AP25" i="9"/>
  <c r="AO25" i="9"/>
  <c r="AN25" i="9"/>
  <c r="AL25" i="9"/>
  <c r="AJ25" i="9"/>
  <c r="AS25" i="9" s="1"/>
  <c r="AT24" i="9"/>
  <c r="AR24" i="9"/>
  <c r="AQ24" i="9"/>
  <c r="AP24" i="9"/>
  <c r="AO24" i="9"/>
  <c r="AN24" i="9"/>
  <c r="AL24" i="9"/>
  <c r="AJ24" i="9"/>
  <c r="AM24" i="9" s="1"/>
  <c r="AT23" i="9"/>
  <c r="AR23" i="9"/>
  <c r="AQ23" i="9"/>
  <c r="AP23" i="9"/>
  <c r="AO23" i="9"/>
  <c r="AN23" i="9"/>
  <c r="AL23" i="9"/>
  <c r="AJ23" i="9"/>
  <c r="AS23" i="9" s="1"/>
  <c r="AT22" i="9"/>
  <c r="AR22" i="9"/>
  <c r="AQ22" i="9"/>
  <c r="AP22" i="9"/>
  <c r="AO22" i="9"/>
  <c r="AN22" i="9"/>
  <c r="AL22" i="9"/>
  <c r="AJ22" i="9"/>
  <c r="AM22" i="9" s="1"/>
  <c r="AT21" i="9"/>
  <c r="AR21" i="9"/>
  <c r="AQ21" i="9"/>
  <c r="AP21" i="9"/>
  <c r="AO21" i="9"/>
  <c r="AN21" i="9"/>
  <c r="AL21" i="9"/>
  <c r="AJ21" i="9"/>
  <c r="AS21" i="9" s="1"/>
  <c r="AT20" i="9"/>
  <c r="AR20" i="9"/>
  <c r="AQ20" i="9"/>
  <c r="AP20" i="9"/>
  <c r="AO20" i="9"/>
  <c r="AN20" i="9"/>
  <c r="AL20" i="9"/>
  <c r="AJ20" i="9"/>
  <c r="AS20" i="9" s="1"/>
  <c r="AT19" i="9"/>
  <c r="AR19" i="9"/>
  <c r="AQ19" i="9"/>
  <c r="AP19" i="9"/>
  <c r="AO19" i="9"/>
  <c r="AN19" i="9"/>
  <c r="AL19" i="9"/>
  <c r="AJ19" i="9"/>
  <c r="AS19" i="9" s="1"/>
  <c r="AT18" i="9"/>
  <c r="AR18" i="9"/>
  <c r="AQ18" i="9"/>
  <c r="AP18" i="9"/>
  <c r="AO18" i="9"/>
  <c r="AN18" i="9"/>
  <c r="AL18" i="9"/>
  <c r="AJ18" i="9"/>
  <c r="AM18" i="9" s="1"/>
  <c r="AT17" i="9"/>
  <c r="AR17" i="9"/>
  <c r="AQ17" i="9"/>
  <c r="AP17" i="9"/>
  <c r="AO17" i="9"/>
  <c r="AN17" i="9"/>
  <c r="AL17" i="9"/>
  <c r="AJ17" i="9"/>
  <c r="AS17" i="9" s="1"/>
  <c r="AT16" i="9"/>
  <c r="AR16" i="9"/>
  <c r="AQ16" i="9"/>
  <c r="AP16" i="9"/>
  <c r="AO16" i="9"/>
  <c r="AN16" i="9"/>
  <c r="AL16" i="9"/>
  <c r="AJ16" i="9"/>
  <c r="AS16" i="9" s="1"/>
  <c r="AT15" i="9"/>
  <c r="AR15" i="9"/>
  <c r="AQ15" i="9"/>
  <c r="AP15" i="9"/>
  <c r="AO15" i="9"/>
  <c r="AN15" i="9"/>
  <c r="AL15" i="9"/>
  <c r="AJ15" i="9"/>
  <c r="AS15" i="9" s="1"/>
  <c r="AT14" i="9"/>
  <c r="AR14" i="9"/>
  <c r="AQ14" i="9"/>
  <c r="AP14" i="9"/>
  <c r="AO14" i="9"/>
  <c r="AN14" i="9"/>
  <c r="AL14" i="9"/>
  <c r="AJ14" i="9"/>
  <c r="AS14" i="9" s="1"/>
  <c r="AT13" i="9"/>
  <c r="AR13" i="9"/>
  <c r="AQ13" i="9"/>
  <c r="AP13" i="9"/>
  <c r="AO13" i="9"/>
  <c r="AN13" i="9"/>
  <c r="AL13" i="9"/>
  <c r="AJ13" i="9"/>
  <c r="AS13" i="9" s="1"/>
  <c r="AT12" i="9"/>
  <c r="AR12" i="9"/>
  <c r="AQ12" i="9"/>
  <c r="AP12" i="9"/>
  <c r="AO12" i="9"/>
  <c r="AN12" i="9"/>
  <c r="AL12" i="9"/>
  <c r="AJ12" i="9"/>
  <c r="AS12" i="9" s="1"/>
  <c r="AT11" i="9"/>
  <c r="AR11" i="9"/>
  <c r="AQ11" i="9"/>
  <c r="AP11" i="9"/>
  <c r="AO11" i="9"/>
  <c r="AN11" i="9"/>
  <c r="AL11" i="9"/>
  <c r="AJ11" i="9"/>
  <c r="AS11" i="9" s="1"/>
  <c r="AT10" i="9"/>
  <c r="AR10" i="9"/>
  <c r="AQ10" i="9"/>
  <c r="AP10" i="9"/>
  <c r="AO10" i="9"/>
  <c r="AN10" i="9"/>
  <c r="AL10" i="9"/>
  <c r="AJ10" i="9"/>
  <c r="AM10" i="9" s="1"/>
  <c r="AT9" i="9"/>
  <c r="AR9" i="9"/>
  <c r="AQ9" i="9"/>
  <c r="AP9" i="9"/>
  <c r="AO9" i="9"/>
  <c r="AN9" i="9"/>
  <c r="AL9" i="9"/>
  <c r="AJ9" i="9"/>
  <c r="AS9" i="9" s="1"/>
  <c r="AT8" i="9"/>
  <c r="AR8" i="9"/>
  <c r="AQ8" i="9"/>
  <c r="AP8" i="9"/>
  <c r="AO8" i="9"/>
  <c r="AN8" i="9"/>
  <c r="AL8" i="9"/>
  <c r="AJ8" i="9"/>
  <c r="AM8" i="9" s="1"/>
  <c r="AT7" i="9"/>
  <c r="AR7" i="9"/>
  <c r="AQ7" i="9"/>
  <c r="AP7" i="9"/>
  <c r="AO7" i="9"/>
  <c r="AN7" i="9"/>
  <c r="AL7" i="9"/>
  <c r="AJ7" i="9"/>
  <c r="AS7" i="9" s="1"/>
  <c r="AT6" i="9"/>
  <c r="AR6" i="9"/>
  <c r="AQ6" i="9"/>
  <c r="AP6" i="9"/>
  <c r="AO6" i="9"/>
  <c r="AN6" i="9"/>
  <c r="AL6" i="9"/>
  <c r="AJ6" i="9"/>
  <c r="AM6" i="9" s="1"/>
  <c r="AT5" i="9"/>
  <c r="AR5" i="9"/>
  <c r="AQ5" i="9"/>
  <c r="AP5" i="9"/>
  <c r="AO5" i="9"/>
  <c r="AN5" i="9"/>
  <c r="AL5" i="9"/>
  <c r="AJ5" i="9"/>
  <c r="AM5" i="9" s="1"/>
  <c r="AT4" i="9"/>
  <c r="AR4" i="9"/>
  <c r="AQ4" i="9"/>
  <c r="AP4" i="9"/>
  <c r="AO4" i="9"/>
  <c r="AN4" i="9"/>
  <c r="AL4" i="9"/>
  <c r="AJ4" i="9"/>
  <c r="AM4" i="9" s="1"/>
  <c r="L80" i="9" l="1"/>
  <c r="L1" i="9"/>
  <c r="AM71" i="9"/>
  <c r="AS26" i="9"/>
  <c r="AM35" i="9"/>
  <c r="AM41" i="9"/>
  <c r="AM45" i="9"/>
  <c r="AM51" i="9"/>
  <c r="AM21" i="9"/>
  <c r="AM57" i="9"/>
  <c r="AM11" i="9"/>
  <c r="AS40" i="9"/>
  <c r="AM61" i="9"/>
  <c r="AM31" i="9"/>
  <c r="AM63" i="9"/>
  <c r="AM15" i="9"/>
  <c r="AS68" i="9"/>
  <c r="AS28" i="9"/>
  <c r="AM27" i="9"/>
  <c r="AM37" i="9"/>
  <c r="AM47" i="9"/>
  <c r="AM53" i="9"/>
  <c r="AM7" i="9"/>
  <c r="AS10" i="9"/>
  <c r="AM13" i="9"/>
  <c r="AM33" i="9"/>
  <c r="AM43" i="9"/>
  <c r="AM59" i="9"/>
  <c r="AM17" i="9"/>
  <c r="AM23" i="9"/>
  <c r="AM9" i="9"/>
  <c r="AM19" i="9"/>
  <c r="AM39" i="9"/>
  <c r="AM49" i="9"/>
  <c r="AM69" i="9"/>
  <c r="AM25" i="9"/>
  <c r="AM29" i="9"/>
  <c r="AM55" i="9"/>
  <c r="AS62" i="9"/>
  <c r="AM65" i="9"/>
  <c r="AS6" i="9"/>
  <c r="AS8" i="9"/>
  <c r="AS22" i="9"/>
  <c r="AS34" i="9"/>
  <c r="AM12" i="9"/>
  <c r="AM16" i="9"/>
  <c r="AM20" i="9"/>
  <c r="AS70" i="9"/>
  <c r="AM14" i="9"/>
  <c r="AM30" i="9"/>
  <c r="AS18" i="9"/>
  <c r="AS24" i="9"/>
  <c r="AS32" i="9"/>
  <c r="AS36" i="9"/>
  <c r="AS38" i="9"/>
  <c r="AS48" i="9"/>
  <c r="AS50" i="9"/>
  <c r="AS52" i="9"/>
  <c r="AS54" i="9"/>
  <c r="AS56" i="9"/>
  <c r="AS66" i="9"/>
  <c r="AS4" i="9"/>
  <c r="AM58" i="9"/>
  <c r="AM60" i="9"/>
  <c r="AS42" i="9"/>
  <c r="AS44" i="9"/>
  <c r="AS46" i="9"/>
  <c r="AS64" i="9"/>
  <c r="AP7" i="4"/>
  <c r="AQ7" i="4"/>
  <c r="AR7" i="4"/>
  <c r="AS7" i="4"/>
  <c r="AP8" i="4"/>
  <c r="AQ8" i="4"/>
  <c r="AR8" i="4"/>
  <c r="AS8" i="4"/>
  <c r="AP9" i="4"/>
  <c r="AQ9" i="4"/>
  <c r="AR9" i="4"/>
  <c r="AS9" i="4"/>
  <c r="AP10" i="4"/>
  <c r="AQ10" i="4"/>
  <c r="AR10" i="4"/>
  <c r="AS10" i="4"/>
  <c r="AP11" i="4"/>
  <c r="AQ11" i="4"/>
  <c r="AR11" i="4"/>
  <c r="AS11" i="4"/>
  <c r="AP12" i="4"/>
  <c r="AQ12" i="4"/>
  <c r="AR12" i="4"/>
  <c r="AS12" i="4"/>
  <c r="AP13" i="4"/>
  <c r="AQ13" i="4"/>
  <c r="AR13" i="4"/>
  <c r="AS13" i="4"/>
  <c r="AP14" i="4"/>
  <c r="AQ14" i="4"/>
  <c r="AR14" i="4"/>
  <c r="AS14" i="4"/>
  <c r="AP15" i="4"/>
  <c r="AQ15" i="4"/>
  <c r="AR15" i="4"/>
  <c r="AS15" i="4"/>
  <c r="AP16" i="4"/>
  <c r="AQ16" i="4"/>
  <c r="AR16" i="4"/>
  <c r="AS16" i="4"/>
  <c r="AP17" i="4"/>
  <c r="AQ17" i="4"/>
  <c r="AR17" i="4"/>
  <c r="AS17" i="4"/>
  <c r="AP18" i="4"/>
  <c r="AQ18" i="4"/>
  <c r="AR18" i="4"/>
  <c r="AS18" i="4"/>
  <c r="AP19" i="4"/>
  <c r="AQ19" i="4"/>
  <c r="AR19" i="4"/>
  <c r="AS19" i="4"/>
  <c r="AP20" i="4"/>
  <c r="AQ20" i="4"/>
  <c r="AR20" i="4"/>
  <c r="AS20" i="4"/>
  <c r="AP21" i="4"/>
  <c r="AQ21" i="4"/>
  <c r="AR21" i="4"/>
  <c r="AS21" i="4"/>
  <c r="AP22" i="4"/>
  <c r="AQ22" i="4"/>
  <c r="AR22" i="4"/>
  <c r="AS22" i="4"/>
  <c r="AP23" i="4"/>
  <c r="AQ23" i="4"/>
  <c r="AR23" i="4"/>
  <c r="AS23" i="4"/>
  <c r="AP24" i="4"/>
  <c r="AQ24" i="4"/>
  <c r="AR24" i="4"/>
  <c r="AS24" i="4"/>
  <c r="AP25" i="4"/>
  <c r="AQ25" i="4"/>
  <c r="AR25" i="4"/>
  <c r="AS25" i="4"/>
  <c r="AP26" i="4"/>
  <c r="AQ26" i="4"/>
  <c r="AR26" i="4"/>
  <c r="AS26" i="4"/>
  <c r="AP27" i="4"/>
  <c r="AQ27" i="4"/>
  <c r="AR27" i="4"/>
  <c r="AS27" i="4"/>
  <c r="AP28" i="4"/>
  <c r="AQ28" i="4"/>
  <c r="AR28" i="4"/>
  <c r="AS28" i="4"/>
  <c r="AP29" i="4"/>
  <c r="AQ29" i="4"/>
  <c r="AR29" i="4"/>
  <c r="AS29" i="4"/>
  <c r="AP30" i="4"/>
  <c r="AQ30" i="4"/>
  <c r="AR30" i="4"/>
  <c r="AS30" i="4"/>
  <c r="AP31" i="4"/>
  <c r="AQ31" i="4"/>
  <c r="AR31" i="4"/>
  <c r="AS31" i="4"/>
  <c r="AP32" i="4"/>
  <c r="AQ32" i="4"/>
  <c r="AR32" i="4"/>
  <c r="AS32" i="4"/>
  <c r="AP33" i="4"/>
  <c r="AQ33" i="4"/>
  <c r="AR33" i="4"/>
  <c r="AS33" i="4"/>
  <c r="AP34" i="4"/>
  <c r="AQ34" i="4"/>
  <c r="AR34" i="4"/>
  <c r="AS34" i="4"/>
  <c r="AP35" i="4"/>
  <c r="AQ35" i="4"/>
  <c r="AR35" i="4"/>
  <c r="AS35" i="4"/>
  <c r="AP36" i="4"/>
  <c r="AQ36" i="4"/>
  <c r="AR36" i="4"/>
  <c r="AS36" i="4"/>
  <c r="AP37" i="4"/>
  <c r="AQ37" i="4"/>
  <c r="AR37" i="4"/>
  <c r="AS37" i="4"/>
  <c r="AP38" i="4"/>
  <c r="AQ38" i="4"/>
  <c r="AR38" i="4"/>
  <c r="AS38" i="4"/>
  <c r="AP39" i="4"/>
  <c r="AQ39" i="4"/>
  <c r="AR39" i="4"/>
  <c r="AS39" i="4"/>
  <c r="AP40" i="4"/>
  <c r="AQ40" i="4"/>
  <c r="AR40" i="4"/>
  <c r="AS40" i="4"/>
  <c r="AP41" i="4"/>
  <c r="AQ41" i="4"/>
  <c r="AR41" i="4"/>
  <c r="AS41" i="4"/>
  <c r="AP42" i="4"/>
  <c r="AQ42" i="4"/>
  <c r="AR42" i="4"/>
  <c r="AS42" i="4"/>
  <c r="AP43" i="4"/>
  <c r="AQ43" i="4"/>
  <c r="AR43" i="4"/>
  <c r="AS43" i="4"/>
  <c r="AP44" i="4"/>
  <c r="AQ44" i="4"/>
  <c r="AR44" i="4"/>
  <c r="AS44" i="4"/>
  <c r="AP45" i="4"/>
  <c r="AQ45" i="4"/>
  <c r="AR45" i="4"/>
  <c r="AS45" i="4"/>
  <c r="AP46" i="4"/>
  <c r="AQ46" i="4"/>
  <c r="AR46" i="4"/>
  <c r="AS46" i="4"/>
  <c r="AP47" i="4"/>
  <c r="AQ47" i="4"/>
  <c r="AR47" i="4"/>
  <c r="AS47" i="4"/>
  <c r="AP48" i="4"/>
  <c r="AQ48" i="4"/>
  <c r="AR48" i="4"/>
  <c r="AS48" i="4"/>
  <c r="AP49" i="4"/>
  <c r="AQ49" i="4"/>
  <c r="AR49" i="4"/>
  <c r="AS49" i="4"/>
  <c r="AP50" i="4"/>
  <c r="AQ50" i="4"/>
  <c r="AR50" i="4"/>
  <c r="AS50" i="4"/>
  <c r="AP51" i="4"/>
  <c r="AQ51" i="4"/>
  <c r="AR51" i="4"/>
  <c r="AS51" i="4"/>
  <c r="AP52" i="4"/>
  <c r="AQ52" i="4"/>
  <c r="AR52" i="4"/>
  <c r="AS52" i="4"/>
  <c r="AP53" i="4"/>
  <c r="AQ53" i="4"/>
  <c r="AR53" i="4"/>
  <c r="AS53" i="4"/>
  <c r="AP54" i="4"/>
  <c r="AQ54" i="4"/>
  <c r="AR54" i="4"/>
  <c r="AS54" i="4"/>
  <c r="AP55" i="4"/>
  <c r="AQ55" i="4"/>
  <c r="AR55" i="4"/>
  <c r="AS55" i="4"/>
  <c r="AP56" i="4"/>
  <c r="AQ56" i="4"/>
  <c r="AR56" i="4"/>
  <c r="AS56" i="4"/>
  <c r="AP57" i="4"/>
  <c r="AQ57" i="4"/>
  <c r="AR57" i="4"/>
  <c r="AS57" i="4"/>
  <c r="AP58" i="4"/>
  <c r="AQ58" i="4"/>
  <c r="AR58" i="4"/>
  <c r="AS58" i="4"/>
  <c r="AP59" i="4"/>
  <c r="AQ59" i="4"/>
  <c r="AR59" i="4"/>
  <c r="AS59" i="4"/>
  <c r="AP60" i="4"/>
  <c r="AQ60" i="4"/>
  <c r="AR60" i="4"/>
  <c r="AS60" i="4"/>
  <c r="AP61" i="4"/>
  <c r="AQ61" i="4"/>
  <c r="AR61" i="4"/>
  <c r="AS61" i="4"/>
  <c r="AP62" i="4"/>
  <c r="AQ62" i="4"/>
  <c r="AR62" i="4"/>
  <c r="AS62" i="4"/>
  <c r="AP63" i="4"/>
  <c r="AQ63" i="4"/>
  <c r="AR63" i="4"/>
  <c r="AS63" i="4"/>
  <c r="AP64" i="4"/>
  <c r="AQ64" i="4"/>
  <c r="AR64" i="4"/>
  <c r="AS64" i="4"/>
  <c r="AP65" i="4"/>
  <c r="AQ65" i="4"/>
  <c r="AR65" i="4"/>
  <c r="AS65" i="4"/>
  <c r="AP66" i="4"/>
  <c r="AQ66" i="4"/>
  <c r="AR66" i="4"/>
  <c r="AS66" i="4"/>
  <c r="AP67" i="4"/>
  <c r="AQ67" i="4"/>
  <c r="AR67" i="4"/>
  <c r="AS67" i="4"/>
  <c r="AP68" i="4"/>
  <c r="AQ68" i="4"/>
  <c r="AR68" i="4"/>
  <c r="AS68" i="4"/>
  <c r="AP69" i="4"/>
  <c r="AQ69" i="4"/>
  <c r="AR69" i="4"/>
  <c r="AS69" i="4"/>
  <c r="AP70" i="4"/>
  <c r="AQ70" i="4"/>
  <c r="AR70" i="4"/>
  <c r="AS70" i="4"/>
  <c r="AP71" i="4"/>
  <c r="AQ71" i="4"/>
  <c r="AR71" i="4"/>
  <c r="AS71" i="4"/>
  <c r="AP72" i="4"/>
  <c r="AQ72" i="4"/>
  <c r="AR72" i="4"/>
  <c r="AS72" i="4"/>
  <c r="AP73" i="4"/>
  <c r="AQ73" i="4"/>
  <c r="AR73" i="4"/>
  <c r="AS73" i="4"/>
  <c r="AQ6" i="4"/>
  <c r="AR6" i="4"/>
  <c r="AS6" i="4"/>
  <c r="AP6" i="4"/>
  <c r="BU73" i="4"/>
  <c r="BS73" i="4"/>
  <c r="BR73" i="4"/>
  <c r="BQ73" i="4"/>
  <c r="BP73" i="4"/>
  <c r="BO73" i="4"/>
  <c r="BM73" i="4"/>
  <c r="BK73" i="4"/>
  <c r="BT73" i="4" s="1"/>
  <c r="BU72" i="4"/>
  <c r="BS72" i="4"/>
  <c r="BR72" i="4"/>
  <c r="BQ72" i="4"/>
  <c r="BP72" i="4"/>
  <c r="BO72" i="4"/>
  <c r="BM72" i="4"/>
  <c r="BK72" i="4"/>
  <c r="BT72" i="4" s="1"/>
  <c r="BU71" i="4"/>
  <c r="BS71" i="4"/>
  <c r="BR71" i="4"/>
  <c r="BQ71" i="4"/>
  <c r="BP71" i="4"/>
  <c r="BO71" i="4"/>
  <c r="BM71" i="4"/>
  <c r="BK71" i="4"/>
  <c r="BT71" i="4" s="1"/>
  <c r="BU70" i="4"/>
  <c r="BS70" i="4"/>
  <c r="BR70" i="4"/>
  <c r="BQ70" i="4"/>
  <c r="BP70" i="4"/>
  <c r="BO70" i="4"/>
  <c r="BM70" i="4"/>
  <c r="BK70" i="4"/>
  <c r="BT70" i="4" s="1"/>
  <c r="BU69" i="4"/>
  <c r="BS69" i="4"/>
  <c r="BR69" i="4"/>
  <c r="BQ69" i="4"/>
  <c r="BP69" i="4"/>
  <c r="BO69" i="4"/>
  <c r="BN69" i="4"/>
  <c r="BM69" i="4"/>
  <c r="BK69" i="4"/>
  <c r="BT69" i="4" s="1"/>
  <c r="BU68" i="4"/>
  <c r="BS68" i="4"/>
  <c r="BR68" i="4"/>
  <c r="BQ68" i="4"/>
  <c r="BP68" i="4"/>
  <c r="BO68" i="4"/>
  <c r="BM68" i="4"/>
  <c r="BK68" i="4"/>
  <c r="BT68" i="4" s="1"/>
  <c r="BU67" i="4"/>
  <c r="BS67" i="4"/>
  <c r="BR67" i="4"/>
  <c r="BQ67" i="4"/>
  <c r="BP67" i="4"/>
  <c r="BO67" i="4"/>
  <c r="BM67" i="4"/>
  <c r="BK67" i="4"/>
  <c r="BT67" i="4" s="1"/>
  <c r="BU66" i="4"/>
  <c r="BS66" i="4"/>
  <c r="BR66" i="4"/>
  <c r="BQ66" i="4"/>
  <c r="BP66" i="4"/>
  <c r="BO66" i="4"/>
  <c r="BM66" i="4"/>
  <c r="BK66" i="4"/>
  <c r="BT66" i="4" s="1"/>
  <c r="BU65" i="4"/>
  <c r="BS65" i="4"/>
  <c r="BR65" i="4"/>
  <c r="BQ65" i="4"/>
  <c r="BP65" i="4"/>
  <c r="BO65" i="4"/>
  <c r="BN65" i="4"/>
  <c r="BM65" i="4"/>
  <c r="BK65" i="4"/>
  <c r="BT65" i="4" s="1"/>
  <c r="BU64" i="4"/>
  <c r="BS64" i="4"/>
  <c r="BR64" i="4"/>
  <c r="BQ64" i="4"/>
  <c r="BP64" i="4"/>
  <c r="BO64" i="4"/>
  <c r="BM64" i="4"/>
  <c r="BK64" i="4"/>
  <c r="BT64" i="4" s="1"/>
  <c r="BU63" i="4"/>
  <c r="BS63" i="4"/>
  <c r="BR63" i="4"/>
  <c r="BQ63" i="4"/>
  <c r="BP63" i="4"/>
  <c r="BO63" i="4"/>
  <c r="BM63" i="4"/>
  <c r="BK63" i="4"/>
  <c r="BT63" i="4" s="1"/>
  <c r="BU62" i="4"/>
  <c r="BS62" i="4"/>
  <c r="BR62" i="4"/>
  <c r="BQ62" i="4"/>
  <c r="BP62" i="4"/>
  <c r="BO62" i="4"/>
  <c r="BM62" i="4"/>
  <c r="BK62" i="4"/>
  <c r="BT62" i="4" s="1"/>
  <c r="BU61" i="4"/>
  <c r="BS61" i="4"/>
  <c r="BR61" i="4"/>
  <c r="BQ61" i="4"/>
  <c r="BP61" i="4"/>
  <c r="BO61" i="4"/>
  <c r="BM61" i="4"/>
  <c r="BK61" i="4"/>
  <c r="BT61" i="4" s="1"/>
  <c r="BU60" i="4"/>
  <c r="BS60" i="4"/>
  <c r="BR60" i="4"/>
  <c r="BQ60" i="4"/>
  <c r="BP60" i="4"/>
  <c r="BO60" i="4"/>
  <c r="BM60" i="4"/>
  <c r="BK60" i="4"/>
  <c r="BT60" i="4" s="1"/>
  <c r="BU59" i="4"/>
  <c r="BS59" i="4"/>
  <c r="BR59" i="4"/>
  <c r="BQ59" i="4"/>
  <c r="BP59" i="4"/>
  <c r="BO59" i="4"/>
  <c r="BM59" i="4"/>
  <c r="BK59" i="4"/>
  <c r="BT59" i="4" s="1"/>
  <c r="BU58" i="4"/>
  <c r="BS58" i="4"/>
  <c r="BR58" i="4"/>
  <c r="BQ58" i="4"/>
  <c r="BP58" i="4"/>
  <c r="BO58" i="4"/>
  <c r="BM58" i="4"/>
  <c r="BK58" i="4"/>
  <c r="BT58" i="4" s="1"/>
  <c r="BU57" i="4"/>
  <c r="BS57" i="4"/>
  <c r="BR57" i="4"/>
  <c r="BQ57" i="4"/>
  <c r="BP57" i="4"/>
  <c r="BO57" i="4"/>
  <c r="BN57" i="4"/>
  <c r="BM57" i="4"/>
  <c r="BK57" i="4"/>
  <c r="BT57" i="4" s="1"/>
  <c r="BU56" i="4"/>
  <c r="BS56" i="4"/>
  <c r="BR56" i="4"/>
  <c r="BQ56" i="4"/>
  <c r="BP56" i="4"/>
  <c r="BO56" i="4"/>
  <c r="BM56" i="4"/>
  <c r="BK56" i="4"/>
  <c r="BT56" i="4" s="1"/>
  <c r="BU55" i="4"/>
  <c r="BS55" i="4"/>
  <c r="BR55" i="4"/>
  <c r="BQ55" i="4"/>
  <c r="BP55" i="4"/>
  <c r="BO55" i="4"/>
  <c r="BM55" i="4"/>
  <c r="BK55" i="4"/>
  <c r="BT55" i="4" s="1"/>
  <c r="BU54" i="4"/>
  <c r="BS54" i="4"/>
  <c r="BR54" i="4"/>
  <c r="BQ54" i="4"/>
  <c r="BP54" i="4"/>
  <c r="BO54" i="4"/>
  <c r="BM54" i="4"/>
  <c r="BK54" i="4"/>
  <c r="BT54" i="4" s="1"/>
  <c r="BU53" i="4"/>
  <c r="BS53" i="4"/>
  <c r="BR53" i="4"/>
  <c r="BQ53" i="4"/>
  <c r="BP53" i="4"/>
  <c r="BO53" i="4"/>
  <c r="BM53" i="4"/>
  <c r="BK53" i="4"/>
  <c r="BT53" i="4" s="1"/>
  <c r="BU52" i="4"/>
  <c r="BS52" i="4"/>
  <c r="BR52" i="4"/>
  <c r="BQ52" i="4"/>
  <c r="BP52" i="4"/>
  <c r="BO52" i="4"/>
  <c r="BN52" i="4"/>
  <c r="BM52" i="4"/>
  <c r="BK52" i="4"/>
  <c r="BT52" i="4" s="1"/>
  <c r="BU51" i="4"/>
  <c r="BS51" i="4"/>
  <c r="BR51" i="4"/>
  <c r="BQ51" i="4"/>
  <c r="BP51" i="4"/>
  <c r="BO51" i="4"/>
  <c r="BM51" i="4"/>
  <c r="BK51" i="4"/>
  <c r="BT51" i="4" s="1"/>
  <c r="BU50" i="4"/>
  <c r="BS50" i="4"/>
  <c r="BR50" i="4"/>
  <c r="BQ50" i="4"/>
  <c r="BP50" i="4"/>
  <c r="BO50" i="4"/>
  <c r="BM50" i="4"/>
  <c r="BK50" i="4"/>
  <c r="BT50" i="4" s="1"/>
  <c r="BU49" i="4"/>
  <c r="BS49" i="4"/>
  <c r="BR49" i="4"/>
  <c r="BQ49" i="4"/>
  <c r="BP49" i="4"/>
  <c r="BO49" i="4"/>
  <c r="BM49" i="4"/>
  <c r="BK49" i="4"/>
  <c r="BT49" i="4" s="1"/>
  <c r="BU48" i="4"/>
  <c r="BS48" i="4"/>
  <c r="BR48" i="4"/>
  <c r="BQ48" i="4"/>
  <c r="BP48" i="4"/>
  <c r="BO48" i="4"/>
  <c r="BM48" i="4"/>
  <c r="BK48" i="4"/>
  <c r="BU47" i="4"/>
  <c r="BS47" i="4"/>
  <c r="BR47" i="4"/>
  <c r="BQ47" i="4"/>
  <c r="BP47" i="4"/>
  <c r="BO47" i="4"/>
  <c r="BM47" i="4"/>
  <c r="BK47" i="4"/>
  <c r="BT47" i="4" s="1"/>
  <c r="BU46" i="4"/>
  <c r="BS46" i="4"/>
  <c r="BR46" i="4"/>
  <c r="BQ46" i="4"/>
  <c r="BP46" i="4"/>
  <c r="BO46" i="4"/>
  <c r="BM46" i="4"/>
  <c r="BK46" i="4"/>
  <c r="BT46" i="4" s="1"/>
  <c r="BU45" i="4"/>
  <c r="BS45" i="4"/>
  <c r="BR45" i="4"/>
  <c r="BQ45" i="4"/>
  <c r="BP45" i="4"/>
  <c r="BO45" i="4"/>
  <c r="BM45" i="4"/>
  <c r="BK45" i="4"/>
  <c r="BT45" i="4" s="1"/>
  <c r="BU44" i="4"/>
  <c r="BS44" i="4"/>
  <c r="BR44" i="4"/>
  <c r="BQ44" i="4"/>
  <c r="BP44" i="4"/>
  <c r="BO44" i="4"/>
  <c r="BM44" i="4"/>
  <c r="BK44" i="4"/>
  <c r="BT44" i="4" s="1"/>
  <c r="BU43" i="4"/>
  <c r="BS43" i="4"/>
  <c r="BR43" i="4"/>
  <c r="BQ43" i="4"/>
  <c r="BP43" i="4"/>
  <c r="BO43" i="4"/>
  <c r="BM43" i="4"/>
  <c r="BK43" i="4"/>
  <c r="BT43" i="4" s="1"/>
  <c r="BU42" i="4"/>
  <c r="BS42" i="4"/>
  <c r="BR42" i="4"/>
  <c r="BQ42" i="4"/>
  <c r="BP42" i="4"/>
  <c r="BO42" i="4"/>
  <c r="BM42" i="4"/>
  <c r="BK42" i="4"/>
  <c r="BT42" i="4" s="1"/>
  <c r="BU41" i="4"/>
  <c r="BS41" i="4"/>
  <c r="BR41" i="4"/>
  <c r="BQ41" i="4"/>
  <c r="BP41" i="4"/>
  <c r="BO41" i="4"/>
  <c r="BM41" i="4"/>
  <c r="BK41" i="4"/>
  <c r="BT41" i="4" s="1"/>
  <c r="BU40" i="4"/>
  <c r="BS40" i="4"/>
  <c r="BR40" i="4"/>
  <c r="BQ40" i="4"/>
  <c r="BP40" i="4"/>
  <c r="BO40" i="4"/>
  <c r="BM40" i="4"/>
  <c r="BK40" i="4"/>
  <c r="BT40" i="4" s="1"/>
  <c r="BU39" i="4"/>
  <c r="BS39" i="4"/>
  <c r="BR39" i="4"/>
  <c r="BQ39" i="4"/>
  <c r="BP39" i="4"/>
  <c r="BO39" i="4"/>
  <c r="BM39" i="4"/>
  <c r="BK39" i="4"/>
  <c r="BT39" i="4" s="1"/>
  <c r="BU38" i="4"/>
  <c r="BS38" i="4"/>
  <c r="BR38" i="4"/>
  <c r="BQ38" i="4"/>
  <c r="BP38" i="4"/>
  <c r="BO38" i="4"/>
  <c r="BM38" i="4"/>
  <c r="BK38" i="4"/>
  <c r="BT38" i="4" s="1"/>
  <c r="BU37" i="4"/>
  <c r="BS37" i="4"/>
  <c r="BR37" i="4"/>
  <c r="BQ37" i="4"/>
  <c r="BP37" i="4"/>
  <c r="BO37" i="4"/>
  <c r="BM37" i="4"/>
  <c r="BK37" i="4"/>
  <c r="BT37" i="4" s="1"/>
  <c r="BU36" i="4"/>
  <c r="BS36" i="4"/>
  <c r="BR36" i="4"/>
  <c r="BQ36" i="4"/>
  <c r="BP36" i="4"/>
  <c r="BO36" i="4"/>
  <c r="BM36" i="4"/>
  <c r="BK36" i="4"/>
  <c r="BT36" i="4" s="1"/>
  <c r="BU35" i="4"/>
  <c r="BS35" i="4"/>
  <c r="BR35" i="4"/>
  <c r="BQ35" i="4"/>
  <c r="BP35" i="4"/>
  <c r="BO35" i="4"/>
  <c r="BN35" i="4"/>
  <c r="BM35" i="4"/>
  <c r="BK35" i="4"/>
  <c r="BT35" i="4" s="1"/>
  <c r="BU34" i="4"/>
  <c r="BS34" i="4"/>
  <c r="BR34" i="4"/>
  <c r="BQ34" i="4"/>
  <c r="BP34" i="4"/>
  <c r="BO34" i="4"/>
  <c r="BM34" i="4"/>
  <c r="BK34" i="4"/>
  <c r="BT34" i="4" s="1"/>
  <c r="BU33" i="4"/>
  <c r="BS33" i="4"/>
  <c r="BR33" i="4"/>
  <c r="BQ33" i="4"/>
  <c r="BP33" i="4"/>
  <c r="BO33" i="4"/>
  <c r="BM33" i="4"/>
  <c r="BK33" i="4"/>
  <c r="BT33" i="4" s="1"/>
  <c r="BU32" i="4"/>
  <c r="BS32" i="4"/>
  <c r="BR32" i="4"/>
  <c r="BQ32" i="4"/>
  <c r="BP32" i="4"/>
  <c r="BO32" i="4"/>
  <c r="BM32" i="4"/>
  <c r="BK32" i="4"/>
  <c r="BT32" i="4" s="1"/>
  <c r="BU31" i="4"/>
  <c r="BS31" i="4"/>
  <c r="BR31" i="4"/>
  <c r="BQ31" i="4"/>
  <c r="BP31" i="4"/>
  <c r="BO31" i="4"/>
  <c r="BM31" i="4"/>
  <c r="BK31" i="4"/>
  <c r="BT31" i="4" s="1"/>
  <c r="BU30" i="4"/>
  <c r="BS30" i="4"/>
  <c r="BR30" i="4"/>
  <c r="BQ30" i="4"/>
  <c r="BP30" i="4"/>
  <c r="BO30" i="4"/>
  <c r="BM30" i="4"/>
  <c r="BK30" i="4"/>
  <c r="BT30" i="4" s="1"/>
  <c r="BU29" i="4"/>
  <c r="BS29" i="4"/>
  <c r="BR29" i="4"/>
  <c r="BQ29" i="4"/>
  <c r="BP29" i="4"/>
  <c r="BO29" i="4"/>
  <c r="BM29" i="4"/>
  <c r="BK29" i="4"/>
  <c r="BT29" i="4" s="1"/>
  <c r="BU28" i="4"/>
  <c r="BS28" i="4"/>
  <c r="BR28" i="4"/>
  <c r="BQ28" i="4"/>
  <c r="BP28" i="4"/>
  <c r="BO28" i="4"/>
  <c r="BM28" i="4"/>
  <c r="BK28" i="4"/>
  <c r="BT28" i="4" s="1"/>
  <c r="BU27" i="4"/>
  <c r="BS27" i="4"/>
  <c r="BR27" i="4"/>
  <c r="BQ27" i="4"/>
  <c r="BP27" i="4"/>
  <c r="BO27" i="4"/>
  <c r="BN27" i="4"/>
  <c r="BM27" i="4"/>
  <c r="BK27" i="4"/>
  <c r="BT27" i="4" s="1"/>
  <c r="BU26" i="4"/>
  <c r="BS26" i="4"/>
  <c r="BR26" i="4"/>
  <c r="BQ26" i="4"/>
  <c r="BP26" i="4"/>
  <c r="BO26" i="4"/>
  <c r="BM26" i="4"/>
  <c r="BK26" i="4"/>
  <c r="BT26" i="4" s="1"/>
  <c r="BU25" i="4"/>
  <c r="BS25" i="4"/>
  <c r="BR25" i="4"/>
  <c r="BQ25" i="4"/>
  <c r="BP25" i="4"/>
  <c r="BO25" i="4"/>
  <c r="BM25" i="4"/>
  <c r="BK25" i="4"/>
  <c r="BT25" i="4" s="1"/>
  <c r="BU24" i="4"/>
  <c r="BS24" i="4"/>
  <c r="BR24" i="4"/>
  <c r="BQ24" i="4"/>
  <c r="BP24" i="4"/>
  <c r="BO24" i="4"/>
  <c r="BM24" i="4"/>
  <c r="BK24" i="4"/>
  <c r="BT24" i="4" s="1"/>
  <c r="BU23" i="4"/>
  <c r="BS23" i="4"/>
  <c r="BR23" i="4"/>
  <c r="BQ23" i="4"/>
  <c r="BP23" i="4"/>
  <c r="BO23" i="4"/>
  <c r="BM23" i="4"/>
  <c r="BK23" i="4"/>
  <c r="BT23" i="4" s="1"/>
  <c r="BU22" i="4"/>
  <c r="BS22" i="4"/>
  <c r="BR22" i="4"/>
  <c r="BQ22" i="4"/>
  <c r="BP22" i="4"/>
  <c r="BO22" i="4"/>
  <c r="BN22" i="4"/>
  <c r="BM22" i="4"/>
  <c r="BK22" i="4"/>
  <c r="BT22" i="4" s="1"/>
  <c r="BU21" i="4"/>
  <c r="BS21" i="4"/>
  <c r="BR21" i="4"/>
  <c r="BQ21" i="4"/>
  <c r="BP21" i="4"/>
  <c r="BO21" i="4"/>
  <c r="BM21" i="4"/>
  <c r="BK21" i="4"/>
  <c r="BT21" i="4" s="1"/>
  <c r="BU20" i="4"/>
  <c r="BS20" i="4"/>
  <c r="BR20" i="4"/>
  <c r="BQ20" i="4"/>
  <c r="BP20" i="4"/>
  <c r="BO20" i="4"/>
  <c r="BM20" i="4"/>
  <c r="BK20" i="4"/>
  <c r="BT20" i="4" s="1"/>
  <c r="BU19" i="4"/>
  <c r="BS19" i="4"/>
  <c r="BR19" i="4"/>
  <c r="BQ19" i="4"/>
  <c r="BP19" i="4"/>
  <c r="BO19" i="4"/>
  <c r="BM19" i="4"/>
  <c r="BK19" i="4"/>
  <c r="BT19" i="4" s="1"/>
  <c r="BU18" i="4"/>
  <c r="BS18" i="4"/>
  <c r="BR18" i="4"/>
  <c r="BQ18" i="4"/>
  <c r="BP18" i="4"/>
  <c r="BO18" i="4"/>
  <c r="BM18" i="4"/>
  <c r="BK18" i="4"/>
  <c r="BU17" i="4"/>
  <c r="BS17" i="4"/>
  <c r="BR17" i="4"/>
  <c r="BQ17" i="4"/>
  <c r="BP17" i="4"/>
  <c r="BO17" i="4"/>
  <c r="BM17" i="4"/>
  <c r="BK17" i="4"/>
  <c r="BT17" i="4" s="1"/>
  <c r="BU16" i="4"/>
  <c r="BS16" i="4"/>
  <c r="BR16" i="4"/>
  <c r="BQ16" i="4"/>
  <c r="BP16" i="4"/>
  <c r="BO16" i="4"/>
  <c r="BM16" i="4"/>
  <c r="BK16" i="4"/>
  <c r="BT16" i="4" s="1"/>
  <c r="BU15" i="4"/>
  <c r="BS15" i="4"/>
  <c r="BR15" i="4"/>
  <c r="BQ15" i="4"/>
  <c r="BP15" i="4"/>
  <c r="BO15" i="4"/>
  <c r="BM15" i="4"/>
  <c r="BK15" i="4"/>
  <c r="BT15" i="4" s="1"/>
  <c r="BU14" i="4"/>
  <c r="BS14" i="4"/>
  <c r="BR14" i="4"/>
  <c r="BQ14" i="4"/>
  <c r="BP14" i="4"/>
  <c r="BO14" i="4"/>
  <c r="BN14" i="4"/>
  <c r="BM14" i="4"/>
  <c r="BK14" i="4"/>
  <c r="BT14" i="4" s="1"/>
  <c r="BU13" i="4"/>
  <c r="BS13" i="4"/>
  <c r="BR13" i="4"/>
  <c r="BQ13" i="4"/>
  <c r="BP13" i="4"/>
  <c r="BO13" i="4"/>
  <c r="BM13" i="4"/>
  <c r="BK13" i="4"/>
  <c r="BT13" i="4" s="1"/>
  <c r="BU12" i="4"/>
  <c r="BS12" i="4"/>
  <c r="BR12" i="4"/>
  <c r="BQ12" i="4"/>
  <c r="BP12" i="4"/>
  <c r="BO12" i="4"/>
  <c r="BM12" i="4"/>
  <c r="BK12" i="4"/>
  <c r="BT12" i="4" s="1"/>
  <c r="BU11" i="4"/>
  <c r="BS11" i="4"/>
  <c r="BR11" i="4"/>
  <c r="BQ11" i="4"/>
  <c r="BP11" i="4"/>
  <c r="BO11" i="4"/>
  <c r="BM11" i="4"/>
  <c r="BK11" i="4"/>
  <c r="BT11" i="4" s="1"/>
  <c r="BU10" i="4"/>
  <c r="BS10" i="4"/>
  <c r="BR10" i="4"/>
  <c r="BQ10" i="4"/>
  <c r="BP10" i="4"/>
  <c r="BO10" i="4"/>
  <c r="BM10" i="4"/>
  <c r="BK10" i="4"/>
  <c r="BT10" i="4" s="1"/>
  <c r="BU9" i="4"/>
  <c r="BS9" i="4"/>
  <c r="BR9" i="4"/>
  <c r="BQ9" i="4"/>
  <c r="BP9" i="4"/>
  <c r="BO9" i="4"/>
  <c r="BM9" i="4"/>
  <c r="BK9" i="4"/>
  <c r="BT9" i="4" s="1"/>
  <c r="BU8" i="4"/>
  <c r="BS8" i="4"/>
  <c r="BR8" i="4"/>
  <c r="BQ8" i="4"/>
  <c r="BP8" i="4"/>
  <c r="BO8" i="4"/>
  <c r="BM8" i="4"/>
  <c r="BK8" i="4"/>
  <c r="BT8" i="4" s="1"/>
  <c r="BU7" i="4"/>
  <c r="BS7" i="4"/>
  <c r="BR7" i="4"/>
  <c r="BQ7" i="4"/>
  <c r="BP7" i="4"/>
  <c r="BO7" i="4"/>
  <c r="BM7" i="4"/>
  <c r="BK7" i="4"/>
  <c r="BN7" i="4" s="1"/>
  <c r="BU6" i="4"/>
  <c r="BS6" i="4"/>
  <c r="BR6" i="4"/>
  <c r="BQ6" i="4"/>
  <c r="BP6" i="4"/>
  <c r="BO6" i="4"/>
  <c r="BM6" i="4"/>
  <c r="BK6" i="4"/>
  <c r="BN6" i="4" s="1"/>
  <c r="D32" i="8"/>
  <c r="D31" i="8"/>
  <c r="C32" i="8"/>
  <c r="C31" i="8"/>
  <c r="BN31" i="4" l="1"/>
  <c r="BT48" i="4"/>
  <c r="BN48" i="4"/>
  <c r="BT18" i="4"/>
  <c r="BN18" i="4"/>
  <c r="BN23" i="4"/>
  <c r="BN61" i="4"/>
  <c r="BN60" i="4"/>
  <c r="BN26" i="4"/>
  <c r="BN56" i="4"/>
  <c r="BN68" i="4"/>
  <c r="N29" i="9"/>
  <c r="P29" i="9" s="1"/>
  <c r="AU29" i="9" s="1"/>
  <c r="N22" i="9"/>
  <c r="P22" i="9" s="1"/>
  <c r="AV22" i="9" s="1"/>
  <c r="N7" i="9"/>
  <c r="P7" i="9" s="1"/>
  <c r="AV7" i="9" s="1"/>
  <c r="N71" i="9"/>
  <c r="P71" i="9" s="1"/>
  <c r="AU71" i="9" s="1"/>
  <c r="N64" i="9"/>
  <c r="P64" i="9" s="1"/>
  <c r="AV64" i="9" s="1"/>
  <c r="N41" i="9"/>
  <c r="P41" i="9" s="1"/>
  <c r="AU41" i="9" s="1"/>
  <c r="N26" i="9"/>
  <c r="P26" i="9" s="1"/>
  <c r="AU26" i="9" s="1"/>
  <c r="N19" i="9"/>
  <c r="P19" i="9" s="1"/>
  <c r="AV19" i="9" s="1"/>
  <c r="N12" i="9"/>
  <c r="P12" i="9" s="1"/>
  <c r="AV12" i="9" s="1"/>
  <c r="N4" i="9"/>
  <c r="P4" i="9" s="1"/>
  <c r="AV4" i="9" s="1"/>
  <c r="M27" i="9"/>
  <c r="O27" i="9" s="1"/>
  <c r="AF27" i="9" s="1"/>
  <c r="M31" i="9"/>
  <c r="O31" i="9" s="1"/>
  <c r="AG31" i="9" s="1"/>
  <c r="M67" i="9"/>
  <c r="O67" i="9" s="1"/>
  <c r="AG67" i="9" s="1"/>
  <c r="M55" i="9"/>
  <c r="O55" i="9" s="1"/>
  <c r="AG55" i="9" s="1"/>
  <c r="M66" i="9"/>
  <c r="O66" i="9" s="1"/>
  <c r="M20" i="9"/>
  <c r="O20" i="9" s="1"/>
  <c r="M46" i="9"/>
  <c r="O46" i="9" s="1"/>
  <c r="AG46" i="9" s="1"/>
  <c r="M53" i="9"/>
  <c r="O53" i="9" s="1"/>
  <c r="AG53" i="9" s="1"/>
  <c r="N39" i="9"/>
  <c r="P39" i="9" s="1"/>
  <c r="AU39" i="9" s="1"/>
  <c r="N73" i="9"/>
  <c r="N44" i="9"/>
  <c r="P44" i="9" s="1"/>
  <c r="AV44" i="9" s="1"/>
  <c r="M34" i="9"/>
  <c r="O34" i="9" s="1"/>
  <c r="M14" i="9"/>
  <c r="O14" i="9" s="1"/>
  <c r="AG14" i="9" s="1"/>
  <c r="N47" i="9"/>
  <c r="P47" i="9" s="1"/>
  <c r="AV47" i="9" s="1"/>
  <c r="N17" i="9"/>
  <c r="P17" i="9" s="1"/>
  <c r="AV17" i="9" s="1"/>
  <c r="N52" i="9"/>
  <c r="P52" i="9" s="1"/>
  <c r="AU52" i="9" s="1"/>
  <c r="M24" i="9"/>
  <c r="O24" i="9" s="1"/>
  <c r="AG24" i="9" s="1"/>
  <c r="M6" i="9"/>
  <c r="O6" i="9" s="1"/>
  <c r="AG6" i="9" s="1"/>
  <c r="N48" i="9"/>
  <c r="P48" i="9" s="1"/>
  <c r="AV48" i="9" s="1"/>
  <c r="N67" i="9"/>
  <c r="P67" i="9" s="1"/>
  <c r="AV67" i="9" s="1"/>
  <c r="M51" i="9"/>
  <c r="O51" i="9" s="1"/>
  <c r="M47" i="9"/>
  <c r="O47" i="9" s="1"/>
  <c r="AG47" i="9" s="1"/>
  <c r="N37" i="9"/>
  <c r="P37" i="9" s="1"/>
  <c r="AU37" i="9" s="1"/>
  <c r="N30" i="9"/>
  <c r="P30" i="9" s="1"/>
  <c r="AU30" i="9" s="1"/>
  <c r="N15" i="9"/>
  <c r="P15" i="9" s="1"/>
  <c r="AV15" i="9" s="1"/>
  <c r="M48" i="9"/>
  <c r="O48" i="9" s="1"/>
  <c r="N72" i="9"/>
  <c r="N49" i="9"/>
  <c r="P49" i="9" s="1"/>
  <c r="AU49" i="9" s="1"/>
  <c r="N34" i="9"/>
  <c r="P34" i="9" s="1"/>
  <c r="AU34" i="9" s="1"/>
  <c r="N27" i="9"/>
  <c r="P27" i="9" s="1"/>
  <c r="AV27" i="9" s="1"/>
  <c r="N20" i="9"/>
  <c r="P20" i="9" s="1"/>
  <c r="AU20" i="9" s="1"/>
  <c r="M16" i="9"/>
  <c r="O16" i="9" s="1"/>
  <c r="AG16" i="9" s="1"/>
  <c r="M19" i="9"/>
  <c r="O19" i="9" s="1"/>
  <c r="AF19" i="9" s="1"/>
  <c r="M35" i="9"/>
  <c r="O35" i="9" s="1"/>
  <c r="M43" i="9"/>
  <c r="O43" i="9" s="1"/>
  <c r="M44" i="9"/>
  <c r="O44" i="9" s="1"/>
  <c r="AF44" i="9" s="1"/>
  <c r="M8" i="9"/>
  <c r="O8" i="9" s="1"/>
  <c r="M38" i="9"/>
  <c r="O38" i="9" s="1"/>
  <c r="AF38" i="9" s="1"/>
  <c r="M45" i="9"/>
  <c r="O45" i="9" s="1"/>
  <c r="AG45" i="9" s="1"/>
  <c r="M5" i="9"/>
  <c r="O5" i="9" s="1"/>
  <c r="AG5" i="9" s="1"/>
  <c r="M73" i="9"/>
  <c r="M7" i="9"/>
  <c r="O7" i="9" s="1"/>
  <c r="AF7" i="9" s="1"/>
  <c r="N69" i="9"/>
  <c r="P69" i="9" s="1"/>
  <c r="AU69" i="9" s="1"/>
  <c r="N66" i="9"/>
  <c r="P66" i="9" s="1"/>
  <c r="AU66" i="9" s="1"/>
  <c r="M40" i="9"/>
  <c r="O40" i="9" s="1"/>
  <c r="M52" i="9"/>
  <c r="O52" i="9" s="1"/>
  <c r="N70" i="9"/>
  <c r="P70" i="9" s="1"/>
  <c r="AV70" i="9" s="1"/>
  <c r="N25" i="9"/>
  <c r="P25" i="9" s="1"/>
  <c r="AV25" i="9" s="1"/>
  <c r="N60" i="9"/>
  <c r="P60" i="9" s="1"/>
  <c r="AU60" i="9" s="1"/>
  <c r="M75" i="9"/>
  <c r="M69" i="9"/>
  <c r="O69" i="9" s="1"/>
  <c r="AG69" i="9" s="1"/>
  <c r="N45" i="9"/>
  <c r="P45" i="9" s="1"/>
  <c r="N38" i="9"/>
  <c r="P38" i="9" s="1"/>
  <c r="AV38" i="9" s="1"/>
  <c r="N23" i="9"/>
  <c r="P23" i="9" s="1"/>
  <c r="AV23" i="9" s="1"/>
  <c r="N16" i="9"/>
  <c r="P16" i="9" s="1"/>
  <c r="AU16" i="9" s="1"/>
  <c r="M59" i="9"/>
  <c r="O59" i="9" s="1"/>
  <c r="AF59" i="9" s="1"/>
  <c r="N57" i="9"/>
  <c r="P57" i="9" s="1"/>
  <c r="AV57" i="9" s="1"/>
  <c r="N42" i="9"/>
  <c r="P42" i="9" s="1"/>
  <c r="AU42" i="9" s="1"/>
  <c r="N35" i="9"/>
  <c r="P35" i="9" s="1"/>
  <c r="AV35" i="9" s="1"/>
  <c r="N28" i="9"/>
  <c r="P28" i="9" s="1"/>
  <c r="AV28" i="9" s="1"/>
  <c r="M49" i="9"/>
  <c r="O49" i="9" s="1"/>
  <c r="AF49" i="9" s="1"/>
  <c r="M72" i="9"/>
  <c r="M4" i="9"/>
  <c r="O4" i="9" s="1"/>
  <c r="M33" i="9"/>
  <c r="O33" i="9" s="1"/>
  <c r="AF33" i="9" s="1"/>
  <c r="M10" i="9"/>
  <c r="O10" i="9" s="1"/>
  <c r="AF10" i="9" s="1"/>
  <c r="M12" i="9"/>
  <c r="O12" i="9" s="1"/>
  <c r="AF12" i="9" s="1"/>
  <c r="M30" i="9"/>
  <c r="O30" i="9" s="1"/>
  <c r="M37" i="9"/>
  <c r="O37" i="9" s="1"/>
  <c r="AG37" i="9" s="1"/>
  <c r="N61" i="9"/>
  <c r="P61" i="9" s="1"/>
  <c r="AU61" i="9" s="1"/>
  <c r="N51" i="9"/>
  <c r="P51" i="9" s="1"/>
  <c r="AU51" i="9" s="1"/>
  <c r="M50" i="9"/>
  <c r="O50" i="9" s="1"/>
  <c r="AF50" i="9" s="1"/>
  <c r="M64" i="9"/>
  <c r="O64" i="9" s="1"/>
  <c r="AF64" i="9" s="1"/>
  <c r="N5" i="9"/>
  <c r="P5" i="9" s="1"/>
  <c r="N59" i="9"/>
  <c r="P59" i="9" s="1"/>
  <c r="M63" i="9"/>
  <c r="O63" i="9" s="1"/>
  <c r="AG63" i="9" s="1"/>
  <c r="M70" i="9"/>
  <c r="O70" i="9" s="1"/>
  <c r="AG70" i="9" s="1"/>
  <c r="N6" i="9"/>
  <c r="P6" i="9" s="1"/>
  <c r="AU6" i="9" s="1"/>
  <c r="N10" i="9"/>
  <c r="P10" i="9" s="1"/>
  <c r="AU10" i="9" s="1"/>
  <c r="M36" i="9"/>
  <c r="O36" i="9" s="1"/>
  <c r="AG36" i="9" s="1"/>
  <c r="M42" i="9"/>
  <c r="O42" i="9" s="1"/>
  <c r="AG42" i="9" s="1"/>
  <c r="N53" i="9"/>
  <c r="P53" i="9" s="1"/>
  <c r="AV53" i="9" s="1"/>
  <c r="N46" i="9"/>
  <c r="P46" i="9" s="1"/>
  <c r="N31" i="9"/>
  <c r="P31" i="9" s="1"/>
  <c r="AU31" i="9" s="1"/>
  <c r="N24" i="9"/>
  <c r="P24" i="9" s="1"/>
  <c r="AV24" i="9" s="1"/>
  <c r="N8" i="9"/>
  <c r="P8" i="9" s="1"/>
  <c r="AU8" i="9" s="1"/>
  <c r="N65" i="9"/>
  <c r="P65" i="9" s="1"/>
  <c r="AV65" i="9" s="1"/>
  <c r="N50" i="9"/>
  <c r="P50" i="9" s="1"/>
  <c r="AU50" i="9" s="1"/>
  <c r="N43" i="9"/>
  <c r="P43" i="9" s="1"/>
  <c r="AV43" i="9" s="1"/>
  <c r="N36" i="9"/>
  <c r="P36" i="9" s="1"/>
  <c r="M58" i="9"/>
  <c r="O58" i="9" s="1"/>
  <c r="M11" i="9"/>
  <c r="O11" i="9" s="1"/>
  <c r="AG11" i="9" s="1"/>
  <c r="M60" i="9"/>
  <c r="O60" i="9" s="1"/>
  <c r="M56" i="9"/>
  <c r="O56" i="9" s="1"/>
  <c r="AF56" i="9" s="1"/>
  <c r="M23" i="9"/>
  <c r="O23" i="9" s="1"/>
  <c r="R23" i="9" s="1"/>
  <c r="S23" i="9" s="1"/>
  <c r="M74" i="9"/>
  <c r="M15" i="9"/>
  <c r="O15" i="9" s="1"/>
  <c r="AG15" i="9" s="1"/>
  <c r="M22" i="9"/>
  <c r="O22" i="9" s="1"/>
  <c r="AG22" i="9" s="1"/>
  <c r="M29" i="9"/>
  <c r="O29" i="9" s="1"/>
  <c r="AF29" i="9" s="1"/>
  <c r="N32" i="9"/>
  <c r="P32" i="9" s="1"/>
  <c r="AU32" i="9" s="1"/>
  <c r="N9" i="9"/>
  <c r="P9" i="9" s="1"/>
  <c r="AV9" i="9" s="1"/>
  <c r="N40" i="9"/>
  <c r="P40" i="9" s="1"/>
  <c r="AV40" i="9" s="1"/>
  <c r="N13" i="9"/>
  <c r="P13" i="9" s="1"/>
  <c r="AV13" i="9" s="1"/>
  <c r="N21" i="9"/>
  <c r="P21" i="9" s="1"/>
  <c r="AU21" i="9" s="1"/>
  <c r="N14" i="9"/>
  <c r="P14" i="9" s="1"/>
  <c r="AU14" i="9" s="1"/>
  <c r="M39" i="9"/>
  <c r="O39" i="9" s="1"/>
  <c r="AG39" i="9" s="1"/>
  <c r="N63" i="9"/>
  <c r="P63" i="9" s="1"/>
  <c r="AV63" i="9" s="1"/>
  <c r="N56" i="9"/>
  <c r="P56" i="9" s="1"/>
  <c r="AV56" i="9" s="1"/>
  <c r="N33" i="9"/>
  <c r="P33" i="9" s="1"/>
  <c r="AV33" i="9" s="1"/>
  <c r="N18" i="9"/>
  <c r="P18" i="9" s="1"/>
  <c r="AV18" i="9" s="1"/>
  <c r="N11" i="9"/>
  <c r="P11" i="9" s="1"/>
  <c r="AU11" i="9" s="1"/>
  <c r="N75" i="9"/>
  <c r="N68" i="9"/>
  <c r="P68" i="9" s="1"/>
  <c r="AU68" i="9" s="1"/>
  <c r="M71" i="9"/>
  <c r="O71" i="9" s="1"/>
  <c r="AG71" i="9" s="1"/>
  <c r="M41" i="9"/>
  <c r="O41" i="9" s="1"/>
  <c r="AG41" i="9" s="1"/>
  <c r="M18" i="9"/>
  <c r="O18" i="9" s="1"/>
  <c r="AG18" i="9" s="1"/>
  <c r="M65" i="9"/>
  <c r="O65" i="9" s="1"/>
  <c r="AF65" i="9" s="1"/>
  <c r="M25" i="9"/>
  <c r="O25" i="9" s="1"/>
  <c r="M32" i="9"/>
  <c r="O32" i="9" s="1"/>
  <c r="AG32" i="9" s="1"/>
  <c r="M54" i="9"/>
  <c r="O54" i="9" s="1"/>
  <c r="M61" i="9"/>
  <c r="O61" i="9" s="1"/>
  <c r="N54" i="9"/>
  <c r="P54" i="9" s="1"/>
  <c r="AV54" i="9" s="1"/>
  <c r="N58" i="9"/>
  <c r="P58" i="9" s="1"/>
  <c r="AU58" i="9" s="1"/>
  <c r="M26" i="9"/>
  <c r="O26" i="9" s="1"/>
  <c r="AG26" i="9" s="1"/>
  <c r="M9" i="9"/>
  <c r="O9" i="9" s="1"/>
  <c r="R9" i="9" s="1"/>
  <c r="M21" i="9"/>
  <c r="O21" i="9" s="1"/>
  <c r="AF21" i="9" s="1"/>
  <c r="N62" i="9"/>
  <c r="P62" i="9" s="1"/>
  <c r="AV62" i="9" s="1"/>
  <c r="M68" i="9"/>
  <c r="O68" i="9" s="1"/>
  <c r="AF68" i="9" s="1"/>
  <c r="M17" i="9"/>
  <c r="O17" i="9" s="1"/>
  <c r="AF17" i="9" s="1"/>
  <c r="M57" i="9"/>
  <c r="O57" i="9" s="1"/>
  <c r="R57" i="9" s="1"/>
  <c r="S57" i="9" s="1"/>
  <c r="M13" i="9"/>
  <c r="O13" i="9" s="1"/>
  <c r="AF13" i="9" s="1"/>
  <c r="N55" i="9"/>
  <c r="P55" i="9" s="1"/>
  <c r="AU55" i="9" s="1"/>
  <c r="N74" i="9"/>
  <c r="M28" i="9"/>
  <c r="O28" i="9" s="1"/>
  <c r="AF28" i="9" s="1"/>
  <c r="M62" i="9"/>
  <c r="O62" i="9" s="1"/>
  <c r="BN10" i="4"/>
  <c r="BN19" i="4"/>
  <c r="BN49" i="4"/>
  <c r="BN11" i="4"/>
  <c r="BN66" i="4"/>
  <c r="BN9" i="4"/>
  <c r="BN13" i="4"/>
  <c r="BN30" i="4"/>
  <c r="BN34" i="4"/>
  <c r="BN39" i="4"/>
  <c r="BN43" i="4"/>
  <c r="BN64" i="4"/>
  <c r="BN73" i="4"/>
  <c r="BN15" i="4"/>
  <c r="BN44" i="4"/>
  <c r="BN53" i="4"/>
  <c r="BN24" i="4"/>
  <c r="BN28" i="4"/>
  <c r="BN33" i="4"/>
  <c r="BN37" i="4"/>
  <c r="BN54" i="4"/>
  <c r="BN58" i="4"/>
  <c r="BN63" i="4"/>
  <c r="BN67" i="4"/>
  <c r="BN40" i="4"/>
  <c r="BN71" i="4"/>
  <c r="BN16" i="4"/>
  <c r="BN20" i="4"/>
  <c r="BN25" i="4"/>
  <c r="BN29" i="4"/>
  <c r="BN46" i="4"/>
  <c r="BN50" i="4"/>
  <c r="BN55" i="4"/>
  <c r="BN59" i="4"/>
  <c r="BN70" i="4"/>
  <c r="BN32" i="4"/>
  <c r="BN36" i="4"/>
  <c r="BN41" i="4"/>
  <c r="BN45" i="4"/>
  <c r="BN62" i="4"/>
  <c r="BN8" i="4"/>
  <c r="BN12" i="4"/>
  <c r="BN17" i="4"/>
  <c r="BN21" i="4"/>
  <c r="BN38" i="4"/>
  <c r="BN42" i="4"/>
  <c r="BN47" i="4"/>
  <c r="BN51" i="4"/>
  <c r="BN72" i="4"/>
  <c r="BT6" i="4"/>
  <c r="E5" i="1"/>
  <c r="AV21" i="9" l="1"/>
  <c r="AF46" i="9"/>
  <c r="R50" i="9"/>
  <c r="S50" i="9" s="1"/>
  <c r="AV50" i="9"/>
  <c r="AG50" i="9"/>
  <c r="AF36" i="9"/>
  <c r="AU12" i="9"/>
  <c r="AU70" i="9"/>
  <c r="AV16" i="9"/>
  <c r="R16" i="9"/>
  <c r="S16" i="9" s="1"/>
  <c r="AV37" i="9"/>
  <c r="AU17" i="9"/>
  <c r="AV20" i="9"/>
  <c r="AF45" i="9"/>
  <c r="AG68" i="9"/>
  <c r="R46" i="9"/>
  <c r="S46" i="9" s="1"/>
  <c r="AV29" i="9"/>
  <c r="R45" i="9"/>
  <c r="S45" i="9" s="1"/>
  <c r="R36" i="9"/>
  <c r="S36" i="9" s="1"/>
  <c r="AG33" i="9"/>
  <c r="AV30" i="9"/>
  <c r="R20" i="9"/>
  <c r="S20" i="9" s="1"/>
  <c r="R62" i="9"/>
  <c r="S62" i="9" s="1"/>
  <c r="AF5" i="9"/>
  <c r="AV68" i="9"/>
  <c r="AF42" i="9"/>
  <c r="AV52" i="9"/>
  <c r="R52" i="9"/>
  <c r="S52" i="9" s="1"/>
  <c r="AU22" i="9"/>
  <c r="R25" i="9"/>
  <c r="S25" i="9" s="1"/>
  <c r="AF53" i="9"/>
  <c r="R30" i="9"/>
  <c r="S30" i="9" s="1"/>
  <c r="AU43" i="9"/>
  <c r="AF15" i="9"/>
  <c r="AG59" i="9"/>
  <c r="R59" i="9"/>
  <c r="S59" i="9" s="1"/>
  <c r="R68" i="9"/>
  <c r="S68" i="9" s="1"/>
  <c r="AU25" i="9"/>
  <c r="AF16" i="9"/>
  <c r="AV39" i="9"/>
  <c r="R60" i="9"/>
  <c r="S60" i="9" s="1"/>
  <c r="AG64" i="9"/>
  <c r="AG27" i="9"/>
  <c r="R53" i="9"/>
  <c r="S53" i="9" s="1"/>
  <c r="AU36" i="9"/>
  <c r="AU57" i="9"/>
  <c r="R12" i="9"/>
  <c r="S12" i="9" s="1"/>
  <c r="AF22" i="9"/>
  <c r="R54" i="9"/>
  <c r="S54" i="9" s="1"/>
  <c r="R4" i="9"/>
  <c r="S4" i="9" s="1"/>
  <c r="R5" i="9"/>
  <c r="S5" i="9" s="1"/>
  <c r="AV14" i="9"/>
  <c r="AU7" i="9"/>
  <c r="AU54" i="9"/>
  <c r="AF24" i="9"/>
  <c r="AV5" i="9"/>
  <c r="AU5" i="9"/>
  <c r="AG10" i="9"/>
  <c r="AU53" i="9"/>
  <c r="R43" i="9"/>
  <c r="S43" i="9" s="1"/>
  <c r="AF18" i="9"/>
  <c r="AF57" i="9"/>
  <c r="AV58" i="9"/>
  <c r="R10" i="9"/>
  <c r="S10" i="9" s="1"/>
  <c r="AF31" i="9"/>
  <c r="AV60" i="9"/>
  <c r="AV46" i="9"/>
  <c r="R34" i="9"/>
  <c r="S34" i="9" s="1"/>
  <c r="S9" i="9"/>
  <c r="AU47" i="9"/>
  <c r="AF71" i="9"/>
  <c r="AG57" i="9"/>
  <c r="AF41" i="9"/>
  <c r="AU35" i="9"/>
  <c r="AV32" i="9"/>
  <c r="R29" i="9"/>
  <c r="S29" i="9" s="1"/>
  <c r="R58" i="9"/>
  <c r="S58" i="9" s="1"/>
  <c r="AV66" i="9"/>
  <c r="AU63" i="9"/>
  <c r="R7" i="9"/>
  <c r="S7" i="9" s="1"/>
  <c r="AV59" i="9"/>
  <c r="AF6" i="9"/>
  <c r="AF69" i="9"/>
  <c r="AG12" i="9"/>
  <c r="AG58" i="9"/>
  <c r="AG7" i="9"/>
  <c r="AV69" i="9"/>
  <c r="AU59" i="9"/>
  <c r="R11" i="9"/>
  <c r="S11" i="9" s="1"/>
  <c r="AV45" i="9"/>
  <c r="AG62" i="9"/>
  <c r="AV31" i="9"/>
  <c r="AF23" i="9"/>
  <c r="R6" i="9"/>
  <c r="S6" i="9" s="1"/>
  <c r="AU67" i="9"/>
  <c r="R35" i="9"/>
  <c r="S35" i="9" s="1"/>
  <c r="AU56" i="9"/>
  <c r="R47" i="9"/>
  <c r="S47" i="9" s="1"/>
  <c r="AF70" i="9"/>
  <c r="AV41" i="9"/>
  <c r="R48" i="9"/>
  <c r="S48" i="9" s="1"/>
  <c r="AF20" i="9"/>
  <c r="AU44" i="9"/>
  <c r="AV55" i="9"/>
  <c r="AG20" i="9"/>
  <c r="AF48" i="9"/>
  <c r="AF30" i="9"/>
  <c r="R69" i="9"/>
  <c r="S69" i="9" s="1"/>
  <c r="R31" i="9"/>
  <c r="S31" i="9" s="1"/>
  <c r="AF35" i="9"/>
  <c r="AU48" i="9"/>
  <c r="AG48" i="9"/>
  <c r="AV42" i="9"/>
  <c r="AF58" i="9"/>
  <c r="AV71" i="9"/>
  <c r="AF62" i="9"/>
  <c r="AG23" i="9"/>
  <c r="R64" i="9"/>
  <c r="S64" i="9" s="1"/>
  <c r="R41" i="9"/>
  <c r="S41" i="9" s="1"/>
  <c r="R37" i="9"/>
  <c r="S37" i="9" s="1"/>
  <c r="R70" i="9"/>
  <c r="S70" i="9" s="1"/>
  <c r="R8" i="9"/>
  <c r="S8" i="9" s="1"/>
  <c r="R14" i="9"/>
  <c r="S14" i="9" s="1"/>
  <c r="R71" i="9"/>
  <c r="S71" i="9" s="1"/>
  <c r="R13" i="9"/>
  <c r="S13" i="9" s="1"/>
  <c r="AG34" i="9"/>
  <c r="AU65" i="9"/>
  <c r="AV51" i="9"/>
  <c r="AU64" i="9"/>
  <c r="AV11" i="9"/>
  <c r="AG65" i="9"/>
  <c r="AV49" i="9"/>
  <c r="AG35" i="9"/>
  <c r="AU28" i="9"/>
  <c r="AF37" i="9"/>
  <c r="AF11" i="9"/>
  <c r="AG29" i="9"/>
  <c r="R24" i="9"/>
  <c r="S24" i="9" s="1"/>
  <c r="R65" i="9"/>
  <c r="S65" i="9" s="1"/>
  <c r="R19" i="9"/>
  <c r="S19" i="9" s="1"/>
  <c r="R15" i="9"/>
  <c r="S15" i="9" s="1"/>
  <c r="AF34" i="9"/>
  <c r="AG30" i="9"/>
  <c r="AG13" i="9"/>
  <c r="AF47" i="9"/>
  <c r="AU27" i="9"/>
  <c r="AF43" i="9"/>
  <c r="R42" i="9"/>
  <c r="S42" i="9" s="1"/>
  <c r="R33" i="9"/>
  <c r="S33" i="9" s="1"/>
  <c r="AU45" i="9"/>
  <c r="AU24" i="9"/>
  <c r="AU33" i="9"/>
  <c r="R63" i="9"/>
  <c r="S63" i="9" s="1"/>
  <c r="AV10" i="9"/>
  <c r="AU19" i="9"/>
  <c r="AG43" i="9"/>
  <c r="AU46" i="9"/>
  <c r="AF60" i="9"/>
  <c r="R27" i="9"/>
  <c r="S27" i="9" s="1"/>
  <c r="R22" i="9"/>
  <c r="S22" i="9" s="1"/>
  <c r="R40" i="9"/>
  <c r="S40" i="9" s="1"/>
  <c r="AG40" i="9"/>
  <c r="R51" i="9"/>
  <c r="S51" i="9" s="1"/>
  <c r="AF51" i="9"/>
  <c r="AG51" i="9"/>
  <c r="R66" i="9"/>
  <c r="S66" i="9" s="1"/>
  <c r="AF66" i="9"/>
  <c r="AG66" i="9"/>
  <c r="AF14" i="9"/>
  <c r="AV6" i="9"/>
  <c r="AU18" i="9"/>
  <c r="AV8" i="9"/>
  <c r="AG56" i="9"/>
  <c r="R28" i="9"/>
  <c r="S28" i="9" s="1"/>
  <c r="N2" i="9"/>
  <c r="R18" i="9"/>
  <c r="S18" i="9" s="1"/>
  <c r="AG21" i="9"/>
  <c r="AF8" i="9"/>
  <c r="R38" i="9"/>
  <c r="S38" i="9" s="1"/>
  <c r="R49" i="9"/>
  <c r="S49" i="9" s="1"/>
  <c r="R61" i="9"/>
  <c r="S61" i="9" s="1"/>
  <c r="R21" i="9"/>
  <c r="S21" i="9" s="1"/>
  <c r="AU40" i="9"/>
  <c r="AG49" i="9"/>
  <c r="AG28" i="9"/>
  <c r="AV34" i="9"/>
  <c r="AU38" i="9"/>
  <c r="AU23" i="9"/>
  <c r="R56" i="9"/>
  <c r="S56" i="9" s="1"/>
  <c r="AV61" i="9"/>
  <c r="AU9" i="9"/>
  <c r="AF26" i="9"/>
  <c r="AV26" i="9"/>
  <c r="AU62" i="9"/>
  <c r="AF63" i="9"/>
  <c r="AU13" i="9"/>
  <c r="AG19" i="9"/>
  <c r="AG38" i="9"/>
  <c r="AG60" i="9"/>
  <c r="M2" i="9"/>
  <c r="O72" i="9" s="1"/>
  <c r="R72" i="9" s="1"/>
  <c r="S72" i="9" s="1"/>
  <c r="AG8" i="9"/>
  <c r="R26" i="9"/>
  <c r="S26" i="9" s="1"/>
  <c r="AU15" i="9"/>
  <c r="AV36" i="9"/>
  <c r="AF61" i="9"/>
  <c r="AF52" i="9"/>
  <c r="AF40" i="9"/>
  <c r="AG52" i="9"/>
  <c r="AF54" i="9"/>
  <c r="AG54" i="9"/>
  <c r="AG9" i="9"/>
  <c r="AF9" i="9"/>
  <c r="AF32" i="9"/>
  <c r="AG61" i="9"/>
  <c r="R44" i="9"/>
  <c r="S44" i="9" s="1"/>
  <c r="AF25" i="9"/>
  <c r="R32" i="9"/>
  <c r="S32" i="9" s="1"/>
  <c r="R55" i="9"/>
  <c r="S55" i="9" s="1"/>
  <c r="R39" i="9"/>
  <c r="S39" i="9" s="1"/>
  <c r="AG25" i="9"/>
  <c r="R17" i="9"/>
  <c r="S17" i="9" s="1"/>
  <c r="R67" i="9"/>
  <c r="S67" i="9" s="1"/>
  <c r="AF67" i="9"/>
  <c r="AF39" i="9"/>
  <c r="AG44" i="9"/>
  <c r="AF55" i="9"/>
  <c r="AG17" i="9"/>
  <c r="AU4" i="9"/>
  <c r="AG4" i="9"/>
  <c r="AF4" i="9"/>
  <c r="P73" i="9" l="1"/>
  <c r="O73" i="9"/>
  <c r="R73" i="9" s="1"/>
  <c r="AV73" i="9"/>
  <c r="P75" i="9" s="1"/>
  <c r="AU73" i="9"/>
  <c r="P74" i="9" s="1"/>
  <c r="AG73" i="9"/>
  <c r="O75" i="9" s="1"/>
  <c r="AF73" i="9"/>
  <c r="O74" i="9" s="1"/>
  <c r="E5" i="6"/>
  <c r="Y3" i="7"/>
  <c r="L6" i="6"/>
  <c r="AB3" i="7"/>
  <c r="AA3" i="7"/>
  <c r="Z3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D88" i="7"/>
  <c r="G88" i="7" s="1"/>
  <c r="C88" i="7"/>
  <c r="B88" i="7"/>
  <c r="D87" i="7"/>
  <c r="G87" i="7" s="1"/>
  <c r="C87" i="7"/>
  <c r="B87" i="7"/>
  <c r="D86" i="7"/>
  <c r="G86" i="7" s="1"/>
  <c r="C86" i="7"/>
  <c r="B86" i="7"/>
  <c r="D85" i="7"/>
  <c r="G85" i="7" s="1"/>
  <c r="C85" i="7"/>
  <c r="B85" i="7"/>
  <c r="D84" i="7"/>
  <c r="G84" i="7" s="1"/>
  <c r="C84" i="7"/>
  <c r="B84" i="7"/>
  <c r="D83" i="7"/>
  <c r="G83" i="7" s="1"/>
  <c r="C83" i="7"/>
  <c r="B83" i="7"/>
  <c r="D80" i="7"/>
  <c r="G80" i="7" s="1"/>
  <c r="C80" i="7"/>
  <c r="B80" i="7"/>
  <c r="D81" i="7"/>
  <c r="G81" i="7" s="1"/>
  <c r="C81" i="7"/>
  <c r="B81" i="7"/>
  <c r="D79" i="7"/>
  <c r="G79" i="7" s="1"/>
  <c r="C79" i="7"/>
  <c r="B79" i="7"/>
  <c r="D82" i="7"/>
  <c r="G82" i="7" s="1"/>
  <c r="C82" i="7"/>
  <c r="B82" i="7"/>
  <c r="D78" i="7"/>
  <c r="G78" i="7" s="1"/>
  <c r="C78" i="7"/>
  <c r="B78" i="7"/>
  <c r="D75" i="7"/>
  <c r="G75" i="7" s="1"/>
  <c r="C75" i="7"/>
  <c r="B75" i="7"/>
  <c r="D76" i="7"/>
  <c r="G76" i="7" s="1"/>
  <c r="C76" i="7"/>
  <c r="B76" i="7"/>
  <c r="D77" i="7"/>
  <c r="G77" i="7" s="1"/>
  <c r="C77" i="7"/>
  <c r="B77" i="7"/>
  <c r="D71" i="7"/>
  <c r="G71" i="7" s="1"/>
  <c r="C71" i="7"/>
  <c r="B71" i="7"/>
  <c r="D74" i="7"/>
  <c r="G74" i="7" s="1"/>
  <c r="C74" i="7"/>
  <c r="B74" i="7"/>
  <c r="D72" i="7"/>
  <c r="G72" i="7" s="1"/>
  <c r="C72" i="7"/>
  <c r="B72" i="7"/>
  <c r="D73" i="7"/>
  <c r="G73" i="7" s="1"/>
  <c r="C73" i="7"/>
  <c r="B73" i="7"/>
  <c r="D69" i="7"/>
  <c r="G69" i="7" s="1"/>
  <c r="C69" i="7"/>
  <c r="B69" i="7"/>
  <c r="D67" i="7"/>
  <c r="G67" i="7" s="1"/>
  <c r="C67" i="7"/>
  <c r="B67" i="7"/>
  <c r="D70" i="7"/>
  <c r="G70" i="7" s="1"/>
  <c r="C70" i="7"/>
  <c r="B70" i="7"/>
  <c r="D66" i="7"/>
  <c r="G66" i="7" s="1"/>
  <c r="C66" i="7"/>
  <c r="B66" i="7"/>
  <c r="D68" i="7"/>
  <c r="G68" i="7" s="1"/>
  <c r="C68" i="7"/>
  <c r="B68" i="7"/>
  <c r="D65" i="7"/>
  <c r="G65" i="7" s="1"/>
  <c r="C65" i="7"/>
  <c r="B65" i="7"/>
  <c r="D61" i="7"/>
  <c r="G61" i="7" s="1"/>
  <c r="C61" i="7"/>
  <c r="B61" i="7"/>
  <c r="D64" i="7"/>
  <c r="G64" i="7" s="1"/>
  <c r="C64" i="7"/>
  <c r="B64" i="7"/>
  <c r="D63" i="7"/>
  <c r="G63" i="7" s="1"/>
  <c r="C63" i="7"/>
  <c r="B63" i="7"/>
  <c r="D62" i="7"/>
  <c r="G62" i="7" s="1"/>
  <c r="C62" i="7"/>
  <c r="B62" i="7"/>
  <c r="D58" i="7"/>
  <c r="G58" i="7" s="1"/>
  <c r="C58" i="7"/>
  <c r="B58" i="7"/>
  <c r="D59" i="7"/>
  <c r="G59" i="7" s="1"/>
  <c r="C59" i="7"/>
  <c r="B59" i="7"/>
  <c r="D57" i="7"/>
  <c r="G57" i="7" s="1"/>
  <c r="C57" i="7"/>
  <c r="B57" i="7"/>
  <c r="D60" i="7"/>
  <c r="G60" i="7" s="1"/>
  <c r="C60" i="7"/>
  <c r="B60" i="7"/>
  <c r="D55" i="7"/>
  <c r="G55" i="7" s="1"/>
  <c r="C55" i="7"/>
  <c r="B55" i="7"/>
  <c r="D53" i="7"/>
  <c r="G53" i="7" s="1"/>
  <c r="C53" i="7"/>
  <c r="B53" i="7"/>
  <c r="D54" i="7"/>
  <c r="G54" i="7" s="1"/>
  <c r="C54" i="7"/>
  <c r="B54" i="7"/>
  <c r="D52" i="7"/>
  <c r="G52" i="7" s="1"/>
  <c r="C52" i="7"/>
  <c r="B52" i="7"/>
  <c r="D56" i="7"/>
  <c r="G56" i="7" s="1"/>
  <c r="C56" i="7"/>
  <c r="B56" i="7"/>
  <c r="D49" i="7"/>
  <c r="G49" i="7" s="1"/>
  <c r="C49" i="7"/>
  <c r="B49" i="7"/>
  <c r="D48" i="7"/>
  <c r="G48" i="7" s="1"/>
  <c r="C48" i="7"/>
  <c r="B48" i="7"/>
  <c r="D51" i="7"/>
  <c r="G51" i="7" s="1"/>
  <c r="C51" i="7"/>
  <c r="B51" i="7"/>
  <c r="D50" i="7"/>
  <c r="G50" i="7" s="1"/>
  <c r="C50" i="7"/>
  <c r="B50" i="7"/>
  <c r="D46" i="7"/>
  <c r="G46" i="7" s="1"/>
  <c r="C46" i="7"/>
  <c r="B46" i="7"/>
  <c r="D45" i="7"/>
  <c r="G45" i="7" s="1"/>
  <c r="C45" i="7"/>
  <c r="B45" i="7"/>
  <c r="D47" i="7"/>
  <c r="G47" i="7" s="1"/>
  <c r="C47" i="7"/>
  <c r="B47" i="7"/>
  <c r="D44" i="7"/>
  <c r="G44" i="7" s="1"/>
  <c r="C44" i="7"/>
  <c r="B44" i="7"/>
  <c r="D13" i="7"/>
  <c r="G13" i="7" s="1"/>
  <c r="C13" i="7"/>
  <c r="B13" i="7"/>
  <c r="D12" i="7"/>
  <c r="G12" i="7" s="1"/>
  <c r="C12" i="7"/>
  <c r="B12" i="7"/>
  <c r="D11" i="7"/>
  <c r="G11" i="7" s="1"/>
  <c r="C11" i="7"/>
  <c r="B11" i="7"/>
  <c r="D6" i="7"/>
  <c r="G6" i="7" s="1"/>
  <c r="C6" i="7"/>
  <c r="B6" i="7"/>
  <c r="D4" i="7"/>
  <c r="G4" i="7" s="1"/>
  <c r="C4" i="7"/>
  <c r="B4" i="7"/>
  <c r="D7" i="7"/>
  <c r="G7" i="7" s="1"/>
  <c r="C7" i="7"/>
  <c r="B7" i="7"/>
  <c r="D10" i="7"/>
  <c r="G10" i="7" s="1"/>
  <c r="C10" i="7"/>
  <c r="B10" i="7"/>
  <c r="D8" i="7"/>
  <c r="G8" i="7" s="1"/>
  <c r="C8" i="7"/>
  <c r="B8" i="7"/>
  <c r="D9" i="7"/>
  <c r="G9" i="7" s="1"/>
  <c r="C9" i="7"/>
  <c r="B9" i="7"/>
  <c r="D42" i="7"/>
  <c r="G42" i="7" s="1"/>
  <c r="C42" i="7"/>
  <c r="B42" i="7"/>
  <c r="D40" i="7"/>
  <c r="G40" i="7" s="1"/>
  <c r="C40" i="7"/>
  <c r="B40" i="7"/>
  <c r="D43" i="7"/>
  <c r="G43" i="7" s="1"/>
  <c r="C43" i="7"/>
  <c r="B43" i="7"/>
  <c r="D41" i="7"/>
  <c r="G41" i="7" s="1"/>
  <c r="C41" i="7"/>
  <c r="B41" i="7"/>
  <c r="D39" i="7"/>
  <c r="G39" i="7" s="1"/>
  <c r="C39" i="7"/>
  <c r="B39" i="7"/>
  <c r="D5" i="7"/>
  <c r="G5" i="7" s="1"/>
  <c r="C5" i="7"/>
  <c r="B5" i="7"/>
  <c r="D37" i="7"/>
  <c r="G37" i="7" s="1"/>
  <c r="C37" i="7"/>
  <c r="B37" i="7"/>
  <c r="D35" i="7"/>
  <c r="G35" i="7" s="1"/>
  <c r="C35" i="7"/>
  <c r="B35" i="7"/>
  <c r="D34" i="7"/>
  <c r="G34" i="7" s="1"/>
  <c r="C34" i="7"/>
  <c r="B34" i="7"/>
  <c r="D38" i="7"/>
  <c r="G38" i="7" s="1"/>
  <c r="C38" i="7"/>
  <c r="B38" i="7"/>
  <c r="D32" i="7"/>
  <c r="G32" i="7" s="1"/>
  <c r="C32" i="7"/>
  <c r="B32" i="7"/>
  <c r="D36" i="7"/>
  <c r="G36" i="7" s="1"/>
  <c r="C36" i="7"/>
  <c r="B36" i="7"/>
  <c r="D33" i="7"/>
  <c r="G33" i="7" s="1"/>
  <c r="C33" i="7"/>
  <c r="B33" i="7"/>
  <c r="D31" i="7"/>
  <c r="G31" i="7" s="1"/>
  <c r="C31" i="7"/>
  <c r="B31" i="7"/>
  <c r="D26" i="7"/>
  <c r="G26" i="7" s="1"/>
  <c r="C26" i="7"/>
  <c r="B26" i="7"/>
  <c r="D30" i="7"/>
  <c r="G30" i="7" s="1"/>
  <c r="C30" i="7"/>
  <c r="B30" i="7"/>
  <c r="D28" i="7"/>
  <c r="G28" i="7" s="1"/>
  <c r="C28" i="7"/>
  <c r="B28" i="7"/>
  <c r="D29" i="7"/>
  <c r="G29" i="7" s="1"/>
  <c r="C29" i="7"/>
  <c r="B29" i="7"/>
  <c r="D27" i="7"/>
  <c r="G27" i="7" s="1"/>
  <c r="C27" i="7"/>
  <c r="B27" i="7"/>
  <c r="D24" i="7"/>
  <c r="G24" i="7" s="1"/>
  <c r="C24" i="7"/>
  <c r="B24" i="7"/>
  <c r="D22" i="7"/>
  <c r="G22" i="7" s="1"/>
  <c r="C22" i="7"/>
  <c r="B22" i="7"/>
  <c r="D25" i="7"/>
  <c r="G25" i="7" s="1"/>
  <c r="C25" i="7"/>
  <c r="B25" i="7"/>
  <c r="D23" i="7"/>
  <c r="G23" i="7" s="1"/>
  <c r="C23" i="7"/>
  <c r="B23" i="7"/>
  <c r="D19" i="7"/>
  <c r="G19" i="7" s="1"/>
  <c r="C19" i="7"/>
  <c r="B19" i="7"/>
  <c r="D18" i="7"/>
  <c r="G18" i="7" s="1"/>
  <c r="C18" i="7"/>
  <c r="B18" i="7"/>
  <c r="D17" i="7"/>
  <c r="G17" i="7" s="1"/>
  <c r="C17" i="7"/>
  <c r="B17" i="7"/>
  <c r="D20" i="7"/>
  <c r="G20" i="7" s="1"/>
  <c r="C20" i="7"/>
  <c r="B20" i="7"/>
  <c r="D15" i="7"/>
  <c r="G15" i="7" s="1"/>
  <c r="C15" i="7"/>
  <c r="B15" i="7"/>
  <c r="D16" i="7"/>
  <c r="G16" i="7" s="1"/>
  <c r="C16" i="7"/>
  <c r="B16" i="7"/>
  <c r="D14" i="7"/>
  <c r="G14" i="7" s="1"/>
  <c r="C14" i="7"/>
  <c r="B14" i="7"/>
  <c r="D21" i="7"/>
  <c r="G21" i="7" s="1"/>
  <c r="C21" i="7"/>
  <c r="B21" i="7"/>
  <c r="D5" i="6"/>
  <c r="L10" i="6" s="1"/>
  <c r="W6" i="7"/>
  <c r="W24" i="7"/>
  <c r="W36" i="7"/>
  <c r="W59" i="7"/>
  <c r="W23" i="7"/>
  <c r="W19" i="7"/>
  <c r="W34" i="7"/>
  <c r="W29" i="7"/>
  <c r="W37" i="7"/>
  <c r="W64" i="7"/>
  <c r="W12" i="7"/>
  <c r="W7" i="7"/>
  <c r="W26" i="7"/>
  <c r="W21" i="7"/>
  <c r="W66" i="7"/>
  <c r="W18" i="7"/>
  <c r="W44" i="7"/>
  <c r="W62" i="7"/>
  <c r="W9" i="7"/>
  <c r="W40" i="7"/>
  <c r="W10" i="7"/>
  <c r="W49" i="7"/>
  <c r="W28" i="7"/>
  <c r="W31" i="7"/>
  <c r="W69" i="7"/>
  <c r="W68" i="7"/>
  <c r="W20" i="7"/>
  <c r="W32" i="7"/>
  <c r="W43" i="7"/>
  <c r="W15" i="7"/>
  <c r="W11" i="7"/>
  <c r="W33" i="7"/>
  <c r="W65" i="7"/>
  <c r="W30" i="7"/>
  <c r="W16" i="7"/>
  <c r="W71" i="7"/>
  <c r="W42" i="7"/>
  <c r="W54" i="7"/>
  <c r="W48" i="7"/>
  <c r="W39" i="7"/>
  <c r="W67" i="7"/>
  <c r="W57" i="7"/>
  <c r="W35" i="7"/>
  <c r="W63" i="7"/>
  <c r="W38" i="7"/>
  <c r="W55" i="7"/>
  <c r="W58" i="7"/>
  <c r="W52" i="7"/>
  <c r="W47" i="7"/>
  <c r="W45" i="7"/>
  <c r="W41" i="7"/>
  <c r="W56" i="7"/>
  <c r="W51" i="7"/>
  <c r="W8" i="7"/>
  <c r="W70" i="7"/>
  <c r="W61" i="7"/>
  <c r="W22" i="7"/>
  <c r="W25" i="7"/>
  <c r="W50" i="7"/>
  <c r="W14" i="7"/>
  <c r="W13" i="7"/>
  <c r="W72" i="7"/>
  <c r="W17" i="7"/>
  <c r="W27" i="7"/>
  <c r="W60" i="7"/>
  <c r="W73" i="7"/>
  <c r="W46" i="7"/>
  <c r="W53" i="7"/>
  <c r="R74" i="9" l="1"/>
  <c r="S74" i="9" s="1"/>
  <c r="S73" i="9"/>
  <c r="AT53" i="4"/>
  <c r="AT46" i="4"/>
  <c r="AT73" i="4"/>
  <c r="AT60" i="4"/>
  <c r="AT27" i="4"/>
  <c r="AT17" i="4"/>
  <c r="AT72" i="4"/>
  <c r="AT13" i="4"/>
  <c r="AT14" i="4"/>
  <c r="AT50" i="4"/>
  <c r="AT25" i="4"/>
  <c r="AT22" i="4"/>
  <c r="AT61" i="4"/>
  <c r="AT70" i="4"/>
  <c r="AT8" i="4"/>
  <c r="AT51" i="4"/>
  <c r="AT56" i="4"/>
  <c r="AT41" i="4"/>
  <c r="AT45" i="4"/>
  <c r="AT47" i="4"/>
  <c r="AT52" i="4"/>
  <c r="AT58" i="4"/>
  <c r="AT55" i="4"/>
  <c r="AT38" i="4"/>
  <c r="AT63" i="4"/>
  <c r="AT35" i="4"/>
  <c r="AT57" i="4"/>
  <c r="AT67" i="4"/>
  <c r="AT39" i="4"/>
  <c r="AT48" i="4"/>
  <c r="AT54" i="4"/>
  <c r="AT42" i="4"/>
  <c r="AT71" i="4"/>
  <c r="AT16" i="4"/>
  <c r="AT30" i="4"/>
  <c r="AT65" i="4"/>
  <c r="AT33" i="4"/>
  <c r="AT11" i="4"/>
  <c r="AT15" i="4"/>
  <c r="AT43" i="4"/>
  <c r="AT32" i="4"/>
  <c r="AT20" i="4"/>
  <c r="AT68" i="4"/>
  <c r="AT69" i="4"/>
  <c r="AT31" i="4"/>
  <c r="AT28" i="4"/>
  <c r="AT49" i="4"/>
  <c r="AT10" i="4"/>
  <c r="AT40" i="4"/>
  <c r="AT9" i="4"/>
  <c r="AT62" i="4"/>
  <c r="AT44" i="4"/>
  <c r="AT18" i="4"/>
  <c r="AT66" i="4"/>
  <c r="AT21" i="4"/>
  <c r="AT26" i="4"/>
  <c r="AT7" i="4"/>
  <c r="AT12" i="4"/>
  <c r="AT64" i="4"/>
  <c r="AT37" i="4"/>
  <c r="AT29" i="4"/>
  <c r="AT34" i="4"/>
  <c r="AT19" i="4"/>
  <c r="AT23" i="4"/>
  <c r="AT59" i="4"/>
  <c r="AT36" i="4"/>
  <c r="AT24" i="4"/>
  <c r="AT6" i="4"/>
  <c r="K54" i="6"/>
  <c r="R75" i="9"/>
  <c r="S75" i="9" s="1"/>
  <c r="L24" i="6"/>
  <c r="J18" i="6" s="1"/>
  <c r="Y4" i="7"/>
  <c r="Z4" i="7" s="1"/>
  <c r="X14" i="7"/>
  <c r="AU14" i="4" s="1"/>
  <c r="X6" i="7"/>
  <c r="AU6" i="4" s="1"/>
  <c r="X21" i="7"/>
  <c r="AU21" i="4" s="1"/>
  <c r="X30" i="7"/>
  <c r="AU30" i="4" s="1"/>
  <c r="X37" i="7"/>
  <c r="AU37" i="4" s="1"/>
  <c r="X41" i="7"/>
  <c r="AU41" i="4" s="1"/>
  <c r="X46" i="7"/>
  <c r="AU46" i="4" s="1"/>
  <c r="X27" i="7"/>
  <c r="AU27" i="4" s="1"/>
  <c r="X35" i="7"/>
  <c r="AU35" i="4" s="1"/>
  <c r="X50" i="7"/>
  <c r="AU50" i="4" s="1"/>
  <c r="X54" i="7"/>
  <c r="AU54" i="4" s="1"/>
  <c r="X65" i="7"/>
  <c r="AU65" i="4" s="1"/>
  <c r="X29" i="7"/>
  <c r="AU29" i="4" s="1"/>
  <c r="X69" i="7"/>
  <c r="AU69" i="4" s="1"/>
  <c r="X49" i="7"/>
  <c r="AU49" i="4" s="1"/>
  <c r="X9" i="7"/>
  <c r="AU9" i="4" s="1"/>
  <c r="X18" i="7"/>
  <c r="AU18" i="4" s="1"/>
  <c r="X25" i="7"/>
  <c r="AU25" i="4" s="1"/>
  <c r="X26" i="7"/>
  <c r="AU26" i="4" s="1"/>
  <c r="X33" i="7"/>
  <c r="AU33" i="4" s="1"/>
  <c r="X34" i="7"/>
  <c r="AU34" i="4" s="1"/>
  <c r="X53" i="7"/>
  <c r="AU53" i="4" s="1"/>
  <c r="X58" i="7"/>
  <c r="AU58" i="4" s="1"/>
  <c r="X38" i="7"/>
  <c r="AU38" i="4" s="1"/>
  <c r="X13" i="7"/>
  <c r="AU13" i="4" s="1"/>
  <c r="X22" i="7"/>
  <c r="AU22" i="4" s="1"/>
  <c r="X42" i="7"/>
  <c r="AU42" i="4" s="1"/>
  <c r="X11" i="7"/>
  <c r="AU11" i="4" s="1"/>
  <c r="X19" i="7"/>
  <c r="AU19" i="4" s="1"/>
  <c r="X45" i="7"/>
  <c r="AU45" i="4" s="1"/>
  <c r="X10" i="7"/>
  <c r="AU10" i="4" s="1"/>
  <c r="X17" i="7"/>
  <c r="AU17" i="4" s="1"/>
  <c r="X57" i="7"/>
  <c r="AU57" i="4" s="1"/>
  <c r="X61" i="7"/>
  <c r="AU61" i="4" s="1"/>
  <c r="X7" i="7"/>
  <c r="AU7" i="4" s="1"/>
  <c r="X15" i="7"/>
  <c r="AU15" i="4" s="1"/>
  <c r="X23" i="7"/>
  <c r="AU23" i="4" s="1"/>
  <c r="X31" i="7"/>
  <c r="AU31" i="4" s="1"/>
  <c r="X73" i="7"/>
  <c r="AU73" i="4" s="1"/>
  <c r="X62" i="7"/>
  <c r="AU62" i="4" s="1"/>
  <c r="X66" i="7"/>
  <c r="AU66" i="4" s="1"/>
  <c r="X70" i="7"/>
  <c r="AU70" i="4" s="1"/>
  <c r="X71" i="7"/>
  <c r="AU71" i="4" s="1"/>
  <c r="X43" i="7"/>
  <c r="AU43" i="4" s="1"/>
  <c r="X59" i="7"/>
  <c r="AU59" i="4" s="1"/>
  <c r="X47" i="7"/>
  <c r="AU47" i="4" s="1"/>
  <c r="X55" i="7"/>
  <c r="AU55" i="4" s="1"/>
  <c r="X63" i="7"/>
  <c r="AU63" i="4" s="1"/>
  <c r="X67" i="7"/>
  <c r="AU67" i="4" s="1"/>
  <c r="X8" i="7"/>
  <c r="AU8" i="4" s="1"/>
  <c r="X12" i="7"/>
  <c r="AU12" i="4" s="1"/>
  <c r="X32" i="7"/>
  <c r="AU32" i="4" s="1"/>
  <c r="X36" i="7"/>
  <c r="AU36" i="4" s="1"/>
  <c r="X52" i="7"/>
  <c r="AU52" i="4" s="1"/>
  <c r="X60" i="7"/>
  <c r="AU60" i="4" s="1"/>
  <c r="X72" i="7"/>
  <c r="AU72" i="4" s="1"/>
  <c r="X39" i="7"/>
  <c r="AU39" i="4" s="1"/>
  <c r="X51" i="7"/>
  <c r="AU51" i="4" s="1"/>
  <c r="X16" i="7"/>
  <c r="AU16" i="4" s="1"/>
  <c r="X20" i="7"/>
  <c r="AU20" i="4" s="1"/>
  <c r="X24" i="7"/>
  <c r="AU24" i="4" s="1"/>
  <c r="X28" i="7"/>
  <c r="AU28" i="4" s="1"/>
  <c r="X40" i="7"/>
  <c r="AU40" i="4" s="1"/>
  <c r="X44" i="7"/>
  <c r="AU44" i="4" s="1"/>
  <c r="X48" i="7"/>
  <c r="AU48" i="4" s="1"/>
  <c r="X56" i="7"/>
  <c r="AU56" i="4" s="1"/>
  <c r="X64" i="7"/>
  <c r="AU64" i="4" s="1"/>
  <c r="X68" i="7"/>
  <c r="AU68" i="4" s="1"/>
  <c r="S78" i="9" l="1"/>
  <c r="T72" i="9" s="1"/>
  <c r="J7" i="6"/>
  <c r="J15" i="6"/>
  <c r="J23" i="6"/>
  <c r="J31" i="6"/>
  <c r="J39" i="6"/>
  <c r="J47" i="6"/>
  <c r="J26" i="6"/>
  <c r="J34" i="6"/>
  <c r="J27" i="6"/>
  <c r="J28" i="6"/>
  <c r="J8" i="6"/>
  <c r="J16" i="6"/>
  <c r="J24" i="6"/>
  <c r="J32" i="6"/>
  <c r="J40" i="6"/>
  <c r="J6" i="6"/>
  <c r="J20" i="6"/>
  <c r="J9" i="6"/>
  <c r="J17" i="6"/>
  <c r="J25" i="6"/>
  <c r="J33" i="6"/>
  <c r="J41" i="6"/>
  <c r="J42" i="6"/>
  <c r="J19" i="6"/>
  <c r="J35" i="6"/>
  <c r="J43" i="6"/>
  <c r="J36" i="6"/>
  <c r="J44" i="6"/>
  <c r="J10" i="6"/>
  <c r="J11" i="6"/>
  <c r="J12" i="6"/>
  <c r="J13" i="6"/>
  <c r="J21" i="6"/>
  <c r="J29" i="6"/>
  <c r="J37" i="6"/>
  <c r="J45" i="6"/>
  <c r="J22" i="6"/>
  <c r="J14" i="6"/>
  <c r="J30" i="6"/>
  <c r="J38" i="6"/>
  <c r="J46" i="6"/>
  <c r="Z6" i="7"/>
  <c r="Y6" i="7"/>
  <c r="AA6" i="7" s="1"/>
  <c r="BJ6" i="4" s="1"/>
  <c r="Z44" i="7"/>
  <c r="AB44" i="7" s="1"/>
  <c r="AW44" i="4" s="1"/>
  <c r="Y44" i="7"/>
  <c r="AA44" i="7" s="1"/>
  <c r="BJ44" i="4" s="1"/>
  <c r="Z72" i="7"/>
  <c r="AB72" i="7" s="1"/>
  <c r="AW72" i="4" s="1"/>
  <c r="Y72" i="7"/>
  <c r="AA72" i="7" s="1"/>
  <c r="BJ72" i="4" s="1"/>
  <c r="Z63" i="7"/>
  <c r="AB63" i="7" s="1"/>
  <c r="AW63" i="4" s="1"/>
  <c r="Y63" i="7"/>
  <c r="AA63" i="7" s="1"/>
  <c r="BJ63" i="4" s="1"/>
  <c r="Z62" i="7"/>
  <c r="AB62" i="7" s="1"/>
  <c r="AW62" i="4" s="1"/>
  <c r="Y62" i="7"/>
  <c r="AA62" i="7" s="1"/>
  <c r="BJ62" i="4" s="1"/>
  <c r="Z17" i="7"/>
  <c r="AB17" i="7" s="1"/>
  <c r="AW17" i="4" s="1"/>
  <c r="Y17" i="7"/>
  <c r="AA17" i="7" s="1"/>
  <c r="BJ17" i="4" s="1"/>
  <c r="Y38" i="7"/>
  <c r="AA38" i="7" s="1"/>
  <c r="BJ38" i="4" s="1"/>
  <c r="Z38" i="7"/>
  <c r="AB38" i="7" s="1"/>
  <c r="AW38" i="4" s="1"/>
  <c r="Z9" i="7"/>
  <c r="AB9" i="7" s="1"/>
  <c r="AW9" i="4" s="1"/>
  <c r="Y9" i="7"/>
  <c r="AA9" i="7" s="1"/>
  <c r="BJ9" i="4" s="1"/>
  <c r="Z27" i="7"/>
  <c r="AB27" i="7" s="1"/>
  <c r="AW27" i="4" s="1"/>
  <c r="Y27" i="7"/>
  <c r="AA27" i="7" s="1"/>
  <c r="BJ27" i="4" s="1"/>
  <c r="Y40" i="7"/>
  <c r="AA40" i="7" s="1"/>
  <c r="BJ40" i="4" s="1"/>
  <c r="Z40" i="7"/>
  <c r="AB40" i="7" s="1"/>
  <c r="AW40" i="4" s="1"/>
  <c r="Z55" i="7"/>
  <c r="AB55" i="7" s="1"/>
  <c r="AW55" i="4" s="1"/>
  <c r="Y55" i="7"/>
  <c r="AA55" i="7" s="1"/>
  <c r="BJ55" i="4" s="1"/>
  <c r="Z10" i="7"/>
  <c r="AB10" i="7" s="1"/>
  <c r="AW10" i="4" s="1"/>
  <c r="Y10" i="7"/>
  <c r="AA10" i="7" s="1"/>
  <c r="BJ10" i="4" s="1"/>
  <c r="Z49" i="7"/>
  <c r="AB49" i="7" s="1"/>
  <c r="AW49" i="4" s="1"/>
  <c r="Y49" i="7"/>
  <c r="AA49" i="7" s="1"/>
  <c r="BJ49" i="4" s="1"/>
  <c r="Z28" i="7"/>
  <c r="AB28" i="7" s="1"/>
  <c r="AW28" i="4" s="1"/>
  <c r="Y28" i="7"/>
  <c r="AA28" i="7" s="1"/>
  <c r="BJ28" i="4" s="1"/>
  <c r="Z47" i="7"/>
  <c r="AB47" i="7" s="1"/>
  <c r="AW47" i="4" s="1"/>
  <c r="Y47" i="7"/>
  <c r="AA47" i="7" s="1"/>
  <c r="BJ47" i="4" s="1"/>
  <c r="Z45" i="7"/>
  <c r="AB45" i="7" s="1"/>
  <c r="AW45" i="4" s="1"/>
  <c r="Y45" i="7"/>
  <c r="AA45" i="7" s="1"/>
  <c r="BJ45" i="4" s="1"/>
  <c r="Z69" i="7"/>
  <c r="AB69" i="7" s="1"/>
  <c r="AW69" i="4" s="1"/>
  <c r="Y69" i="7"/>
  <c r="AA69" i="7" s="1"/>
  <c r="BJ69" i="4" s="1"/>
  <c r="Z36" i="7"/>
  <c r="AB36" i="7" s="1"/>
  <c r="AW36" i="4" s="1"/>
  <c r="Y36" i="7"/>
  <c r="AA36" i="7" s="1"/>
  <c r="BJ36" i="4" s="1"/>
  <c r="Z23" i="7"/>
  <c r="AB23" i="7" s="1"/>
  <c r="AW23" i="4" s="1"/>
  <c r="Y23" i="7"/>
  <c r="AA23" i="7" s="1"/>
  <c r="BJ23" i="4" s="1"/>
  <c r="Z34" i="7"/>
  <c r="AB34" i="7" s="1"/>
  <c r="AW34" i="4" s="1"/>
  <c r="Y34" i="7"/>
  <c r="AA34" i="7" s="1"/>
  <c r="BJ34" i="4" s="1"/>
  <c r="Z37" i="7"/>
  <c r="AB37" i="7" s="1"/>
  <c r="AW37" i="4" s="1"/>
  <c r="Y37" i="7"/>
  <c r="AA37" i="7" s="1"/>
  <c r="BJ37" i="4" s="1"/>
  <c r="Z20" i="7"/>
  <c r="AB20" i="7" s="1"/>
  <c r="AW20" i="4" s="1"/>
  <c r="Y20" i="7"/>
  <c r="AA20" i="7" s="1"/>
  <c r="BJ20" i="4" s="1"/>
  <c r="Z43" i="7"/>
  <c r="AB43" i="7" s="1"/>
  <c r="AW43" i="4" s="1"/>
  <c r="Y43" i="7"/>
  <c r="AA43" i="7" s="1"/>
  <c r="BJ43" i="4" s="1"/>
  <c r="Z11" i="7"/>
  <c r="AB11" i="7" s="1"/>
  <c r="AW11" i="4" s="1"/>
  <c r="Y11" i="7"/>
  <c r="AA11" i="7" s="1"/>
  <c r="BJ11" i="4" s="1"/>
  <c r="Z65" i="7"/>
  <c r="AB65" i="7" s="1"/>
  <c r="AW65" i="4" s="1"/>
  <c r="Y65" i="7"/>
  <c r="AA65" i="7" s="1"/>
  <c r="BJ65" i="4" s="1"/>
  <c r="Z16" i="7"/>
  <c r="AB16" i="7" s="1"/>
  <c r="AW16" i="4" s="1"/>
  <c r="Y16" i="7"/>
  <c r="AA16" i="7" s="1"/>
  <c r="BJ16" i="4" s="1"/>
  <c r="Z71" i="7"/>
  <c r="AB71" i="7" s="1"/>
  <c r="AW71" i="4" s="1"/>
  <c r="Y71" i="7"/>
  <c r="AA71" i="7" s="1"/>
  <c r="BJ71" i="4" s="1"/>
  <c r="Y42" i="7"/>
  <c r="AA42" i="7" s="1"/>
  <c r="BJ42" i="4" s="1"/>
  <c r="Z42" i="7"/>
  <c r="AB42" i="7" s="1"/>
  <c r="AW42" i="4" s="1"/>
  <c r="Z54" i="7"/>
  <c r="AB54" i="7" s="1"/>
  <c r="AW54" i="4" s="1"/>
  <c r="Y54" i="7"/>
  <c r="AA54" i="7" s="1"/>
  <c r="BJ54" i="4" s="1"/>
  <c r="Y56" i="7"/>
  <c r="AA56" i="7" s="1"/>
  <c r="BJ56" i="4" s="1"/>
  <c r="Z56" i="7"/>
  <c r="AB56" i="7" s="1"/>
  <c r="AW56" i="4" s="1"/>
  <c r="Z51" i="7"/>
  <c r="AB51" i="7" s="1"/>
  <c r="AW51" i="4" s="1"/>
  <c r="Y51" i="7"/>
  <c r="AA51" i="7" s="1"/>
  <c r="BJ51" i="4" s="1"/>
  <c r="Z8" i="7"/>
  <c r="AB8" i="7" s="1"/>
  <c r="AW8" i="4" s="1"/>
  <c r="Y8" i="7"/>
  <c r="AA8" i="7" s="1"/>
  <c r="BJ8" i="4" s="1"/>
  <c r="Z70" i="7"/>
  <c r="AB70" i="7" s="1"/>
  <c r="AW70" i="4" s="1"/>
  <c r="Y70" i="7"/>
  <c r="AA70" i="7" s="1"/>
  <c r="BJ70" i="4" s="1"/>
  <c r="Z61" i="7"/>
  <c r="AB61" i="7" s="1"/>
  <c r="AW61" i="4" s="1"/>
  <c r="Y61" i="7"/>
  <c r="AA61" i="7" s="1"/>
  <c r="BJ61" i="4" s="1"/>
  <c r="Z22" i="7"/>
  <c r="AB22" i="7" s="1"/>
  <c r="AW22" i="4" s="1"/>
  <c r="Y22" i="7"/>
  <c r="AA22" i="7" s="1"/>
  <c r="BJ22" i="4" s="1"/>
  <c r="Z25" i="7"/>
  <c r="AB25" i="7" s="1"/>
  <c r="AW25" i="4" s="1"/>
  <c r="Y25" i="7"/>
  <c r="AA25" i="7" s="1"/>
  <c r="BJ25" i="4" s="1"/>
  <c r="Z50" i="7"/>
  <c r="AB50" i="7" s="1"/>
  <c r="AW50" i="4" s="1"/>
  <c r="Y50" i="7"/>
  <c r="AA50" i="7" s="1"/>
  <c r="BJ50" i="4" s="1"/>
  <c r="AB6" i="7"/>
  <c r="AW6" i="4" s="1"/>
  <c r="Z60" i="7"/>
  <c r="AB60" i="7" s="1"/>
  <c r="AW60" i="4" s="1"/>
  <c r="Y60" i="7"/>
  <c r="AA60" i="7" s="1"/>
  <c r="BJ60" i="4" s="1"/>
  <c r="Z73" i="7"/>
  <c r="AB73" i="7" s="1"/>
  <c r="AW73" i="4" s="1"/>
  <c r="Y73" i="7"/>
  <c r="AA73" i="7" s="1"/>
  <c r="BJ73" i="4" s="1"/>
  <c r="Y58" i="7"/>
  <c r="AA58" i="7" s="1"/>
  <c r="BJ58" i="4" s="1"/>
  <c r="Z58" i="7"/>
  <c r="AB58" i="7" s="1"/>
  <c r="AW58" i="4" s="1"/>
  <c r="Z46" i="7"/>
  <c r="AB46" i="7" s="1"/>
  <c r="AW46" i="4" s="1"/>
  <c r="Y46" i="7"/>
  <c r="AA46" i="7" s="1"/>
  <c r="BJ46" i="4" s="1"/>
  <c r="Z52" i="7"/>
  <c r="AB52" i="7" s="1"/>
  <c r="AW52" i="4" s="1"/>
  <c r="Y52" i="7"/>
  <c r="AA52" i="7" s="1"/>
  <c r="BJ52" i="4" s="1"/>
  <c r="Z31" i="7"/>
  <c r="AB31" i="7" s="1"/>
  <c r="AW31" i="4" s="1"/>
  <c r="Y31" i="7"/>
  <c r="AA31" i="7" s="1"/>
  <c r="BJ31" i="4" s="1"/>
  <c r="Z53" i="7"/>
  <c r="AB53" i="7" s="1"/>
  <c r="AW53" i="4" s="1"/>
  <c r="Y53" i="7"/>
  <c r="AA53" i="7" s="1"/>
  <c r="BJ53" i="4" s="1"/>
  <c r="Z41" i="7"/>
  <c r="AB41" i="7" s="1"/>
  <c r="AW41" i="4" s="1"/>
  <c r="Y41" i="7"/>
  <c r="AA41" i="7" s="1"/>
  <c r="BJ41" i="4" s="1"/>
  <c r="Z24" i="7"/>
  <c r="AB24" i="7" s="1"/>
  <c r="AW24" i="4" s="1"/>
  <c r="Y24" i="7"/>
  <c r="AA24" i="7" s="1"/>
  <c r="BJ24" i="4" s="1"/>
  <c r="Z59" i="7"/>
  <c r="AB59" i="7" s="1"/>
  <c r="AW59" i="4" s="1"/>
  <c r="Y59" i="7"/>
  <c r="AA59" i="7" s="1"/>
  <c r="BJ59" i="4" s="1"/>
  <c r="Z19" i="7"/>
  <c r="AB19" i="7" s="1"/>
  <c r="AW19" i="4" s="1"/>
  <c r="Y19" i="7"/>
  <c r="AA19" i="7" s="1"/>
  <c r="BJ19" i="4" s="1"/>
  <c r="Z29" i="7"/>
  <c r="AB29" i="7" s="1"/>
  <c r="AW29" i="4" s="1"/>
  <c r="Y29" i="7"/>
  <c r="AA29" i="7" s="1"/>
  <c r="BJ29" i="4" s="1"/>
  <c r="Z68" i="7"/>
  <c r="AB68" i="7" s="1"/>
  <c r="AW68" i="4" s="1"/>
  <c r="Y68" i="7"/>
  <c r="AA68" i="7" s="1"/>
  <c r="BJ68" i="4" s="1"/>
  <c r="Z32" i="7"/>
  <c r="AB32" i="7" s="1"/>
  <c r="AW32" i="4" s="1"/>
  <c r="Y32" i="7"/>
  <c r="AA32" i="7" s="1"/>
  <c r="BJ32" i="4" s="1"/>
  <c r="Z15" i="7"/>
  <c r="AB15" i="7" s="1"/>
  <c r="AW15" i="4" s="1"/>
  <c r="Y15" i="7"/>
  <c r="AA15" i="7" s="1"/>
  <c r="BJ15" i="4" s="1"/>
  <c r="Z33" i="7"/>
  <c r="AB33" i="7" s="1"/>
  <c r="AW33" i="4" s="1"/>
  <c r="Y33" i="7"/>
  <c r="AA33" i="7" s="1"/>
  <c r="BJ33" i="4" s="1"/>
  <c r="Z30" i="7"/>
  <c r="AB30" i="7" s="1"/>
  <c r="AW30" i="4" s="1"/>
  <c r="Y30" i="7"/>
  <c r="AA30" i="7" s="1"/>
  <c r="BJ30" i="4" s="1"/>
  <c r="Z64" i="7"/>
  <c r="AB64" i="7" s="1"/>
  <c r="AW64" i="4" s="1"/>
  <c r="Y64" i="7"/>
  <c r="AA64" i="7" s="1"/>
  <c r="BJ64" i="4" s="1"/>
  <c r="Z12" i="7"/>
  <c r="AB12" i="7" s="1"/>
  <c r="AW12" i="4" s="1"/>
  <c r="Y12" i="7"/>
  <c r="AA12" i="7" s="1"/>
  <c r="BJ12" i="4" s="1"/>
  <c r="Z7" i="7"/>
  <c r="AB7" i="7" s="1"/>
  <c r="AW7" i="4" s="1"/>
  <c r="Y7" i="7"/>
  <c r="AA7" i="7" s="1"/>
  <c r="BJ7" i="4" s="1"/>
  <c r="Z26" i="7"/>
  <c r="AB26" i="7" s="1"/>
  <c r="AW26" i="4" s="1"/>
  <c r="Y26" i="7"/>
  <c r="AA26" i="7" s="1"/>
  <c r="BJ26" i="4" s="1"/>
  <c r="Z21" i="7"/>
  <c r="AB21" i="7" s="1"/>
  <c r="AW21" i="4" s="1"/>
  <c r="Y21" i="7"/>
  <c r="AA21" i="7" s="1"/>
  <c r="BJ21" i="4" s="1"/>
  <c r="Z48" i="7"/>
  <c r="AB48" i="7" s="1"/>
  <c r="AW48" i="4" s="1"/>
  <c r="Y48" i="7"/>
  <c r="AA48" i="7" s="1"/>
  <c r="BJ48" i="4" s="1"/>
  <c r="Z39" i="7"/>
  <c r="AB39" i="7" s="1"/>
  <c r="AW39" i="4" s="1"/>
  <c r="Y39" i="7"/>
  <c r="AA39" i="7" s="1"/>
  <c r="BJ39" i="4" s="1"/>
  <c r="Z67" i="7"/>
  <c r="AB67" i="7" s="1"/>
  <c r="AW67" i="4" s="1"/>
  <c r="Y67" i="7"/>
  <c r="AA67" i="7" s="1"/>
  <c r="BJ67" i="4" s="1"/>
  <c r="Z66" i="7"/>
  <c r="AB66" i="7" s="1"/>
  <c r="AW66" i="4" s="1"/>
  <c r="Y66" i="7"/>
  <c r="AA66" i="7" s="1"/>
  <c r="BJ66" i="4" s="1"/>
  <c r="Z57" i="7"/>
  <c r="AB57" i="7" s="1"/>
  <c r="AW57" i="4" s="1"/>
  <c r="Y57" i="7"/>
  <c r="AA57" i="7" s="1"/>
  <c r="BJ57" i="4" s="1"/>
  <c r="Z13" i="7"/>
  <c r="AB13" i="7" s="1"/>
  <c r="AW13" i="4" s="1"/>
  <c r="Y13" i="7"/>
  <c r="AA13" i="7" s="1"/>
  <c r="BJ13" i="4" s="1"/>
  <c r="Z18" i="7"/>
  <c r="AB18" i="7" s="1"/>
  <c r="AW18" i="4" s="1"/>
  <c r="Y18" i="7"/>
  <c r="AA18" i="7" s="1"/>
  <c r="BJ18" i="4" s="1"/>
  <c r="Z35" i="7"/>
  <c r="AB35" i="7" s="1"/>
  <c r="AW35" i="4" s="1"/>
  <c r="Y35" i="7"/>
  <c r="AA35" i="7" s="1"/>
  <c r="BJ35" i="4" s="1"/>
  <c r="Z14" i="7"/>
  <c r="AB14" i="7" s="1"/>
  <c r="AW14" i="4" s="1"/>
  <c r="Y14" i="7"/>
  <c r="AA14" i="7" s="1"/>
  <c r="BJ14" i="4" s="1"/>
  <c r="T75" i="9" l="1"/>
  <c r="T74" i="9"/>
  <c r="T73" i="9"/>
  <c r="L72" i="8"/>
  <c r="BX73" i="4"/>
  <c r="J24" i="8"/>
  <c r="BW25" i="4"/>
  <c r="J7" i="8"/>
  <c r="BW8" i="4"/>
  <c r="L41" i="8"/>
  <c r="BX42" i="4"/>
  <c r="J10" i="8"/>
  <c r="BW11" i="4"/>
  <c r="J33" i="8"/>
  <c r="BW34" i="4"/>
  <c r="BW45" i="4"/>
  <c r="J44" i="8"/>
  <c r="AW3" i="4"/>
  <c r="J9" i="8"/>
  <c r="BW10" i="4"/>
  <c r="J8" i="8"/>
  <c r="BW9" i="4"/>
  <c r="J62" i="8"/>
  <c r="BW63" i="4"/>
  <c r="L20" i="8"/>
  <c r="BX21" i="4"/>
  <c r="L63" i="8"/>
  <c r="BX64" i="4"/>
  <c r="L31" i="8"/>
  <c r="BX32" i="4"/>
  <c r="L58" i="8"/>
  <c r="BX59" i="4"/>
  <c r="L30" i="8"/>
  <c r="BX31" i="4"/>
  <c r="J34" i="8"/>
  <c r="BW35" i="4"/>
  <c r="J65" i="8"/>
  <c r="BW66" i="4"/>
  <c r="BW21" i="4"/>
  <c r="J20" i="8"/>
  <c r="J63" i="8"/>
  <c r="BW64" i="4"/>
  <c r="J31" i="8"/>
  <c r="BW32" i="4"/>
  <c r="J58" i="8"/>
  <c r="BW59" i="4"/>
  <c r="J30" i="8"/>
  <c r="BW31" i="4"/>
  <c r="J72" i="8"/>
  <c r="BW73" i="4"/>
  <c r="L21" i="8"/>
  <c r="BX22" i="4"/>
  <c r="L50" i="8"/>
  <c r="BX51" i="4"/>
  <c r="L70" i="8"/>
  <c r="BX71" i="4"/>
  <c r="L42" i="8"/>
  <c r="BX43" i="4"/>
  <c r="L22" i="8"/>
  <c r="BX23" i="4"/>
  <c r="L46" i="8"/>
  <c r="BX47" i="4"/>
  <c r="L54" i="8"/>
  <c r="BX55" i="4"/>
  <c r="J37" i="8"/>
  <c r="BW38" i="4"/>
  <c r="L71" i="8"/>
  <c r="BX72" i="4"/>
  <c r="L67" i="8"/>
  <c r="BX68" i="4"/>
  <c r="J22" i="8"/>
  <c r="BW23" i="4"/>
  <c r="J46" i="8"/>
  <c r="BW47" i="4"/>
  <c r="J54" i="8"/>
  <c r="BW55" i="4"/>
  <c r="L37" i="8"/>
  <c r="BX38" i="4"/>
  <c r="J71" i="8"/>
  <c r="BW72" i="4"/>
  <c r="J21" i="8"/>
  <c r="BW22" i="4"/>
  <c r="J70" i="8"/>
  <c r="BW71" i="4"/>
  <c r="J66" i="8"/>
  <c r="BW67" i="4"/>
  <c r="J25" i="8"/>
  <c r="BW26" i="4"/>
  <c r="J29" i="8"/>
  <c r="BW30" i="4"/>
  <c r="J67" i="8"/>
  <c r="BW68" i="4"/>
  <c r="J23" i="8"/>
  <c r="BW24" i="4"/>
  <c r="J51" i="8"/>
  <c r="BW52" i="4"/>
  <c r="J59" i="8"/>
  <c r="BW60" i="4"/>
  <c r="L60" i="8"/>
  <c r="BX61" i="4"/>
  <c r="J55" i="8"/>
  <c r="BW56" i="4"/>
  <c r="L15" i="8"/>
  <c r="BX16" i="4"/>
  <c r="L19" i="8"/>
  <c r="BX20" i="4"/>
  <c r="L35" i="8"/>
  <c r="BX36" i="4"/>
  <c r="L27" i="8"/>
  <c r="BX28" i="4"/>
  <c r="J39" i="8"/>
  <c r="BW40" i="4"/>
  <c r="L16" i="8"/>
  <c r="BX17" i="4"/>
  <c r="L43" i="8"/>
  <c r="BX44" i="4"/>
  <c r="L66" i="8"/>
  <c r="BX67" i="4"/>
  <c r="L23" i="8"/>
  <c r="BX24" i="4"/>
  <c r="L51" i="8"/>
  <c r="BX52" i="4"/>
  <c r="L59" i="8"/>
  <c r="BX60" i="4"/>
  <c r="J50" i="8"/>
  <c r="BW51" i="4"/>
  <c r="J42" i="8"/>
  <c r="BW43" i="4"/>
  <c r="J17" i="8"/>
  <c r="BW18" i="4"/>
  <c r="L12" i="8"/>
  <c r="BX13" i="4"/>
  <c r="L39" i="8"/>
  <c r="BX40" i="4"/>
  <c r="J16" i="8"/>
  <c r="BW17" i="4"/>
  <c r="J43" i="8"/>
  <c r="BW44" i="4"/>
  <c r="L17" i="8"/>
  <c r="BX18" i="4"/>
  <c r="BW29" i="4"/>
  <c r="J28" i="8"/>
  <c r="J45" i="8"/>
  <c r="BW46" i="4"/>
  <c r="L48" i="8"/>
  <c r="BX49" i="4"/>
  <c r="L26" i="8"/>
  <c r="BX27" i="4"/>
  <c r="L61" i="8"/>
  <c r="BX62" i="4"/>
  <c r="L5" i="8"/>
  <c r="BX6" i="4"/>
  <c r="L65" i="8"/>
  <c r="BX66" i="4"/>
  <c r="L25" i="8"/>
  <c r="BX26" i="4"/>
  <c r="L38" i="8"/>
  <c r="BX39" i="4"/>
  <c r="L6" i="8"/>
  <c r="BX7" i="4"/>
  <c r="L32" i="8"/>
  <c r="BX33" i="4"/>
  <c r="L28" i="8"/>
  <c r="BX29" i="4"/>
  <c r="L40" i="8"/>
  <c r="BX41" i="4"/>
  <c r="L45" i="8"/>
  <c r="BX46" i="4"/>
  <c r="J5" i="8"/>
  <c r="BW6" i="4"/>
  <c r="BW61" i="4"/>
  <c r="J60" i="8"/>
  <c r="L55" i="8"/>
  <c r="BX56" i="4"/>
  <c r="J15" i="8"/>
  <c r="BW16" i="4"/>
  <c r="J19" i="8"/>
  <c r="BW20" i="4"/>
  <c r="J35" i="8"/>
  <c r="BW36" i="4"/>
  <c r="J27" i="8"/>
  <c r="BW28" i="4"/>
  <c r="BW13" i="4"/>
  <c r="J12" i="8"/>
  <c r="J38" i="8"/>
  <c r="BW39" i="4"/>
  <c r="J6" i="8"/>
  <c r="BW7" i="4"/>
  <c r="J32" i="8"/>
  <c r="BW33" i="4"/>
  <c r="J40" i="8"/>
  <c r="BW41" i="4"/>
  <c r="L11" i="8"/>
  <c r="BX12" i="4"/>
  <c r="L14" i="8"/>
  <c r="BX15" i="4"/>
  <c r="L18" i="8"/>
  <c r="BX19" i="4"/>
  <c r="L52" i="8"/>
  <c r="BX53" i="4"/>
  <c r="J69" i="8"/>
  <c r="BW70" i="4"/>
  <c r="J53" i="8"/>
  <c r="BW54" i="4"/>
  <c r="J64" i="8"/>
  <c r="BW65" i="4"/>
  <c r="BW37" i="4"/>
  <c r="J36" i="8"/>
  <c r="BW69" i="4"/>
  <c r="J68" i="8"/>
  <c r="J48" i="8"/>
  <c r="BW49" i="4"/>
  <c r="J26" i="8"/>
  <c r="BW27" i="4"/>
  <c r="J61" i="8"/>
  <c r="BW62" i="4"/>
  <c r="L34" i="8"/>
  <c r="BX35" i="4"/>
  <c r="L29" i="8"/>
  <c r="BX30" i="4"/>
  <c r="L49" i="8"/>
  <c r="BX50" i="4"/>
  <c r="L69" i="8"/>
  <c r="BX70" i="4"/>
  <c r="L53" i="8"/>
  <c r="BX54" i="4"/>
  <c r="L64" i="8"/>
  <c r="BX65" i="4"/>
  <c r="L36" i="8"/>
  <c r="BX37" i="4"/>
  <c r="L68" i="8"/>
  <c r="BX69" i="4"/>
  <c r="L13" i="8"/>
  <c r="BX14" i="4"/>
  <c r="L56" i="8"/>
  <c r="BX57" i="4"/>
  <c r="L47" i="8"/>
  <c r="BX48" i="4"/>
  <c r="J57" i="8"/>
  <c r="BW58" i="4"/>
  <c r="J49" i="8"/>
  <c r="BW50" i="4"/>
  <c r="J13" i="8"/>
  <c r="BW14" i="4"/>
  <c r="J56" i="8"/>
  <c r="BW57" i="4"/>
  <c r="J47" i="8"/>
  <c r="BW48" i="4"/>
  <c r="J11" i="8"/>
  <c r="BW12" i="4"/>
  <c r="J14" i="8"/>
  <c r="BW15" i="4"/>
  <c r="J18" i="8"/>
  <c r="BW19" i="4"/>
  <c r="BW53" i="4"/>
  <c r="J52" i="8"/>
  <c r="L57" i="8"/>
  <c r="BX58" i="4"/>
  <c r="L24" i="8"/>
  <c r="BX25" i="4"/>
  <c r="L7" i="8"/>
  <c r="BX8" i="4"/>
  <c r="J41" i="8"/>
  <c r="BW42" i="4"/>
  <c r="L10" i="8"/>
  <c r="BX11" i="4"/>
  <c r="L33" i="8"/>
  <c r="BX34" i="4"/>
  <c r="L44" i="8"/>
  <c r="BX45" i="4"/>
  <c r="BJ3" i="4"/>
  <c r="L9" i="8"/>
  <c r="BX10" i="4"/>
  <c r="L8" i="8"/>
  <c r="BX9" i="4"/>
  <c r="L62" i="8"/>
  <c r="BX63" i="4"/>
  <c r="E54" i="6"/>
  <c r="AH51" i="6"/>
  <c r="AH50" i="6"/>
  <c r="AH49" i="6"/>
  <c r="AH48" i="6"/>
  <c r="AH47" i="6"/>
  <c r="G47" i="6"/>
  <c r="E43" i="7" s="1"/>
  <c r="AH46" i="6"/>
  <c r="W46" i="6"/>
  <c r="G46" i="6"/>
  <c r="E42" i="7" s="1"/>
  <c r="AH45" i="6"/>
  <c r="W45" i="6"/>
  <c r="G45" i="6"/>
  <c r="E41" i="7" s="1"/>
  <c r="AH44" i="6"/>
  <c r="W44" i="6"/>
  <c r="G44" i="6"/>
  <c r="E40" i="7" s="1"/>
  <c r="AH43" i="6"/>
  <c r="W43" i="6"/>
  <c r="G43" i="6"/>
  <c r="E39" i="7" s="1"/>
  <c r="AH42" i="6"/>
  <c r="W42" i="6"/>
  <c r="G42" i="6"/>
  <c r="E38" i="7" s="1"/>
  <c r="AH41" i="6"/>
  <c r="W41" i="6"/>
  <c r="G41" i="6"/>
  <c r="E37" i="7" s="1"/>
  <c r="AH40" i="6"/>
  <c r="W40" i="6"/>
  <c r="G40" i="6"/>
  <c r="E36" i="7" s="1"/>
  <c r="AH39" i="6"/>
  <c r="W39" i="6"/>
  <c r="G39" i="6"/>
  <c r="E35" i="7" s="1"/>
  <c r="AH38" i="6"/>
  <c r="W38" i="6"/>
  <c r="G38" i="6"/>
  <c r="E34" i="7" s="1"/>
  <c r="AH37" i="6"/>
  <c r="W37" i="6"/>
  <c r="G37" i="6"/>
  <c r="E33" i="7" s="1"/>
  <c r="AH36" i="6"/>
  <c r="W36" i="6"/>
  <c r="G36" i="6"/>
  <c r="E32" i="7" s="1"/>
  <c r="AH35" i="6"/>
  <c r="W35" i="6"/>
  <c r="G35" i="6"/>
  <c r="E31" i="7" s="1"/>
  <c r="AH34" i="6"/>
  <c r="W34" i="6"/>
  <c r="G34" i="6"/>
  <c r="E30" i="7" s="1"/>
  <c r="AH33" i="6"/>
  <c r="W33" i="6"/>
  <c r="G33" i="6"/>
  <c r="E29" i="7" s="1"/>
  <c r="AH32" i="6"/>
  <c r="W32" i="6"/>
  <c r="G32" i="6"/>
  <c r="E28" i="7" s="1"/>
  <c r="AH31" i="6"/>
  <c r="W31" i="6"/>
  <c r="G31" i="6"/>
  <c r="E27" i="7" s="1"/>
  <c r="AH30" i="6"/>
  <c r="W30" i="6"/>
  <c r="G30" i="6"/>
  <c r="E26" i="7" s="1"/>
  <c r="AH29" i="6"/>
  <c r="W29" i="6"/>
  <c r="G29" i="6"/>
  <c r="E25" i="7" s="1"/>
  <c r="AH28" i="6"/>
  <c r="W28" i="6"/>
  <c r="G28" i="6"/>
  <c r="E24" i="7" s="1"/>
  <c r="AH27" i="6"/>
  <c r="W27" i="6"/>
  <c r="G27" i="6"/>
  <c r="E23" i="7" s="1"/>
  <c r="AH26" i="6"/>
  <c r="W26" i="6"/>
  <c r="G26" i="6"/>
  <c r="E22" i="7" s="1"/>
  <c r="AH25" i="6"/>
  <c r="W25" i="6"/>
  <c r="G25" i="6"/>
  <c r="E21" i="7" s="1"/>
  <c r="AH24" i="6"/>
  <c r="W24" i="6"/>
  <c r="G24" i="6"/>
  <c r="E20" i="7" s="1"/>
  <c r="AH23" i="6"/>
  <c r="W23" i="6"/>
  <c r="G23" i="6"/>
  <c r="E19" i="7" s="1"/>
  <c r="AH22" i="6"/>
  <c r="W22" i="6"/>
  <c r="G22" i="6"/>
  <c r="E18" i="7" s="1"/>
  <c r="AH21" i="6"/>
  <c r="W21" i="6"/>
  <c r="G21" i="6"/>
  <c r="E17" i="7" s="1"/>
  <c r="AH20" i="6"/>
  <c r="W20" i="6"/>
  <c r="G20" i="6"/>
  <c r="E16" i="7" s="1"/>
  <c r="AH19" i="6"/>
  <c r="W19" i="6"/>
  <c r="G19" i="6"/>
  <c r="E15" i="7" s="1"/>
  <c r="AH18" i="6"/>
  <c r="W18" i="6"/>
  <c r="G18" i="6"/>
  <c r="E14" i="7" s="1"/>
  <c r="AH17" i="6"/>
  <c r="W17" i="6"/>
  <c r="G17" i="6"/>
  <c r="E13" i="7" s="1"/>
  <c r="AH16" i="6"/>
  <c r="W16" i="6"/>
  <c r="G16" i="6"/>
  <c r="E12" i="7" s="1"/>
  <c r="AH15" i="6"/>
  <c r="W15" i="6"/>
  <c r="G15" i="6"/>
  <c r="E11" i="7" s="1"/>
  <c r="AH14" i="6"/>
  <c r="W14" i="6"/>
  <c r="G14" i="6"/>
  <c r="E10" i="7" s="1"/>
  <c r="AH13" i="6"/>
  <c r="W13" i="6"/>
  <c r="G13" i="6"/>
  <c r="E9" i="7" s="1"/>
  <c r="AH12" i="6"/>
  <c r="W12" i="6"/>
  <c r="G12" i="6"/>
  <c r="E8" i="7" s="1"/>
  <c r="AH11" i="6"/>
  <c r="W11" i="6"/>
  <c r="G11" i="6"/>
  <c r="E7" i="7" s="1"/>
  <c r="AH10" i="6"/>
  <c r="W10" i="6"/>
  <c r="G10" i="6"/>
  <c r="E6" i="7" s="1"/>
  <c r="AH9" i="6"/>
  <c r="W9" i="6"/>
  <c r="G9" i="6"/>
  <c r="E5" i="7" s="1"/>
  <c r="AH8" i="6"/>
  <c r="W8" i="6"/>
  <c r="G8" i="6"/>
  <c r="E4" i="7" s="1"/>
  <c r="AH7" i="6"/>
  <c r="W7" i="6"/>
  <c r="F7" i="6"/>
  <c r="D45" i="8" s="1"/>
  <c r="AH6" i="6"/>
  <c r="W6" i="6"/>
  <c r="C45" i="8"/>
  <c r="AH5" i="6"/>
  <c r="W5" i="6"/>
  <c r="AH4" i="6"/>
  <c r="W4" i="6"/>
  <c r="N4" i="6"/>
  <c r="W3" i="6"/>
  <c r="W2" i="6"/>
  <c r="W2" i="1"/>
  <c r="W10" i="3"/>
  <c r="W6" i="3"/>
  <c r="BW75" i="4" l="1"/>
  <c r="BX75" i="4"/>
  <c r="G54" i="6"/>
  <c r="N5" i="6"/>
  <c r="W48" i="6"/>
  <c r="X2" i="6" s="1"/>
  <c r="O4" i="6"/>
  <c r="O5" i="6" s="1"/>
  <c r="AH54" i="6"/>
  <c r="AI47" i="6" s="1"/>
  <c r="X40" i="6" l="1"/>
  <c r="X13" i="6"/>
  <c r="X29" i="6"/>
  <c r="X21" i="6"/>
  <c r="Y21" i="6" s="1"/>
  <c r="Z21" i="6" s="1"/>
  <c r="E63" i="7" s="1"/>
  <c r="X23" i="6"/>
  <c r="X30" i="6"/>
  <c r="X22" i="6"/>
  <c r="X15" i="6"/>
  <c r="X28" i="6"/>
  <c r="Y28" i="6" s="1"/>
  <c r="Z28" i="6" s="1"/>
  <c r="E70" i="7" s="1"/>
  <c r="X39" i="6"/>
  <c r="Y39" i="6" s="1"/>
  <c r="Z39" i="6" s="1"/>
  <c r="E81" i="7" s="1"/>
  <c r="Y30" i="6"/>
  <c r="Z30" i="6" s="1"/>
  <c r="E72" i="7" s="1"/>
  <c r="AJ47" i="6"/>
  <c r="AK47" i="6" s="1"/>
  <c r="AI44" i="6"/>
  <c r="AJ44" i="6" s="1"/>
  <c r="AK44" i="6" s="1"/>
  <c r="AI28" i="6"/>
  <c r="AJ28" i="6" s="1"/>
  <c r="AK28" i="6" s="1"/>
  <c r="E113" i="7" s="1"/>
  <c r="AI33" i="6"/>
  <c r="AJ33" i="6" s="1"/>
  <c r="AK33" i="6" s="1"/>
  <c r="E118" i="7" s="1"/>
  <c r="AI26" i="6"/>
  <c r="AJ26" i="6" s="1"/>
  <c r="AK26" i="6" s="1"/>
  <c r="E111" i="7" s="1"/>
  <c r="AI51" i="6"/>
  <c r="AJ51" i="6" s="1"/>
  <c r="AK51" i="6" s="1"/>
  <c r="AI32" i="6"/>
  <c r="AJ32" i="6" s="1"/>
  <c r="AK32" i="6" s="1"/>
  <c r="E117" i="7" s="1"/>
  <c r="AI12" i="6"/>
  <c r="AJ12" i="6" s="1"/>
  <c r="AK12" i="6" s="1"/>
  <c r="E97" i="7" s="1"/>
  <c r="AI5" i="6"/>
  <c r="AJ5" i="6" s="1"/>
  <c r="AK5" i="6" s="1"/>
  <c r="E90" i="7" s="1"/>
  <c r="Y2" i="6"/>
  <c r="X41" i="6"/>
  <c r="Y41" i="6" s="1"/>
  <c r="Z41" i="6" s="1"/>
  <c r="E83" i="7" s="1"/>
  <c r="X33" i="6"/>
  <c r="Y33" i="6" s="1"/>
  <c r="Z33" i="6" s="1"/>
  <c r="E75" i="7" s="1"/>
  <c r="X25" i="6"/>
  <c r="Y25" i="6" s="1"/>
  <c r="Z25" i="6" s="1"/>
  <c r="E67" i="7" s="1"/>
  <c r="X17" i="6"/>
  <c r="Y17" i="6" s="1"/>
  <c r="Z17" i="6" s="1"/>
  <c r="E59" i="7" s="1"/>
  <c r="X9" i="6"/>
  <c r="Y9" i="6" s="1"/>
  <c r="Z9" i="6" s="1"/>
  <c r="E51" i="7" s="1"/>
  <c r="X11" i="6"/>
  <c r="Y11" i="6" s="1"/>
  <c r="Z11" i="6" s="1"/>
  <c r="E53" i="7" s="1"/>
  <c r="X43" i="6"/>
  <c r="Y43" i="6" s="1"/>
  <c r="Z43" i="6" s="1"/>
  <c r="E85" i="7" s="1"/>
  <c r="X35" i="6"/>
  <c r="Y35" i="6" s="1"/>
  <c r="Z35" i="6" s="1"/>
  <c r="E77" i="7" s="1"/>
  <c r="X27" i="6"/>
  <c r="Y27" i="6" s="1"/>
  <c r="Z27" i="6" s="1"/>
  <c r="E69" i="7" s="1"/>
  <c r="X19" i="6"/>
  <c r="Y19" i="6" s="1"/>
  <c r="Z19" i="6" s="1"/>
  <c r="E61" i="7" s="1"/>
  <c r="X42" i="6"/>
  <c r="Y42" i="6" s="1"/>
  <c r="Z42" i="6" s="1"/>
  <c r="E84" i="7" s="1"/>
  <c r="X34" i="6"/>
  <c r="Y34" i="6" s="1"/>
  <c r="Z34" i="6" s="1"/>
  <c r="E76" i="7" s="1"/>
  <c r="X26" i="6"/>
  <c r="Y26" i="6" s="1"/>
  <c r="Z26" i="6" s="1"/>
  <c r="E68" i="7" s="1"/>
  <c r="X18" i="6"/>
  <c r="Y18" i="6" s="1"/>
  <c r="Z18" i="6" s="1"/>
  <c r="E60" i="7" s="1"/>
  <c r="X10" i="6"/>
  <c r="Y10" i="6" s="1"/>
  <c r="Z10" i="6" s="1"/>
  <c r="E52" i="7" s="1"/>
  <c r="X3" i="6"/>
  <c r="Y3" i="6" s="1"/>
  <c r="Z3" i="6" s="1"/>
  <c r="E45" i="7" s="1"/>
  <c r="AI40" i="6"/>
  <c r="AJ40" i="6" s="1"/>
  <c r="AK40" i="6" s="1"/>
  <c r="E125" i="7" s="1"/>
  <c r="AI10" i="6"/>
  <c r="AJ10" i="6" s="1"/>
  <c r="AK10" i="6" s="1"/>
  <c r="E95" i="7" s="1"/>
  <c r="X14" i="6"/>
  <c r="Y14" i="6" s="1"/>
  <c r="Z14" i="6" s="1"/>
  <c r="E56" i="7" s="1"/>
  <c r="X45" i="6"/>
  <c r="Y45" i="6" s="1"/>
  <c r="Z45" i="6" s="1"/>
  <c r="E87" i="7" s="1"/>
  <c r="AI20" i="6"/>
  <c r="AJ20" i="6" s="1"/>
  <c r="AK20" i="6" s="1"/>
  <c r="E105" i="7" s="1"/>
  <c r="AI43" i="6"/>
  <c r="AJ43" i="6" s="1"/>
  <c r="AK43" i="6" s="1"/>
  <c r="AI11" i="6"/>
  <c r="AJ11" i="6" s="1"/>
  <c r="AK11" i="6" s="1"/>
  <c r="E96" i="7" s="1"/>
  <c r="AI24" i="6"/>
  <c r="AJ24" i="6" s="1"/>
  <c r="AK24" i="6" s="1"/>
  <c r="E109" i="7" s="1"/>
  <c r="X16" i="6"/>
  <c r="Y16" i="6" s="1"/>
  <c r="Z16" i="6" s="1"/>
  <c r="E58" i="7" s="1"/>
  <c r="AI42" i="6"/>
  <c r="AJ42" i="6" s="1"/>
  <c r="AK42" i="6" s="1"/>
  <c r="E127" i="7" s="1"/>
  <c r="X44" i="6"/>
  <c r="Y44" i="6" s="1"/>
  <c r="Z44" i="6" s="1"/>
  <c r="E86" i="7" s="1"/>
  <c r="X12" i="6"/>
  <c r="Y12" i="6" s="1"/>
  <c r="Z12" i="6" s="1"/>
  <c r="E54" i="7" s="1"/>
  <c r="Y13" i="6"/>
  <c r="Z13" i="6" s="1"/>
  <c r="E55" i="7" s="1"/>
  <c r="AI45" i="6"/>
  <c r="AJ45" i="6" s="1"/>
  <c r="AK45" i="6" s="1"/>
  <c r="AI37" i="6"/>
  <c r="AJ37" i="6" s="1"/>
  <c r="AK37" i="6" s="1"/>
  <c r="E122" i="7" s="1"/>
  <c r="AI29" i="6"/>
  <c r="AJ29" i="6" s="1"/>
  <c r="AK29" i="6" s="1"/>
  <c r="E114" i="7" s="1"/>
  <c r="AI21" i="6"/>
  <c r="AJ21" i="6" s="1"/>
  <c r="AK21" i="6" s="1"/>
  <c r="E106" i="7" s="1"/>
  <c r="AI13" i="6"/>
  <c r="AJ13" i="6" s="1"/>
  <c r="AK13" i="6" s="1"/>
  <c r="E98" i="7" s="1"/>
  <c r="AI50" i="6"/>
  <c r="AJ50" i="6" s="1"/>
  <c r="AK50" i="6" s="1"/>
  <c r="AI23" i="6"/>
  <c r="AJ23" i="6" s="1"/>
  <c r="AK23" i="6" s="1"/>
  <c r="E108" i="7" s="1"/>
  <c r="AI48" i="6"/>
  <c r="AJ48" i="6" s="1"/>
  <c r="AK48" i="6" s="1"/>
  <c r="AI7" i="6"/>
  <c r="AJ7" i="6" s="1"/>
  <c r="AK7" i="6" s="1"/>
  <c r="E92" i="7" s="1"/>
  <c r="AI39" i="6"/>
  <c r="AJ39" i="6" s="1"/>
  <c r="AK39" i="6" s="1"/>
  <c r="E124" i="7" s="1"/>
  <c r="AI31" i="6"/>
  <c r="AJ31" i="6" s="1"/>
  <c r="AK31" i="6" s="1"/>
  <c r="E116" i="7" s="1"/>
  <c r="AI15" i="6"/>
  <c r="AJ15" i="6" s="1"/>
  <c r="AK15" i="6" s="1"/>
  <c r="E100" i="7" s="1"/>
  <c r="AI46" i="6"/>
  <c r="AJ46" i="6" s="1"/>
  <c r="AK46" i="6" s="1"/>
  <c r="AI38" i="6"/>
  <c r="AJ38" i="6" s="1"/>
  <c r="AK38" i="6" s="1"/>
  <c r="E123" i="7" s="1"/>
  <c r="AI30" i="6"/>
  <c r="AJ30" i="6" s="1"/>
  <c r="AK30" i="6" s="1"/>
  <c r="E115" i="7" s="1"/>
  <c r="AI22" i="6"/>
  <c r="AJ22" i="6" s="1"/>
  <c r="AK22" i="6" s="1"/>
  <c r="E107" i="7" s="1"/>
  <c r="AI14" i="6"/>
  <c r="AJ14" i="6" s="1"/>
  <c r="AK14" i="6" s="1"/>
  <c r="E99" i="7" s="1"/>
  <c r="AI6" i="6"/>
  <c r="AJ6" i="6" s="1"/>
  <c r="AK6" i="6" s="1"/>
  <c r="E91" i="7" s="1"/>
  <c r="Y40" i="6"/>
  <c r="Z40" i="6" s="1"/>
  <c r="E82" i="7" s="1"/>
  <c r="AI25" i="6"/>
  <c r="AJ25" i="6" s="1"/>
  <c r="AK25" i="6" s="1"/>
  <c r="E110" i="7" s="1"/>
  <c r="AI19" i="6"/>
  <c r="AJ19" i="6" s="1"/>
  <c r="AK19" i="6" s="1"/>
  <c r="E104" i="7" s="1"/>
  <c r="AI49" i="6"/>
  <c r="AJ49" i="6" s="1"/>
  <c r="AK49" i="6" s="1"/>
  <c r="X20" i="6"/>
  <c r="Y20" i="6" s="1"/>
  <c r="Z20" i="6" s="1"/>
  <c r="E62" i="7" s="1"/>
  <c r="X24" i="6"/>
  <c r="Y24" i="6" s="1"/>
  <c r="Z24" i="6" s="1"/>
  <c r="E66" i="7" s="1"/>
  <c r="X5" i="6"/>
  <c r="Y5" i="6" s="1"/>
  <c r="Z5" i="6" s="1"/>
  <c r="E47" i="7" s="1"/>
  <c r="X38" i="6"/>
  <c r="Y38" i="6" s="1"/>
  <c r="Z38" i="6" s="1"/>
  <c r="E80" i="7" s="1"/>
  <c r="X6" i="6"/>
  <c r="Y6" i="6" s="1"/>
  <c r="Z6" i="6" s="1"/>
  <c r="E48" i="7" s="1"/>
  <c r="AI16" i="6"/>
  <c r="AJ16" i="6" s="1"/>
  <c r="AK16" i="6" s="1"/>
  <c r="E101" i="7" s="1"/>
  <c r="X8" i="6"/>
  <c r="Y8" i="6" s="1"/>
  <c r="Z8" i="6" s="1"/>
  <c r="E50" i="7" s="1"/>
  <c r="X37" i="6"/>
  <c r="Y37" i="6" s="1"/>
  <c r="Z37" i="6" s="1"/>
  <c r="E79" i="7" s="1"/>
  <c r="AI36" i="6"/>
  <c r="AJ36" i="6" s="1"/>
  <c r="AK36" i="6" s="1"/>
  <c r="E121" i="7" s="1"/>
  <c r="AI41" i="6"/>
  <c r="AJ41" i="6" s="1"/>
  <c r="AK41" i="6" s="1"/>
  <c r="E126" i="7" s="1"/>
  <c r="AI9" i="6"/>
  <c r="AJ9" i="6" s="1"/>
  <c r="AK9" i="6" s="1"/>
  <c r="E94" i="7" s="1"/>
  <c r="Y29" i="6"/>
  <c r="Z29" i="6" s="1"/>
  <c r="E71" i="7" s="1"/>
  <c r="AI27" i="6"/>
  <c r="AJ27" i="6" s="1"/>
  <c r="AK27" i="6" s="1"/>
  <c r="E112" i="7" s="1"/>
  <c r="Y23" i="6"/>
  <c r="Z23" i="6" s="1"/>
  <c r="E65" i="7" s="1"/>
  <c r="Y22" i="6"/>
  <c r="Z22" i="6" s="1"/>
  <c r="E64" i="7" s="1"/>
  <c r="Y15" i="6"/>
  <c r="Z15" i="6" s="1"/>
  <c r="E57" i="7" s="1"/>
  <c r="X32" i="6"/>
  <c r="Y32" i="6" s="1"/>
  <c r="Z32" i="6" s="1"/>
  <c r="E74" i="7" s="1"/>
  <c r="X7" i="6"/>
  <c r="Y7" i="6" s="1"/>
  <c r="Z7" i="6" s="1"/>
  <c r="E49" i="7" s="1"/>
  <c r="X46" i="6"/>
  <c r="Y46" i="6" s="1"/>
  <c r="Z46" i="6" s="1"/>
  <c r="E88" i="7" s="1"/>
  <c r="AI17" i="6"/>
  <c r="AJ17" i="6" s="1"/>
  <c r="AK17" i="6" s="1"/>
  <c r="E102" i="7" s="1"/>
  <c r="AI35" i="6"/>
  <c r="AJ35" i="6" s="1"/>
  <c r="AK35" i="6" s="1"/>
  <c r="E120" i="7" s="1"/>
  <c r="X4" i="6"/>
  <c r="Y4" i="6" s="1"/>
  <c r="Z4" i="6" s="1"/>
  <c r="E46" i="7" s="1"/>
  <c r="AI8" i="6"/>
  <c r="AJ8" i="6" s="1"/>
  <c r="AK8" i="6" s="1"/>
  <c r="E93" i="7" s="1"/>
  <c r="AI18" i="6"/>
  <c r="AJ18" i="6" s="1"/>
  <c r="AK18" i="6" s="1"/>
  <c r="E103" i="7" s="1"/>
  <c r="AI34" i="6"/>
  <c r="AJ34" i="6" s="1"/>
  <c r="AK34" i="6" s="1"/>
  <c r="E119" i="7" s="1"/>
  <c r="X31" i="6"/>
  <c r="Y31" i="6" s="1"/>
  <c r="Z31" i="6" s="1"/>
  <c r="E73" i="7" s="1"/>
  <c r="X36" i="6"/>
  <c r="Y36" i="6" s="1"/>
  <c r="Z36" i="6" s="1"/>
  <c r="E78" i="7" s="1"/>
  <c r="AI4" i="6"/>
  <c r="AJ4" i="6" s="1"/>
  <c r="AJ54" i="6" l="1"/>
  <c r="AK4" i="6"/>
  <c r="Z2" i="6"/>
  <c r="Y54" i="6"/>
  <c r="Z54" i="6" l="1"/>
  <c r="E44" i="7"/>
  <c r="AK54" i="6"/>
  <c r="E89" i="7"/>
  <c r="D46" i="3" l="1"/>
  <c r="D47" i="3"/>
  <c r="D45" i="3"/>
  <c r="D50" i="3"/>
  <c r="D51" i="3"/>
  <c r="D48" i="3"/>
  <c r="D49" i="3"/>
  <c r="D53" i="3"/>
  <c r="D55" i="3"/>
  <c r="D54" i="3"/>
  <c r="D56" i="3"/>
  <c r="D52" i="3"/>
  <c r="D58" i="3"/>
  <c r="D60" i="3"/>
  <c r="D59" i="3"/>
  <c r="D57" i="3"/>
  <c r="D64" i="3"/>
  <c r="D61" i="3"/>
  <c r="D62" i="3"/>
  <c r="D63" i="3"/>
  <c r="D65" i="3"/>
  <c r="D67" i="3"/>
  <c r="D69" i="3"/>
  <c r="D66" i="3"/>
  <c r="D70" i="3"/>
  <c r="D68" i="3"/>
  <c r="D74" i="3"/>
  <c r="D72" i="3"/>
  <c r="D71" i="3"/>
  <c r="D73" i="3"/>
  <c r="D77" i="3"/>
  <c r="D76" i="3"/>
  <c r="D75" i="3"/>
  <c r="D78" i="3"/>
  <c r="D80" i="3"/>
  <c r="D82" i="3"/>
  <c r="D81" i="3"/>
  <c r="D79" i="3"/>
  <c r="D83" i="3"/>
  <c r="D84" i="3"/>
  <c r="D85" i="3"/>
  <c r="D86" i="3"/>
  <c r="D87" i="3"/>
  <c r="D88" i="3"/>
  <c r="C46" i="3"/>
  <c r="C47" i="3"/>
  <c r="C45" i="3"/>
  <c r="C50" i="3"/>
  <c r="C51" i="3"/>
  <c r="C48" i="3"/>
  <c r="C49" i="3"/>
  <c r="C53" i="3"/>
  <c r="C55" i="3"/>
  <c r="C54" i="3"/>
  <c r="C56" i="3"/>
  <c r="C52" i="3"/>
  <c r="C58" i="3"/>
  <c r="C60" i="3"/>
  <c r="C59" i="3"/>
  <c r="C57" i="3"/>
  <c r="C64" i="3"/>
  <c r="C61" i="3"/>
  <c r="C62" i="3"/>
  <c r="C63" i="3"/>
  <c r="C65" i="3"/>
  <c r="C67" i="3"/>
  <c r="C69" i="3"/>
  <c r="C66" i="3"/>
  <c r="C70" i="3"/>
  <c r="C68" i="3"/>
  <c r="C74" i="3"/>
  <c r="C72" i="3"/>
  <c r="C71" i="3"/>
  <c r="C73" i="3"/>
  <c r="C77" i="3"/>
  <c r="C76" i="3"/>
  <c r="C75" i="3"/>
  <c r="C78" i="3"/>
  <c r="C80" i="3"/>
  <c r="C82" i="3"/>
  <c r="C81" i="3"/>
  <c r="C79" i="3"/>
  <c r="C83" i="3"/>
  <c r="C84" i="3"/>
  <c r="C85" i="3"/>
  <c r="C86" i="3"/>
  <c r="C87" i="3"/>
  <c r="C88" i="3"/>
  <c r="B46" i="3"/>
  <c r="B47" i="3"/>
  <c r="B45" i="3"/>
  <c r="B50" i="3"/>
  <c r="B51" i="3"/>
  <c r="B48" i="3"/>
  <c r="B49" i="3"/>
  <c r="B53" i="3"/>
  <c r="B55" i="3"/>
  <c r="B54" i="3"/>
  <c r="B56" i="3"/>
  <c r="B52" i="3"/>
  <c r="B58" i="3"/>
  <c r="B60" i="3"/>
  <c r="B59" i="3"/>
  <c r="B57" i="3"/>
  <c r="B64" i="3"/>
  <c r="B61" i="3"/>
  <c r="B62" i="3"/>
  <c r="B63" i="3"/>
  <c r="B65" i="3"/>
  <c r="B67" i="3"/>
  <c r="B69" i="3"/>
  <c r="B66" i="3"/>
  <c r="B70" i="3"/>
  <c r="B68" i="3"/>
  <c r="B74" i="3"/>
  <c r="B72" i="3"/>
  <c r="B71" i="3"/>
  <c r="B73" i="3"/>
  <c r="B77" i="3"/>
  <c r="B76" i="3"/>
  <c r="B75" i="3"/>
  <c r="B78" i="3"/>
  <c r="B80" i="3"/>
  <c r="B82" i="3"/>
  <c r="B81" i="3"/>
  <c r="B79" i="3"/>
  <c r="B83" i="3"/>
  <c r="B84" i="3"/>
  <c r="B85" i="3"/>
  <c r="B86" i="3"/>
  <c r="B87" i="3"/>
  <c r="B88" i="3"/>
  <c r="D44" i="3"/>
  <c r="C44" i="3"/>
  <c r="B44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90" i="3"/>
  <c r="B89" i="3"/>
  <c r="AH51" i="1"/>
  <c r="AH50" i="1"/>
  <c r="AH49" i="1"/>
  <c r="AH48" i="1"/>
  <c r="AH47" i="1"/>
  <c r="AH46" i="1"/>
  <c r="W46" i="1"/>
  <c r="AH45" i="1"/>
  <c r="W45" i="1"/>
  <c r="AH44" i="1"/>
  <c r="W44" i="1"/>
  <c r="AH43" i="1"/>
  <c r="W43" i="1"/>
  <c r="AH42" i="1"/>
  <c r="W42" i="1"/>
  <c r="AH41" i="1"/>
  <c r="W41" i="1"/>
  <c r="AH40" i="1"/>
  <c r="W40" i="1"/>
  <c r="AH39" i="1"/>
  <c r="W39" i="1"/>
  <c r="AH38" i="1"/>
  <c r="W38" i="1"/>
  <c r="AH37" i="1"/>
  <c r="W37" i="1"/>
  <c r="AH36" i="1"/>
  <c r="W36" i="1"/>
  <c r="AH35" i="1"/>
  <c r="W35" i="1"/>
  <c r="AH34" i="1"/>
  <c r="W34" i="1"/>
  <c r="AH33" i="1"/>
  <c r="W33" i="1"/>
  <c r="AH32" i="1"/>
  <c r="W32" i="1"/>
  <c r="AH31" i="1"/>
  <c r="W31" i="1"/>
  <c r="AH30" i="1"/>
  <c r="W30" i="1"/>
  <c r="AH29" i="1"/>
  <c r="W29" i="1"/>
  <c r="AH28" i="1"/>
  <c r="W28" i="1"/>
  <c r="AH27" i="1"/>
  <c r="W27" i="1"/>
  <c r="AH26" i="1"/>
  <c r="W26" i="1"/>
  <c r="AH25" i="1"/>
  <c r="W25" i="1"/>
  <c r="AH24" i="1"/>
  <c r="W24" i="1"/>
  <c r="AH23" i="1"/>
  <c r="W23" i="1"/>
  <c r="AH22" i="1"/>
  <c r="W22" i="1"/>
  <c r="AH21" i="1"/>
  <c r="W21" i="1"/>
  <c r="AH20" i="1"/>
  <c r="W20" i="1"/>
  <c r="AH19" i="1"/>
  <c r="W19" i="1"/>
  <c r="AH18" i="1"/>
  <c r="W18" i="1"/>
  <c r="AH17" i="1"/>
  <c r="W17" i="1"/>
  <c r="AH16" i="1"/>
  <c r="W16" i="1"/>
  <c r="AH15" i="1"/>
  <c r="W15" i="1"/>
  <c r="AH14" i="1"/>
  <c r="W14" i="1"/>
  <c r="AH13" i="1"/>
  <c r="W13" i="1"/>
  <c r="AH12" i="1"/>
  <c r="W12" i="1"/>
  <c r="AH11" i="1"/>
  <c r="W11" i="1"/>
  <c r="AH10" i="1"/>
  <c r="W10" i="1"/>
  <c r="AH9" i="1"/>
  <c r="W9" i="1"/>
  <c r="AH8" i="1"/>
  <c r="W8" i="1"/>
  <c r="AH7" i="1"/>
  <c r="W7" i="1"/>
  <c r="AH6" i="1"/>
  <c r="W6" i="1"/>
  <c r="AH5" i="1"/>
  <c r="W5" i="1"/>
  <c r="AH4" i="1"/>
  <c r="W4" i="1"/>
  <c r="W3" i="1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Z23" i="4"/>
  <c r="AI23" i="4" s="1"/>
  <c r="Z24" i="4"/>
  <c r="AI24" i="4" s="1"/>
  <c r="Z25" i="4"/>
  <c r="AI25" i="4" s="1"/>
  <c r="Z26" i="4"/>
  <c r="AC26" i="4" s="1"/>
  <c r="Z27" i="4"/>
  <c r="AC27" i="4" s="1"/>
  <c r="Z28" i="4"/>
  <c r="AC28" i="4" s="1"/>
  <c r="Z29" i="4"/>
  <c r="AC29" i="4" s="1"/>
  <c r="Z30" i="4"/>
  <c r="AC30" i="4" s="1"/>
  <c r="Z31" i="4"/>
  <c r="AI31" i="4" s="1"/>
  <c r="Z32" i="4"/>
  <c r="AI32" i="4" s="1"/>
  <c r="Z33" i="4"/>
  <c r="AI33" i="4" s="1"/>
  <c r="Z34" i="4"/>
  <c r="AC34" i="4" s="1"/>
  <c r="Z35" i="4"/>
  <c r="AC35" i="4" s="1"/>
  <c r="Z36" i="4"/>
  <c r="AC36" i="4" s="1"/>
  <c r="Z37" i="4"/>
  <c r="AC37" i="4" s="1"/>
  <c r="Z38" i="4"/>
  <c r="AC38" i="4" s="1"/>
  <c r="Z39" i="4"/>
  <c r="AI39" i="4" s="1"/>
  <c r="Z40" i="4"/>
  <c r="AI40" i="4" s="1"/>
  <c r="Z41" i="4"/>
  <c r="AI41" i="4" s="1"/>
  <c r="Z42" i="4"/>
  <c r="AC42" i="4" s="1"/>
  <c r="Z43" i="4"/>
  <c r="AC43" i="4" s="1"/>
  <c r="Z44" i="4"/>
  <c r="AC44" i="4" s="1"/>
  <c r="Z45" i="4"/>
  <c r="AC45" i="4" s="1"/>
  <c r="Z46" i="4"/>
  <c r="AC46" i="4" s="1"/>
  <c r="Z47" i="4"/>
  <c r="AI47" i="4" s="1"/>
  <c r="Z48" i="4"/>
  <c r="AI48" i="4" s="1"/>
  <c r="Z49" i="4"/>
  <c r="AI49" i="4" s="1"/>
  <c r="Z50" i="4"/>
  <c r="AC50" i="4" s="1"/>
  <c r="Z51" i="4"/>
  <c r="AC51" i="4" s="1"/>
  <c r="Z52" i="4"/>
  <c r="AC52" i="4" s="1"/>
  <c r="Z53" i="4"/>
  <c r="AC53" i="4" s="1"/>
  <c r="Z54" i="4"/>
  <c r="AC54" i="4" s="1"/>
  <c r="Z55" i="4"/>
  <c r="AI55" i="4" s="1"/>
  <c r="Z56" i="4"/>
  <c r="AI56" i="4" s="1"/>
  <c r="Z57" i="4"/>
  <c r="AI57" i="4" s="1"/>
  <c r="Z58" i="4"/>
  <c r="AC58" i="4" s="1"/>
  <c r="Z59" i="4"/>
  <c r="AC59" i="4" s="1"/>
  <c r="Z60" i="4"/>
  <c r="AC60" i="4" s="1"/>
  <c r="Z61" i="4"/>
  <c r="AC61" i="4" s="1"/>
  <c r="Z62" i="4"/>
  <c r="AC62" i="4" s="1"/>
  <c r="Z63" i="4"/>
  <c r="AI63" i="4" s="1"/>
  <c r="Z64" i="4"/>
  <c r="AI64" i="4" s="1"/>
  <c r="Z65" i="4"/>
  <c r="AI65" i="4" s="1"/>
  <c r="Z66" i="4"/>
  <c r="AC66" i="4" s="1"/>
  <c r="Z67" i="4"/>
  <c r="AC67" i="4" s="1"/>
  <c r="Z68" i="4"/>
  <c r="AC68" i="4" s="1"/>
  <c r="Z69" i="4"/>
  <c r="AC69" i="4" s="1"/>
  <c r="Z70" i="4"/>
  <c r="AC70" i="4" s="1"/>
  <c r="Z71" i="4"/>
  <c r="AI71" i="4" s="1"/>
  <c r="Z72" i="4"/>
  <c r="AI72" i="4" s="1"/>
  <c r="Z73" i="4"/>
  <c r="AI73" i="4" s="1"/>
  <c r="Z7" i="4"/>
  <c r="AC7" i="4" s="1"/>
  <c r="Z8" i="4"/>
  <c r="AI8" i="4" s="1"/>
  <c r="Z9" i="4"/>
  <c r="AI9" i="4" s="1"/>
  <c r="Z10" i="4"/>
  <c r="AC10" i="4" s="1"/>
  <c r="Z11" i="4"/>
  <c r="AC11" i="4" s="1"/>
  <c r="Z12" i="4"/>
  <c r="AC12" i="4" s="1"/>
  <c r="Z13" i="4"/>
  <c r="AC13" i="4" s="1"/>
  <c r="Z14" i="4"/>
  <c r="AC14" i="4" s="1"/>
  <c r="Z15" i="4"/>
  <c r="AI15" i="4" s="1"/>
  <c r="Z16" i="4"/>
  <c r="AI16" i="4" s="1"/>
  <c r="Z17" i="4"/>
  <c r="AI17" i="4" s="1"/>
  <c r="Z18" i="4"/>
  <c r="AC18" i="4" s="1"/>
  <c r="Z19" i="4"/>
  <c r="AC19" i="4" s="1"/>
  <c r="Z20" i="4"/>
  <c r="AC20" i="4" s="1"/>
  <c r="Z21" i="4"/>
  <c r="AC21" i="4" s="1"/>
  <c r="Z22" i="4"/>
  <c r="AC22" i="4" s="1"/>
  <c r="AE6" i="4"/>
  <c r="AF6" i="4"/>
  <c r="AG6" i="4"/>
  <c r="AH6" i="4"/>
  <c r="AB6" i="4"/>
  <c r="AD6" i="4"/>
  <c r="Z6" i="4"/>
  <c r="AC6" i="4" s="1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I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H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G6" i="4"/>
  <c r="F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6" i="4"/>
  <c r="AA3" i="3"/>
  <c r="AB3" i="3"/>
  <c r="W16" i="3"/>
  <c r="AH54" i="1" l="1"/>
  <c r="AI14" i="1" s="1"/>
  <c r="W48" i="1"/>
  <c r="AI8" i="1"/>
  <c r="AI37" i="1"/>
  <c r="AI12" i="1"/>
  <c r="AI11" i="1"/>
  <c r="AI49" i="1"/>
  <c r="AI70" i="4"/>
  <c r="AI62" i="4"/>
  <c r="AI54" i="4"/>
  <c r="AI46" i="4"/>
  <c r="AI38" i="4"/>
  <c r="AI30" i="4"/>
  <c r="AI22" i="4"/>
  <c r="AI14" i="4"/>
  <c r="AC73" i="4"/>
  <c r="AC65" i="4"/>
  <c r="AC57" i="4"/>
  <c r="AC49" i="4"/>
  <c r="AC41" i="4"/>
  <c r="AC33" i="4"/>
  <c r="AC25" i="4"/>
  <c r="AC17" i="4"/>
  <c r="AC9" i="4"/>
  <c r="AI69" i="4"/>
  <c r="AI61" i="4"/>
  <c r="AI53" i="4"/>
  <c r="AI45" i="4"/>
  <c r="AI37" i="4"/>
  <c r="AI29" i="4"/>
  <c r="AI21" i="4"/>
  <c r="AI13" i="4"/>
  <c r="AC72" i="4"/>
  <c r="AC64" i="4"/>
  <c r="AC56" i="4"/>
  <c r="AC48" i="4"/>
  <c r="AC40" i="4"/>
  <c r="AC32" i="4"/>
  <c r="AC24" i="4"/>
  <c r="AC16" i="4"/>
  <c r="AC8" i="4"/>
  <c r="AI68" i="4"/>
  <c r="AI60" i="4"/>
  <c r="AI52" i="4"/>
  <c r="AI44" i="4"/>
  <c r="AI36" i="4"/>
  <c r="AI28" i="4"/>
  <c r="AI20" i="4"/>
  <c r="AI12" i="4"/>
  <c r="AC71" i="4"/>
  <c r="AC63" i="4"/>
  <c r="AC55" i="4"/>
  <c r="AC47" i="4"/>
  <c r="AC39" i="4"/>
  <c r="AC31" i="4"/>
  <c r="AC23" i="4"/>
  <c r="AC15" i="4"/>
  <c r="AI67" i="4"/>
  <c r="AI59" i="4"/>
  <c r="AI51" i="4"/>
  <c r="AI43" i="4"/>
  <c r="AI35" i="4"/>
  <c r="AI27" i="4"/>
  <c r="AI19" i="4"/>
  <c r="AI11" i="4"/>
  <c r="AI6" i="4"/>
  <c r="AI66" i="4"/>
  <c r="AI58" i="4"/>
  <c r="AI50" i="4"/>
  <c r="AI42" i="4"/>
  <c r="AI34" i="4"/>
  <c r="AI26" i="4"/>
  <c r="AI18" i="4"/>
  <c r="AI10" i="4"/>
  <c r="J16" i="4"/>
  <c r="Z3" i="3"/>
  <c r="Y3" i="3"/>
  <c r="L6" i="1"/>
  <c r="D29" i="3"/>
  <c r="D40" i="3"/>
  <c r="D38" i="3"/>
  <c r="D36" i="3"/>
  <c r="D35" i="3"/>
  <c r="D37" i="3"/>
  <c r="D41" i="3"/>
  <c r="D42" i="3"/>
  <c r="D43" i="3"/>
  <c r="D5" i="3"/>
  <c r="D7" i="3"/>
  <c r="D6" i="3"/>
  <c r="D9" i="3"/>
  <c r="D10" i="3"/>
  <c r="D11" i="3"/>
  <c r="D8" i="3"/>
  <c r="D4" i="3"/>
  <c r="D14" i="3"/>
  <c r="D12" i="3"/>
  <c r="D15" i="3"/>
  <c r="D13" i="3"/>
  <c r="D20" i="3"/>
  <c r="D16" i="3"/>
  <c r="D18" i="3"/>
  <c r="D17" i="3"/>
  <c r="D19" i="3"/>
  <c r="D21" i="3"/>
  <c r="D24" i="3"/>
  <c r="D22" i="3"/>
  <c r="D26" i="3"/>
  <c r="D27" i="3"/>
  <c r="D23" i="3"/>
  <c r="D28" i="3"/>
  <c r="D25" i="3"/>
  <c r="D30" i="3"/>
  <c r="D33" i="3"/>
  <c r="D31" i="3"/>
  <c r="D34" i="3"/>
  <c r="D32" i="3"/>
  <c r="D39" i="3"/>
  <c r="C29" i="3"/>
  <c r="C40" i="3"/>
  <c r="C38" i="3"/>
  <c r="C36" i="3"/>
  <c r="C35" i="3"/>
  <c r="C37" i="3"/>
  <c r="C41" i="3"/>
  <c r="C42" i="3"/>
  <c r="C43" i="3"/>
  <c r="C5" i="3"/>
  <c r="C7" i="3"/>
  <c r="C6" i="3"/>
  <c r="C9" i="3"/>
  <c r="C10" i="3"/>
  <c r="C11" i="3"/>
  <c r="C8" i="3"/>
  <c r="C4" i="3"/>
  <c r="C14" i="3"/>
  <c r="C12" i="3"/>
  <c r="C15" i="3"/>
  <c r="C13" i="3"/>
  <c r="C20" i="3"/>
  <c r="C16" i="3"/>
  <c r="C18" i="3"/>
  <c r="C17" i="3"/>
  <c r="C19" i="3"/>
  <c r="C21" i="3"/>
  <c r="C24" i="3"/>
  <c r="C22" i="3"/>
  <c r="C26" i="3"/>
  <c r="C27" i="3"/>
  <c r="C23" i="3"/>
  <c r="C28" i="3"/>
  <c r="C25" i="3"/>
  <c r="C30" i="3"/>
  <c r="C33" i="3"/>
  <c r="C31" i="3"/>
  <c r="C34" i="3"/>
  <c r="C32" i="3"/>
  <c r="C39" i="3"/>
  <c r="B34" i="3"/>
  <c r="B32" i="3"/>
  <c r="B26" i="3"/>
  <c r="B27" i="3"/>
  <c r="B23" i="3"/>
  <c r="B28" i="3"/>
  <c r="B25" i="3"/>
  <c r="B30" i="3"/>
  <c r="B33" i="3"/>
  <c r="B31" i="3"/>
  <c r="B18" i="3"/>
  <c r="B17" i="3"/>
  <c r="B19" i="3"/>
  <c r="B21" i="3"/>
  <c r="B24" i="3"/>
  <c r="B22" i="3"/>
  <c r="B29" i="3"/>
  <c r="B40" i="3"/>
  <c r="B38" i="3"/>
  <c r="B36" i="3"/>
  <c r="B35" i="3"/>
  <c r="B37" i="3"/>
  <c r="B41" i="3"/>
  <c r="B42" i="3"/>
  <c r="B43" i="3"/>
  <c r="B5" i="3"/>
  <c r="B7" i="3"/>
  <c r="B6" i="3"/>
  <c r="B9" i="3"/>
  <c r="B10" i="3"/>
  <c r="B11" i="3"/>
  <c r="B8" i="3"/>
  <c r="B4" i="3"/>
  <c r="B14" i="3"/>
  <c r="B12" i="3"/>
  <c r="B15" i="3"/>
  <c r="B13" i="3"/>
  <c r="B20" i="3"/>
  <c r="B16" i="3"/>
  <c r="B39" i="3"/>
  <c r="W28" i="3"/>
  <c r="W66" i="3"/>
  <c r="W58" i="3"/>
  <c r="W50" i="3"/>
  <c r="W41" i="3"/>
  <c r="W33" i="3"/>
  <c r="W25" i="3"/>
  <c r="W17" i="3"/>
  <c r="W56" i="3"/>
  <c r="W63" i="3"/>
  <c r="W38" i="3"/>
  <c r="W61" i="3"/>
  <c r="W36" i="3"/>
  <c r="W19" i="3"/>
  <c r="W73" i="3"/>
  <c r="W65" i="3"/>
  <c r="W57" i="3"/>
  <c r="W49" i="3"/>
  <c r="W40" i="3"/>
  <c r="W32" i="3"/>
  <c r="W24" i="3"/>
  <c r="W14" i="3"/>
  <c r="W72" i="3"/>
  <c r="W39" i="3"/>
  <c r="W23" i="3"/>
  <c r="W13" i="3"/>
  <c r="W46" i="3"/>
  <c r="W21" i="3"/>
  <c r="W54" i="3"/>
  <c r="W29" i="3"/>
  <c r="W11" i="3"/>
  <c r="W64" i="3"/>
  <c r="W48" i="3"/>
  <c r="W31" i="3"/>
  <c r="W69" i="3"/>
  <c r="W44" i="3"/>
  <c r="W22" i="3"/>
  <c r="W9" i="3"/>
  <c r="W68" i="3"/>
  <c r="W60" i="3"/>
  <c r="W52" i="3"/>
  <c r="W43" i="3"/>
  <c r="W35" i="3"/>
  <c r="W27" i="3"/>
  <c r="W18" i="3"/>
  <c r="W8" i="3"/>
  <c r="W70" i="3"/>
  <c r="W37" i="3"/>
  <c r="W53" i="3"/>
  <c r="W47" i="3"/>
  <c r="W67" i="3"/>
  <c r="W59" i="3"/>
  <c r="W51" i="3"/>
  <c r="W42" i="3"/>
  <c r="W34" i="3"/>
  <c r="W26" i="3"/>
  <c r="W15" i="3"/>
  <c r="W7" i="3"/>
  <c r="W71" i="3"/>
  <c r="W55" i="3"/>
  <c r="W30" i="3"/>
  <c r="W12" i="3"/>
  <c r="W62" i="3"/>
  <c r="W45" i="3"/>
  <c r="W20" i="3"/>
  <c r="X20" i="1" l="1"/>
  <c r="X2" i="1"/>
  <c r="X9" i="1"/>
  <c r="AI31" i="1"/>
  <c r="AI23" i="1"/>
  <c r="AI4" i="1"/>
  <c r="AI29" i="1"/>
  <c r="AI50" i="1"/>
  <c r="X13" i="1"/>
  <c r="X25" i="1"/>
  <c r="AI26" i="1"/>
  <c r="AI9" i="1"/>
  <c r="AI19" i="1"/>
  <c r="AI45" i="1"/>
  <c r="X33" i="1"/>
  <c r="AI18" i="1"/>
  <c r="AI41" i="1"/>
  <c r="AI51" i="1"/>
  <c r="X16" i="1"/>
  <c r="AI39" i="1"/>
  <c r="X37" i="1"/>
  <c r="X43" i="1"/>
  <c r="AI15" i="1"/>
  <c r="AI28" i="1"/>
  <c r="AI16" i="1"/>
  <c r="AI10" i="1"/>
  <c r="AI44" i="1"/>
  <c r="AI24" i="1"/>
  <c r="AI7" i="1"/>
  <c r="X4" i="1"/>
  <c r="X7" i="1"/>
  <c r="X15" i="1"/>
  <c r="X31" i="1"/>
  <c r="X39" i="1"/>
  <c r="X30" i="1"/>
  <c r="X29" i="1"/>
  <c r="X12" i="1"/>
  <c r="X8" i="1"/>
  <c r="X17" i="1"/>
  <c r="X45" i="1"/>
  <c r="AI20" i="1"/>
  <c r="AI22" i="1"/>
  <c r="AI30" i="1"/>
  <c r="X28" i="1"/>
  <c r="X5" i="1"/>
  <c r="X42" i="1"/>
  <c r="X46" i="1"/>
  <c r="X23" i="1"/>
  <c r="X3" i="1"/>
  <c r="X24" i="1"/>
  <c r="X36" i="1"/>
  <c r="X32" i="1"/>
  <c r="X34" i="1"/>
  <c r="AI17" i="1"/>
  <c r="X19" i="1"/>
  <c r="AI27" i="1"/>
  <c r="X44" i="1"/>
  <c r="AI5" i="1"/>
  <c r="X40" i="1"/>
  <c r="AI32" i="1"/>
  <c r="AI42" i="1"/>
  <c r="X22" i="1"/>
  <c r="X26" i="1"/>
  <c r="AI6" i="1"/>
  <c r="X11" i="1"/>
  <c r="X21" i="1"/>
  <c r="AI25" i="1"/>
  <c r="X27" i="1"/>
  <c r="AI36" i="1"/>
  <c r="AI35" i="1"/>
  <c r="AI13" i="1"/>
  <c r="AI40" i="1"/>
  <c r="AI34" i="1"/>
  <c r="X14" i="1"/>
  <c r="X18" i="1"/>
  <c r="AI46" i="1"/>
  <c r="X41" i="1"/>
  <c r="X38" i="1"/>
  <c r="AI33" i="1"/>
  <c r="X35" i="1"/>
  <c r="AI43" i="1"/>
  <c r="AI21" i="1"/>
  <c r="AI48" i="1"/>
  <c r="AI47" i="1"/>
  <c r="X6" i="1"/>
  <c r="X10" i="1"/>
  <c r="AI38" i="1"/>
  <c r="Y4" i="3"/>
  <c r="Z4" i="3" s="1"/>
  <c r="J6" i="4"/>
  <c r="J7" i="4"/>
  <c r="J8" i="4"/>
  <c r="J9" i="4"/>
  <c r="J10" i="4"/>
  <c r="J11" i="4"/>
  <c r="J12" i="4"/>
  <c r="J13" i="4"/>
  <c r="J14" i="4"/>
  <c r="J17" i="4"/>
  <c r="J15" i="4"/>
  <c r="J18" i="4"/>
  <c r="J19" i="4"/>
  <c r="J20" i="4"/>
  <c r="J21" i="4"/>
  <c r="J23" i="4"/>
  <c r="J24" i="4"/>
  <c r="J25" i="4"/>
  <c r="J26" i="4"/>
  <c r="J27" i="4"/>
  <c r="J22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28" i="4"/>
  <c r="J47" i="4"/>
  <c r="X6" i="3"/>
  <c r="Y6" i="3" s="1"/>
  <c r="AA6" i="3" s="1"/>
  <c r="Y6" i="4" s="1"/>
  <c r="K5" i="8" s="1"/>
  <c r="X7" i="3"/>
  <c r="X8" i="3"/>
  <c r="X9" i="3"/>
  <c r="X10" i="3"/>
  <c r="X11" i="3"/>
  <c r="X12" i="3"/>
  <c r="X13" i="3"/>
  <c r="X14" i="3"/>
  <c r="X17" i="3"/>
  <c r="X15" i="3"/>
  <c r="X16" i="3"/>
  <c r="X18" i="3"/>
  <c r="X19" i="3"/>
  <c r="X20" i="3"/>
  <c r="X21" i="3"/>
  <c r="X23" i="3"/>
  <c r="X24" i="3"/>
  <c r="X25" i="3"/>
  <c r="X26" i="3"/>
  <c r="X27" i="3"/>
  <c r="X22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28" i="3"/>
  <c r="X47" i="3"/>
  <c r="AM6" i="4" l="1"/>
  <c r="Q5" i="8"/>
  <c r="R5" i="8"/>
  <c r="Z55" i="3"/>
  <c r="AB55" i="3" s="1"/>
  <c r="L55" i="4" s="1"/>
  <c r="Y55" i="3"/>
  <c r="AA55" i="3" s="1"/>
  <c r="Y55" i="4" s="1"/>
  <c r="Y21" i="3"/>
  <c r="AA21" i="3" s="1"/>
  <c r="Y21" i="4" s="1"/>
  <c r="Z21" i="3"/>
  <c r="AB21" i="3" s="1"/>
  <c r="L21" i="4" s="1"/>
  <c r="Y13" i="3"/>
  <c r="AA13" i="3" s="1"/>
  <c r="Y13" i="4" s="1"/>
  <c r="Z13" i="3"/>
  <c r="AB13" i="3" s="1"/>
  <c r="L13" i="4" s="1"/>
  <c r="Z71" i="3"/>
  <c r="AB71" i="3" s="1"/>
  <c r="L71" i="4" s="1"/>
  <c r="Y71" i="3"/>
  <c r="AA71" i="3" s="1"/>
  <c r="Y71" i="4" s="1"/>
  <c r="Z30" i="3"/>
  <c r="AB30" i="3" s="1"/>
  <c r="L30" i="4" s="1"/>
  <c r="Y30" i="3"/>
  <c r="AA30" i="3" s="1"/>
  <c r="Y30" i="4" s="1"/>
  <c r="Z54" i="3"/>
  <c r="AB54" i="3" s="1"/>
  <c r="L54" i="4" s="1"/>
  <c r="Y54" i="3"/>
  <c r="AA54" i="3" s="1"/>
  <c r="Y54" i="4" s="1"/>
  <c r="Y20" i="3"/>
  <c r="AA20" i="3" s="1"/>
  <c r="Y20" i="4" s="1"/>
  <c r="Z20" i="3"/>
  <c r="AB20" i="3" s="1"/>
  <c r="L20" i="4" s="1"/>
  <c r="Y61" i="3"/>
  <c r="AA61" i="3" s="1"/>
  <c r="Y61" i="4" s="1"/>
  <c r="Z61" i="3"/>
  <c r="AB61" i="3" s="1"/>
  <c r="L61" i="4" s="1"/>
  <c r="Y36" i="3"/>
  <c r="AA36" i="3" s="1"/>
  <c r="Y36" i="4" s="1"/>
  <c r="Z36" i="3"/>
  <c r="AB36" i="3" s="1"/>
  <c r="L36" i="4" s="1"/>
  <c r="Y11" i="3"/>
  <c r="AA11" i="3" s="1"/>
  <c r="Y11" i="4" s="1"/>
  <c r="Z11" i="3"/>
  <c r="AB11" i="3" s="1"/>
  <c r="L11" i="4" s="1"/>
  <c r="Y60" i="3"/>
  <c r="AA60" i="3" s="1"/>
  <c r="Y60" i="4" s="1"/>
  <c r="Z60" i="3"/>
  <c r="AB60" i="3" s="1"/>
  <c r="L60" i="4" s="1"/>
  <c r="Y35" i="3"/>
  <c r="AA35" i="3" s="1"/>
  <c r="Y35" i="4" s="1"/>
  <c r="Z35" i="3"/>
  <c r="AB35" i="3" s="1"/>
  <c r="L35" i="4" s="1"/>
  <c r="Z10" i="3"/>
  <c r="AB10" i="3" s="1"/>
  <c r="L10" i="4" s="1"/>
  <c r="Y10" i="3"/>
  <c r="AA10" i="3" s="1"/>
  <c r="Y10" i="4" s="1"/>
  <c r="Z47" i="3"/>
  <c r="AB47" i="3" s="1"/>
  <c r="L47" i="4" s="1"/>
  <c r="Y47" i="3"/>
  <c r="AA47" i="3" s="1"/>
  <c r="Y47" i="4" s="1"/>
  <c r="Y67" i="3"/>
  <c r="AA67" i="3" s="1"/>
  <c r="Y67" i="4" s="1"/>
  <c r="Z67" i="3"/>
  <c r="AB67" i="3" s="1"/>
  <c r="L67" i="4" s="1"/>
  <c r="Y59" i="3"/>
  <c r="AA59" i="3" s="1"/>
  <c r="Y59" i="4" s="1"/>
  <c r="Z59" i="3"/>
  <c r="AB59" i="3" s="1"/>
  <c r="L59" i="4" s="1"/>
  <c r="Y51" i="3"/>
  <c r="AA51" i="3" s="1"/>
  <c r="Y51" i="4" s="1"/>
  <c r="Z51" i="3"/>
  <c r="AB51" i="3" s="1"/>
  <c r="L51" i="4" s="1"/>
  <c r="Z42" i="3"/>
  <c r="AB42" i="3" s="1"/>
  <c r="L42" i="4" s="1"/>
  <c r="Y42" i="3"/>
  <c r="AA42" i="3" s="1"/>
  <c r="Y42" i="4" s="1"/>
  <c r="Z34" i="3"/>
  <c r="AB34" i="3" s="1"/>
  <c r="L34" i="4" s="1"/>
  <c r="Y34" i="3"/>
  <c r="AA34" i="3" s="1"/>
  <c r="Y34" i="4" s="1"/>
  <c r="Z26" i="3"/>
  <c r="AB26" i="3" s="1"/>
  <c r="L26" i="4" s="1"/>
  <c r="Y26" i="3"/>
  <c r="AA26" i="3" s="1"/>
  <c r="Y26" i="4" s="1"/>
  <c r="Y28" i="3"/>
  <c r="AA28" i="3" s="1"/>
  <c r="Y28" i="4" s="1"/>
  <c r="Z28" i="3"/>
  <c r="AB28" i="3" s="1"/>
  <c r="L28" i="4" s="1"/>
  <c r="Z66" i="3"/>
  <c r="AB66" i="3" s="1"/>
  <c r="L66" i="4" s="1"/>
  <c r="Y66" i="3"/>
  <c r="AA66" i="3" s="1"/>
  <c r="Y66" i="4" s="1"/>
  <c r="Z58" i="3"/>
  <c r="AB58" i="3" s="1"/>
  <c r="L58" i="4" s="1"/>
  <c r="Y58" i="3"/>
  <c r="AA58" i="3" s="1"/>
  <c r="Y58" i="4" s="1"/>
  <c r="Z50" i="3"/>
  <c r="AB50" i="3" s="1"/>
  <c r="L50" i="4" s="1"/>
  <c r="Y50" i="3"/>
  <c r="AA50" i="3" s="1"/>
  <c r="Y50" i="4" s="1"/>
  <c r="Z41" i="3"/>
  <c r="AB41" i="3" s="1"/>
  <c r="L41" i="4" s="1"/>
  <c r="Y41" i="3"/>
  <c r="AA41" i="3" s="1"/>
  <c r="Y41" i="4" s="1"/>
  <c r="Z33" i="3"/>
  <c r="AB33" i="3" s="1"/>
  <c r="L33" i="4" s="1"/>
  <c r="Y33" i="3"/>
  <c r="AA33" i="3" s="1"/>
  <c r="Y33" i="4" s="1"/>
  <c r="Z25" i="3"/>
  <c r="AB25" i="3" s="1"/>
  <c r="L25" i="4" s="1"/>
  <c r="Y25" i="3"/>
  <c r="AA25" i="3" s="1"/>
  <c r="Y25" i="4" s="1"/>
  <c r="Z15" i="3"/>
  <c r="AB15" i="3" s="1"/>
  <c r="L15" i="4" s="1"/>
  <c r="Y15" i="3"/>
  <c r="AA15" i="3" s="1"/>
  <c r="Y15" i="4" s="1"/>
  <c r="Y8" i="3"/>
  <c r="AA8" i="3" s="1"/>
  <c r="Y8" i="4" s="1"/>
  <c r="Z8" i="3"/>
  <c r="AB8" i="3" s="1"/>
  <c r="Z63" i="3"/>
  <c r="AB63" i="3" s="1"/>
  <c r="L63" i="4" s="1"/>
  <c r="Y63" i="3"/>
  <c r="AA63" i="3" s="1"/>
  <c r="Y63" i="4" s="1"/>
  <c r="Z38" i="3"/>
  <c r="AB38" i="3" s="1"/>
  <c r="L38" i="4" s="1"/>
  <c r="Y38" i="3"/>
  <c r="AA38" i="3" s="1"/>
  <c r="Y38" i="4" s="1"/>
  <c r="Z70" i="3"/>
  <c r="AB70" i="3" s="1"/>
  <c r="L70" i="4" s="1"/>
  <c r="Y70" i="3"/>
  <c r="AA70" i="3" s="1"/>
  <c r="Y70" i="4" s="1"/>
  <c r="Y45" i="3"/>
  <c r="AA45" i="3" s="1"/>
  <c r="Y45" i="4" s="1"/>
  <c r="Z45" i="3"/>
  <c r="AB45" i="3" s="1"/>
  <c r="L45" i="4" s="1"/>
  <c r="Y29" i="3"/>
  <c r="AA29" i="3" s="1"/>
  <c r="Y29" i="4" s="1"/>
  <c r="Z29" i="3"/>
  <c r="AB29" i="3" s="1"/>
  <c r="L29" i="4" s="1"/>
  <c r="Y69" i="3"/>
  <c r="AA69" i="3" s="1"/>
  <c r="Y69" i="4" s="1"/>
  <c r="Z69" i="3"/>
  <c r="AB69" i="3" s="1"/>
  <c r="L69" i="4" s="1"/>
  <c r="Y44" i="3"/>
  <c r="AA44" i="3" s="1"/>
  <c r="Y44" i="4" s="1"/>
  <c r="Z44" i="3"/>
  <c r="AB44" i="3" s="1"/>
  <c r="L44" i="4" s="1"/>
  <c r="Y19" i="3"/>
  <c r="AA19" i="3" s="1"/>
  <c r="Y19" i="4" s="1"/>
  <c r="Z19" i="3"/>
  <c r="AB19" i="3" s="1"/>
  <c r="L19" i="4" s="1"/>
  <c r="Y52" i="3"/>
  <c r="AA52" i="3" s="1"/>
  <c r="Y52" i="4" s="1"/>
  <c r="Z52" i="3"/>
  <c r="AB52" i="3" s="1"/>
  <c r="L52" i="4" s="1"/>
  <c r="Y27" i="3"/>
  <c r="AA27" i="3" s="1"/>
  <c r="Y27" i="4" s="1"/>
  <c r="Z27" i="3"/>
  <c r="AB27" i="3" s="1"/>
  <c r="L27" i="4" s="1"/>
  <c r="Z9" i="3"/>
  <c r="AB9" i="3" s="1"/>
  <c r="L9" i="4" s="1"/>
  <c r="Y9" i="3"/>
  <c r="AA9" i="3" s="1"/>
  <c r="Y9" i="4" s="1"/>
  <c r="Z73" i="3"/>
  <c r="AB73" i="3" s="1"/>
  <c r="L73" i="4" s="1"/>
  <c r="Y73" i="3"/>
  <c r="AA73" i="3" s="1"/>
  <c r="Y73" i="4" s="1"/>
  <c r="Z65" i="3"/>
  <c r="AB65" i="3" s="1"/>
  <c r="L65" i="4" s="1"/>
  <c r="Y65" i="3"/>
  <c r="AA65" i="3" s="1"/>
  <c r="Y65" i="4" s="1"/>
  <c r="Z57" i="3"/>
  <c r="AB57" i="3" s="1"/>
  <c r="L57" i="4" s="1"/>
  <c r="Y57" i="3"/>
  <c r="AA57" i="3" s="1"/>
  <c r="Y57" i="4" s="1"/>
  <c r="Z49" i="3"/>
  <c r="AB49" i="3" s="1"/>
  <c r="L49" i="4" s="1"/>
  <c r="Y49" i="3"/>
  <c r="AA49" i="3" s="1"/>
  <c r="Y49" i="4" s="1"/>
  <c r="Z40" i="3"/>
  <c r="AB40" i="3" s="1"/>
  <c r="L40" i="4" s="1"/>
  <c r="Y40" i="3"/>
  <c r="AA40" i="3" s="1"/>
  <c r="Y40" i="4" s="1"/>
  <c r="Z32" i="3"/>
  <c r="AB32" i="3" s="1"/>
  <c r="L32" i="4" s="1"/>
  <c r="Y32" i="3"/>
  <c r="AA32" i="3" s="1"/>
  <c r="Y32" i="4" s="1"/>
  <c r="Z24" i="3"/>
  <c r="AB24" i="3" s="1"/>
  <c r="L24" i="4" s="1"/>
  <c r="Y24" i="3"/>
  <c r="AA24" i="3" s="1"/>
  <c r="Y24" i="4" s="1"/>
  <c r="Z17" i="3"/>
  <c r="AB17" i="3" s="1"/>
  <c r="L17" i="4" s="1"/>
  <c r="Y17" i="3"/>
  <c r="AA17" i="3" s="1"/>
  <c r="Y17" i="4" s="1"/>
  <c r="Z7" i="3"/>
  <c r="AB7" i="3" s="1"/>
  <c r="Y7" i="3"/>
  <c r="AA7" i="3" s="1"/>
  <c r="Y7" i="4" s="1"/>
  <c r="Z46" i="3"/>
  <c r="AB46" i="3" s="1"/>
  <c r="L46" i="4" s="1"/>
  <c r="Y46" i="3"/>
  <c r="AA46" i="3" s="1"/>
  <c r="Y46" i="4" s="1"/>
  <c r="Z62" i="3"/>
  <c r="AB62" i="3" s="1"/>
  <c r="L62" i="4" s="1"/>
  <c r="Y62" i="3"/>
  <c r="AA62" i="3" s="1"/>
  <c r="Y62" i="4" s="1"/>
  <c r="Y37" i="3"/>
  <c r="AA37" i="3" s="1"/>
  <c r="Y37" i="4" s="1"/>
  <c r="Z37" i="3"/>
  <c r="AB37" i="3" s="1"/>
  <c r="L37" i="4" s="1"/>
  <c r="Y12" i="3"/>
  <c r="AA12" i="3" s="1"/>
  <c r="Y12" i="4" s="1"/>
  <c r="Z12" i="3"/>
  <c r="AB12" i="3" s="1"/>
  <c r="L12" i="4" s="1"/>
  <c r="Y53" i="3"/>
  <c r="AA53" i="3" s="1"/>
  <c r="Y53" i="4" s="1"/>
  <c r="Z53" i="3"/>
  <c r="AB53" i="3" s="1"/>
  <c r="L53" i="4" s="1"/>
  <c r="Z22" i="3"/>
  <c r="AB22" i="3" s="1"/>
  <c r="L22" i="4" s="1"/>
  <c r="Y22" i="3"/>
  <c r="AA22" i="3" s="1"/>
  <c r="Y22" i="4" s="1"/>
  <c r="Y68" i="3"/>
  <c r="AA68" i="3" s="1"/>
  <c r="Y68" i="4" s="1"/>
  <c r="Z68" i="3"/>
  <c r="AB68" i="3" s="1"/>
  <c r="L68" i="4" s="1"/>
  <c r="Y43" i="3"/>
  <c r="AA43" i="3" s="1"/>
  <c r="Y43" i="4" s="1"/>
  <c r="Z43" i="3"/>
  <c r="AB43" i="3" s="1"/>
  <c r="L43" i="4" s="1"/>
  <c r="Z18" i="3"/>
  <c r="AB18" i="3" s="1"/>
  <c r="L18" i="4" s="1"/>
  <c r="Y18" i="3"/>
  <c r="AA18" i="3" s="1"/>
  <c r="Y18" i="4" s="1"/>
  <c r="Z16" i="3"/>
  <c r="AB16" i="3" s="1"/>
  <c r="L16" i="4" s="1"/>
  <c r="Y16" i="3"/>
  <c r="AA16" i="3" s="1"/>
  <c r="Y16" i="4" s="1"/>
  <c r="Z72" i="3"/>
  <c r="AB72" i="3" s="1"/>
  <c r="L72" i="4" s="1"/>
  <c r="Y72" i="3"/>
  <c r="AA72" i="3" s="1"/>
  <c r="Y72" i="4" s="1"/>
  <c r="Z64" i="3"/>
  <c r="AB64" i="3" s="1"/>
  <c r="L64" i="4" s="1"/>
  <c r="Y64" i="3"/>
  <c r="AA64" i="3" s="1"/>
  <c r="Y64" i="4" s="1"/>
  <c r="Z56" i="3"/>
  <c r="AB56" i="3" s="1"/>
  <c r="L56" i="4" s="1"/>
  <c r="Y56" i="3"/>
  <c r="AA56" i="3" s="1"/>
  <c r="Y56" i="4" s="1"/>
  <c r="Z48" i="3"/>
  <c r="AB48" i="3" s="1"/>
  <c r="L48" i="4" s="1"/>
  <c r="Y48" i="3"/>
  <c r="AA48" i="3" s="1"/>
  <c r="Y48" i="4" s="1"/>
  <c r="Z39" i="3"/>
  <c r="AB39" i="3" s="1"/>
  <c r="L39" i="4" s="1"/>
  <c r="Y39" i="3"/>
  <c r="AA39" i="3" s="1"/>
  <c r="Y39" i="4" s="1"/>
  <c r="Z31" i="3"/>
  <c r="AB31" i="3" s="1"/>
  <c r="L31" i="4" s="1"/>
  <c r="Y31" i="3"/>
  <c r="AA31" i="3" s="1"/>
  <c r="Y31" i="4" s="1"/>
  <c r="Z23" i="3"/>
  <c r="AB23" i="3" s="1"/>
  <c r="L23" i="4" s="1"/>
  <c r="Y23" i="3"/>
  <c r="AA23" i="3" s="1"/>
  <c r="Y23" i="4" s="1"/>
  <c r="Z14" i="3"/>
  <c r="AB14" i="3" s="1"/>
  <c r="L14" i="4" s="1"/>
  <c r="Y14" i="3"/>
  <c r="AA14" i="3" s="1"/>
  <c r="Y14" i="4" s="1"/>
  <c r="Z6" i="3"/>
  <c r="AB6" i="3" s="1"/>
  <c r="G9" i="1"/>
  <c r="E29" i="3" s="1"/>
  <c r="G10" i="1"/>
  <c r="E40" i="3" s="1"/>
  <c r="G11" i="1"/>
  <c r="E38" i="3" s="1"/>
  <c r="G12" i="1"/>
  <c r="E36" i="3" s="1"/>
  <c r="G13" i="1"/>
  <c r="E35" i="3" s="1"/>
  <c r="G14" i="1"/>
  <c r="E37" i="3" s="1"/>
  <c r="G15" i="1"/>
  <c r="E41" i="3" s="1"/>
  <c r="G16" i="1"/>
  <c r="E42" i="3" s="1"/>
  <c r="G17" i="1"/>
  <c r="E43" i="3" s="1"/>
  <c r="G18" i="1"/>
  <c r="E5" i="3" s="1"/>
  <c r="G19" i="1"/>
  <c r="E7" i="3" s="1"/>
  <c r="G20" i="1"/>
  <c r="E6" i="3" s="1"/>
  <c r="G21" i="1"/>
  <c r="E9" i="3" s="1"/>
  <c r="G22" i="1"/>
  <c r="E10" i="3" s="1"/>
  <c r="G23" i="1"/>
  <c r="E11" i="3" s="1"/>
  <c r="G24" i="1"/>
  <c r="E8" i="3" s="1"/>
  <c r="G25" i="1"/>
  <c r="E4" i="3" s="1"/>
  <c r="G26" i="1"/>
  <c r="E14" i="3" s="1"/>
  <c r="G27" i="1"/>
  <c r="E12" i="3" s="1"/>
  <c r="G28" i="1"/>
  <c r="E15" i="3" s="1"/>
  <c r="G29" i="1"/>
  <c r="E13" i="3" s="1"/>
  <c r="G30" i="1"/>
  <c r="E20" i="3" s="1"/>
  <c r="G31" i="1"/>
  <c r="E16" i="3" s="1"/>
  <c r="G32" i="1"/>
  <c r="E18" i="3" s="1"/>
  <c r="G33" i="1"/>
  <c r="E17" i="3" s="1"/>
  <c r="G34" i="1"/>
  <c r="E19" i="3" s="1"/>
  <c r="G35" i="1"/>
  <c r="E21" i="3" s="1"/>
  <c r="G36" i="1"/>
  <c r="E24" i="3" s="1"/>
  <c r="G37" i="1"/>
  <c r="E22" i="3" s="1"/>
  <c r="G38" i="1"/>
  <c r="E26" i="3" s="1"/>
  <c r="G39" i="1"/>
  <c r="E27" i="3" s="1"/>
  <c r="G40" i="1"/>
  <c r="E23" i="3" s="1"/>
  <c r="G41" i="1"/>
  <c r="E28" i="3" s="1"/>
  <c r="G42" i="1"/>
  <c r="E25" i="3" s="1"/>
  <c r="G43" i="1"/>
  <c r="E30" i="3" s="1"/>
  <c r="G44" i="1"/>
  <c r="E33" i="3" s="1"/>
  <c r="G45" i="1"/>
  <c r="E31" i="3" s="1"/>
  <c r="G46" i="1"/>
  <c r="E34" i="3" s="1"/>
  <c r="G47" i="1"/>
  <c r="E32" i="3" s="1"/>
  <c r="G8" i="1"/>
  <c r="N4" i="1"/>
  <c r="O4" i="1" s="1"/>
  <c r="D5" i="1"/>
  <c r="L3" i="1" s="1"/>
  <c r="I13" i="8" l="1"/>
  <c r="AL14" i="4"/>
  <c r="I47" i="8"/>
  <c r="AL48" i="4"/>
  <c r="I15" i="8"/>
  <c r="AL16" i="4"/>
  <c r="I21" i="8"/>
  <c r="AL22" i="4"/>
  <c r="I61" i="8"/>
  <c r="AL62" i="4"/>
  <c r="I23" i="8"/>
  <c r="AL24" i="4"/>
  <c r="I56" i="8"/>
  <c r="AL57" i="4"/>
  <c r="K26" i="8"/>
  <c r="AM27" i="4"/>
  <c r="K68" i="8"/>
  <c r="AM69" i="4"/>
  <c r="I37" i="8"/>
  <c r="AL38" i="4"/>
  <c r="I24" i="8"/>
  <c r="AL25" i="4"/>
  <c r="I57" i="8"/>
  <c r="AL58" i="4"/>
  <c r="I33" i="8"/>
  <c r="AL34" i="4"/>
  <c r="K66" i="8"/>
  <c r="AM67" i="4"/>
  <c r="K59" i="8"/>
  <c r="AM60" i="4"/>
  <c r="K19" i="8"/>
  <c r="AM20" i="4"/>
  <c r="K12" i="8"/>
  <c r="AM13" i="4"/>
  <c r="K55" i="8"/>
  <c r="AM56" i="4"/>
  <c r="K17" i="8"/>
  <c r="AM18" i="4"/>
  <c r="I52" i="8"/>
  <c r="AL53" i="4"/>
  <c r="K45" i="8"/>
  <c r="AM46" i="4"/>
  <c r="K31" i="8"/>
  <c r="AM32" i="4"/>
  <c r="K64" i="8"/>
  <c r="AM65" i="4"/>
  <c r="I51" i="8"/>
  <c r="AL52" i="4"/>
  <c r="I28" i="8"/>
  <c r="AL29" i="4"/>
  <c r="K62" i="8"/>
  <c r="AM63" i="4"/>
  <c r="K32" i="8"/>
  <c r="AM33" i="4"/>
  <c r="K65" i="8"/>
  <c r="AM66" i="4"/>
  <c r="K41" i="8"/>
  <c r="AM42" i="4"/>
  <c r="K46" i="8"/>
  <c r="AM47" i="4"/>
  <c r="I10" i="8"/>
  <c r="AL11" i="4"/>
  <c r="K53" i="8"/>
  <c r="AM54" i="4"/>
  <c r="I20" i="8"/>
  <c r="AL21" i="4"/>
  <c r="K69" i="8"/>
  <c r="AM70" i="4"/>
  <c r="I17" i="8"/>
  <c r="AL18" i="4"/>
  <c r="K10" i="8"/>
  <c r="AM11" i="4"/>
  <c r="I53" i="8"/>
  <c r="AL54" i="4"/>
  <c r="K20" i="8"/>
  <c r="AM21" i="4"/>
  <c r="K38" i="8"/>
  <c r="AM39" i="4"/>
  <c r="I22" i="8"/>
  <c r="AL23" i="4"/>
  <c r="I55" i="8"/>
  <c r="AL56" i="4"/>
  <c r="K52" i="8"/>
  <c r="AM53" i="4"/>
  <c r="I31" i="8"/>
  <c r="AL32" i="4"/>
  <c r="K51" i="8"/>
  <c r="AM52" i="4"/>
  <c r="K28" i="8"/>
  <c r="AM29" i="4"/>
  <c r="I32" i="8"/>
  <c r="AL33" i="4"/>
  <c r="I65" i="8"/>
  <c r="AL66" i="4"/>
  <c r="I41" i="8"/>
  <c r="AL42" i="4"/>
  <c r="K63" i="8"/>
  <c r="AM64" i="4"/>
  <c r="I42" i="8"/>
  <c r="AL43" i="4"/>
  <c r="I11" i="8"/>
  <c r="AL12" i="4"/>
  <c r="K6" i="8"/>
  <c r="AM7" i="4"/>
  <c r="K39" i="8"/>
  <c r="AM40" i="4"/>
  <c r="K72" i="8"/>
  <c r="AM73" i="4"/>
  <c r="I18" i="8"/>
  <c r="AL19" i="4"/>
  <c r="I44" i="8"/>
  <c r="AL45" i="4"/>
  <c r="L8" i="4"/>
  <c r="AD8" i="3"/>
  <c r="K40" i="8"/>
  <c r="AM41" i="4"/>
  <c r="I27" i="8"/>
  <c r="AL28" i="4"/>
  <c r="I50" i="8"/>
  <c r="AL51" i="4"/>
  <c r="K9" i="8"/>
  <c r="AM10" i="4"/>
  <c r="I35" i="8"/>
  <c r="AL36" i="4"/>
  <c r="K29" i="8"/>
  <c r="AM30" i="4"/>
  <c r="K54" i="8"/>
  <c r="AM55" i="4"/>
  <c r="K49" i="8"/>
  <c r="AM50" i="4"/>
  <c r="L6" i="4"/>
  <c r="AD6" i="3"/>
  <c r="I38" i="8"/>
  <c r="AL39" i="4"/>
  <c r="I71" i="8"/>
  <c r="AL72" i="4"/>
  <c r="K22" i="8"/>
  <c r="AM23" i="4"/>
  <c r="I45" i="8"/>
  <c r="AL46" i="4"/>
  <c r="I64" i="8"/>
  <c r="AL65" i="4"/>
  <c r="I62" i="8"/>
  <c r="AL63" i="4"/>
  <c r="I46" i="8"/>
  <c r="AL47" i="4"/>
  <c r="K30" i="8"/>
  <c r="AM31" i="4"/>
  <c r="I30" i="8"/>
  <c r="AL31" i="4"/>
  <c r="I63" i="8"/>
  <c r="AL64" i="4"/>
  <c r="K42" i="8"/>
  <c r="AM43" i="4"/>
  <c r="K11" i="8"/>
  <c r="AM12" i="4"/>
  <c r="L7" i="4"/>
  <c r="L3" i="4" s="1"/>
  <c r="AD7" i="3"/>
  <c r="I39" i="8"/>
  <c r="AL40" i="4"/>
  <c r="I72" i="8"/>
  <c r="AL73" i="4"/>
  <c r="K18" i="8"/>
  <c r="AM19" i="4"/>
  <c r="K44" i="8"/>
  <c r="AM45" i="4"/>
  <c r="K7" i="8"/>
  <c r="AM8" i="4"/>
  <c r="I40" i="8"/>
  <c r="AL41" i="4"/>
  <c r="K27" i="8"/>
  <c r="AM28" i="4"/>
  <c r="K50" i="8"/>
  <c r="AM51" i="4"/>
  <c r="I9" i="8"/>
  <c r="AL10" i="4"/>
  <c r="K35" i="8"/>
  <c r="AM36" i="4"/>
  <c r="I29" i="8"/>
  <c r="AL30" i="4"/>
  <c r="I54" i="8"/>
  <c r="AL55" i="4"/>
  <c r="K16" i="8"/>
  <c r="AM17" i="4"/>
  <c r="K8" i="8"/>
  <c r="AM9" i="4"/>
  <c r="K14" i="8"/>
  <c r="AM15" i="4"/>
  <c r="K25" i="8"/>
  <c r="AM26" i="4"/>
  <c r="I58" i="8"/>
  <c r="AL59" i="4"/>
  <c r="I34" i="8"/>
  <c r="AL35" i="4"/>
  <c r="I60" i="8"/>
  <c r="AL61" i="4"/>
  <c r="K70" i="8"/>
  <c r="AM71" i="4"/>
  <c r="I67" i="8"/>
  <c r="AL68" i="4"/>
  <c r="K36" i="8"/>
  <c r="AM37" i="4"/>
  <c r="I16" i="8"/>
  <c r="AL17" i="4"/>
  <c r="I48" i="8"/>
  <c r="AL49" i="4"/>
  <c r="I8" i="8"/>
  <c r="AL9" i="4"/>
  <c r="K43" i="8"/>
  <c r="AM44" i="4"/>
  <c r="I69" i="8"/>
  <c r="AL70" i="4"/>
  <c r="I14" i="8"/>
  <c r="AL15" i="4"/>
  <c r="I49" i="8"/>
  <c r="AL50" i="4"/>
  <c r="I25" i="8"/>
  <c r="AL26" i="4"/>
  <c r="K58" i="8"/>
  <c r="AM59" i="4"/>
  <c r="U5" i="8"/>
  <c r="K71" i="8"/>
  <c r="AM72" i="4"/>
  <c r="I36" i="8"/>
  <c r="AL37" i="4"/>
  <c r="K48" i="8"/>
  <c r="AM49" i="4"/>
  <c r="I43" i="8"/>
  <c r="AL44" i="4"/>
  <c r="K67" i="8"/>
  <c r="AM68" i="4"/>
  <c r="K34" i="8"/>
  <c r="AM35" i="4"/>
  <c r="K60" i="8"/>
  <c r="AM61" i="4"/>
  <c r="I70" i="8"/>
  <c r="AL71" i="4"/>
  <c r="K13" i="8"/>
  <c r="AM14" i="4"/>
  <c r="K47" i="8"/>
  <c r="AM48" i="4"/>
  <c r="K15" i="8"/>
  <c r="AM16" i="4"/>
  <c r="K21" i="8"/>
  <c r="AM22" i="4"/>
  <c r="K61" i="8"/>
  <c r="AM62" i="4"/>
  <c r="K23" i="8"/>
  <c r="AM24" i="4"/>
  <c r="K56" i="8"/>
  <c r="AM57" i="4"/>
  <c r="I26" i="8"/>
  <c r="AL27" i="4"/>
  <c r="I68" i="8"/>
  <c r="AL69" i="4"/>
  <c r="K37" i="8"/>
  <c r="AM38" i="4"/>
  <c r="K24" i="8"/>
  <c r="AM25" i="4"/>
  <c r="K57" i="8"/>
  <c r="AM58" i="4"/>
  <c r="K33" i="8"/>
  <c r="AM34" i="4"/>
  <c r="I66" i="8"/>
  <c r="AL67" i="4"/>
  <c r="I59" i="8"/>
  <c r="AL60" i="4"/>
  <c r="I19" i="8"/>
  <c r="AL20" i="4"/>
  <c r="I12" i="8"/>
  <c r="AL13" i="4"/>
  <c r="AM75" i="4"/>
  <c r="E39" i="3"/>
  <c r="G54" i="1"/>
  <c r="Y3" i="4"/>
  <c r="O5" i="1"/>
  <c r="N5" i="1"/>
  <c r="O36" i="8" l="1"/>
  <c r="P36" i="8"/>
  <c r="P49" i="8"/>
  <c r="O49" i="8"/>
  <c r="T49" i="8" s="1"/>
  <c r="P8" i="8"/>
  <c r="O8" i="8"/>
  <c r="P67" i="8"/>
  <c r="O67" i="8"/>
  <c r="P58" i="8"/>
  <c r="O58" i="8"/>
  <c r="R16" i="8"/>
  <c r="Q16" i="8"/>
  <c r="U16" i="8" s="1"/>
  <c r="O9" i="8"/>
  <c r="P9" i="8"/>
  <c r="Q7" i="8"/>
  <c r="U7" i="8" s="1"/>
  <c r="R7" i="8"/>
  <c r="P39" i="8"/>
  <c r="O39" i="8"/>
  <c r="P63" i="8"/>
  <c r="O63" i="8"/>
  <c r="T63" i="8" s="1"/>
  <c r="O62" i="8"/>
  <c r="P62" i="8"/>
  <c r="P71" i="8"/>
  <c r="O71" i="8"/>
  <c r="Q54" i="8"/>
  <c r="R54" i="8"/>
  <c r="P50" i="8"/>
  <c r="O50" i="8"/>
  <c r="T50" i="8" s="1"/>
  <c r="O44" i="8"/>
  <c r="P44" i="8"/>
  <c r="Q6" i="8"/>
  <c r="U6" i="8" s="1"/>
  <c r="R6" i="8"/>
  <c r="O41" i="8"/>
  <c r="P41" i="8"/>
  <c r="R51" i="8"/>
  <c r="Q51" i="8"/>
  <c r="U51" i="8" s="1"/>
  <c r="O22" i="8"/>
  <c r="P22" i="8"/>
  <c r="R10" i="8"/>
  <c r="Q10" i="8"/>
  <c r="R53" i="8"/>
  <c r="Q53" i="8"/>
  <c r="U53" i="8" s="1"/>
  <c r="Q65" i="8"/>
  <c r="R65" i="8"/>
  <c r="P51" i="8"/>
  <c r="O51" i="8"/>
  <c r="O52" i="8"/>
  <c r="T52" i="8" s="1"/>
  <c r="P52" i="8"/>
  <c r="R19" i="8"/>
  <c r="Q19" i="8"/>
  <c r="U19" i="8" s="1"/>
  <c r="P57" i="8"/>
  <c r="O57" i="8"/>
  <c r="T57" i="8" s="1"/>
  <c r="R26" i="8"/>
  <c r="Q26" i="8"/>
  <c r="O21" i="8"/>
  <c r="T21" i="8" s="1"/>
  <c r="P21" i="8"/>
  <c r="Q33" i="8"/>
  <c r="R33" i="8"/>
  <c r="R61" i="8"/>
  <c r="Q61" i="8"/>
  <c r="U61" i="8" s="1"/>
  <c r="P14" i="8"/>
  <c r="O14" i="8"/>
  <c r="P11" i="8"/>
  <c r="O11" i="8"/>
  <c r="R64" i="8"/>
  <c r="Q64" i="8"/>
  <c r="U64" i="8" s="1"/>
  <c r="O24" i="8"/>
  <c r="P24" i="8"/>
  <c r="O56" i="8"/>
  <c r="P56" i="8"/>
  <c r="P15" i="8"/>
  <c r="O15" i="8"/>
  <c r="O68" i="8"/>
  <c r="P68" i="8"/>
  <c r="Q71" i="8"/>
  <c r="R71" i="8"/>
  <c r="Q70" i="8"/>
  <c r="R70" i="8"/>
  <c r="Q25" i="8"/>
  <c r="U25" i="8" s="1"/>
  <c r="R25" i="8"/>
  <c r="P54" i="8"/>
  <c r="O54" i="8"/>
  <c r="T54" i="8" s="1"/>
  <c r="R50" i="8"/>
  <c r="Q50" i="8"/>
  <c r="U50" i="8" s="1"/>
  <c r="Q44" i="8"/>
  <c r="R44" i="8"/>
  <c r="P30" i="8"/>
  <c r="O30" i="8"/>
  <c r="O38" i="8"/>
  <c r="P38" i="8"/>
  <c r="P18" i="8"/>
  <c r="O18" i="8"/>
  <c r="T18" i="8" s="1"/>
  <c r="P31" i="8"/>
  <c r="O31" i="8"/>
  <c r="O17" i="8"/>
  <c r="T17" i="8" s="1"/>
  <c r="P17" i="8"/>
  <c r="R32" i="8"/>
  <c r="Q32" i="8"/>
  <c r="U32" i="8" s="1"/>
  <c r="Q59" i="8"/>
  <c r="R59" i="8"/>
  <c r="P19" i="8"/>
  <c r="O19" i="8"/>
  <c r="Q57" i="8"/>
  <c r="U57" i="8" s="1"/>
  <c r="R57" i="8"/>
  <c r="P26" i="8"/>
  <c r="O26" i="8"/>
  <c r="T26" i="8" s="1"/>
  <c r="R21" i="8"/>
  <c r="Q21" i="8"/>
  <c r="U21" i="8" s="1"/>
  <c r="P43" i="8"/>
  <c r="O43" i="8"/>
  <c r="T43" i="8" s="1"/>
  <c r="R58" i="8"/>
  <c r="Q58" i="8"/>
  <c r="P69" i="8"/>
  <c r="O69" i="8"/>
  <c r="T69" i="8" s="1"/>
  <c r="P16" i="8"/>
  <c r="O16" i="8"/>
  <c r="T16" i="8" s="1"/>
  <c r="O60" i="8"/>
  <c r="P60" i="8"/>
  <c r="Q14" i="8"/>
  <c r="U14" i="8" s="1"/>
  <c r="R14" i="8"/>
  <c r="O29" i="8"/>
  <c r="P29" i="8"/>
  <c r="Q27" i="8"/>
  <c r="R27" i="8"/>
  <c r="R18" i="8"/>
  <c r="Q18" i="8"/>
  <c r="U18" i="8" s="1"/>
  <c r="Q11" i="8"/>
  <c r="U11" i="8" s="1"/>
  <c r="R11" i="8"/>
  <c r="Q30" i="8"/>
  <c r="R30" i="8"/>
  <c r="P45" i="8"/>
  <c r="O45" i="8"/>
  <c r="T45" i="8" s="1"/>
  <c r="AL6" i="4"/>
  <c r="AL75" i="4" s="1"/>
  <c r="I5" i="8"/>
  <c r="P35" i="8"/>
  <c r="O35" i="8"/>
  <c r="R40" i="8"/>
  <c r="Q40" i="8"/>
  <c r="U40" i="8" s="1"/>
  <c r="R72" i="8"/>
  <c r="Q72" i="8"/>
  <c r="U72" i="8" s="1"/>
  <c r="O42" i="8"/>
  <c r="P42" i="8"/>
  <c r="O32" i="8"/>
  <c r="P32" i="8"/>
  <c r="Q52" i="8"/>
  <c r="R52" i="8"/>
  <c r="Q20" i="8"/>
  <c r="R20" i="8"/>
  <c r="R69" i="8"/>
  <c r="Q69" i="8"/>
  <c r="Q46" i="8"/>
  <c r="U46" i="8" s="1"/>
  <c r="R46" i="8"/>
  <c r="Q62" i="8"/>
  <c r="R62" i="8"/>
  <c r="Q31" i="8"/>
  <c r="R31" i="8"/>
  <c r="Q55" i="8"/>
  <c r="R55" i="8"/>
  <c r="R66" i="8"/>
  <c r="Q66" i="8"/>
  <c r="P37" i="8"/>
  <c r="O37" i="8"/>
  <c r="T37" i="8" s="1"/>
  <c r="P23" i="8"/>
  <c r="O23" i="8"/>
  <c r="T23" i="8" s="1"/>
  <c r="P47" i="8"/>
  <c r="O47" i="8"/>
  <c r="P66" i="8"/>
  <c r="O66" i="8"/>
  <c r="R37" i="8"/>
  <c r="Q37" i="8"/>
  <c r="U37" i="8" s="1"/>
  <c r="Q23" i="8"/>
  <c r="R23" i="8"/>
  <c r="R47" i="8"/>
  <c r="Q47" i="8"/>
  <c r="U47" i="8" s="1"/>
  <c r="R34" i="8"/>
  <c r="Q34" i="8"/>
  <c r="O12" i="8"/>
  <c r="P12" i="8"/>
  <c r="R13" i="8"/>
  <c r="Q13" i="8"/>
  <c r="U13" i="8" s="1"/>
  <c r="R67" i="8"/>
  <c r="Q67" i="8"/>
  <c r="U67" i="8" s="1"/>
  <c r="O48" i="8"/>
  <c r="T48" i="8" s="1"/>
  <c r="P48" i="8"/>
  <c r="I6" i="8"/>
  <c r="AL7" i="4"/>
  <c r="O64" i="8"/>
  <c r="P64" i="8"/>
  <c r="R29" i="8"/>
  <c r="Q29" i="8"/>
  <c r="U29" i="8" s="1"/>
  <c r="P27" i="8"/>
  <c r="O27" i="8"/>
  <c r="O65" i="8"/>
  <c r="P65" i="8"/>
  <c r="Q38" i="8"/>
  <c r="R38" i="8"/>
  <c r="O10" i="8"/>
  <c r="P10" i="8"/>
  <c r="Q17" i="8"/>
  <c r="U17" i="8" s="1"/>
  <c r="R17" i="8"/>
  <c r="O70" i="8"/>
  <c r="P70" i="8"/>
  <c r="P59" i="8"/>
  <c r="O59" i="8"/>
  <c r="T59" i="8" s="1"/>
  <c r="R24" i="8"/>
  <c r="Q24" i="8"/>
  <c r="U24" i="8" s="1"/>
  <c r="R56" i="8"/>
  <c r="Q56" i="8"/>
  <c r="R15" i="8"/>
  <c r="Q15" i="8"/>
  <c r="U15" i="8" s="1"/>
  <c r="R48" i="8"/>
  <c r="Q48" i="8"/>
  <c r="U48" i="8" s="1"/>
  <c r="Q60" i="8"/>
  <c r="R60" i="8"/>
  <c r="O25" i="8"/>
  <c r="T25" i="8" s="1"/>
  <c r="P25" i="8"/>
  <c r="Q43" i="8"/>
  <c r="R43" i="8"/>
  <c r="Q36" i="8"/>
  <c r="R36" i="8"/>
  <c r="P34" i="8"/>
  <c r="O34" i="8"/>
  <c r="T34" i="8" s="1"/>
  <c r="R8" i="8"/>
  <c r="Q8" i="8"/>
  <c r="R35" i="8"/>
  <c r="Q35" i="8"/>
  <c r="U35" i="8" s="1"/>
  <c r="O40" i="8"/>
  <c r="P40" i="8"/>
  <c r="T40" i="8" s="1"/>
  <c r="O72" i="8"/>
  <c r="P72" i="8"/>
  <c r="R42" i="8"/>
  <c r="Q42" i="8"/>
  <c r="P46" i="8"/>
  <c r="O46" i="8"/>
  <c r="T46" i="8" s="1"/>
  <c r="Q22" i="8"/>
  <c r="R22" i="8"/>
  <c r="Q49" i="8"/>
  <c r="R49" i="8"/>
  <c r="Q9" i="8"/>
  <c r="U9" i="8" s="1"/>
  <c r="R9" i="8"/>
  <c r="I7" i="8"/>
  <c r="AL8" i="4"/>
  <c r="Q39" i="8"/>
  <c r="R39" i="8"/>
  <c r="Q63" i="8"/>
  <c r="R63" i="8"/>
  <c r="Q28" i="8"/>
  <c r="U28" i="8" s="1"/>
  <c r="R28" i="8"/>
  <c r="P55" i="8"/>
  <c r="O55" i="8"/>
  <c r="T55" i="8" s="1"/>
  <c r="P53" i="8"/>
  <c r="O53" i="8"/>
  <c r="T53" i="8" s="1"/>
  <c r="O20" i="8"/>
  <c r="P20" i="8"/>
  <c r="Q41" i="8"/>
  <c r="U41" i="8" s="1"/>
  <c r="R41" i="8"/>
  <c r="P28" i="8"/>
  <c r="O28" i="8"/>
  <c r="T28" i="8" s="1"/>
  <c r="R45" i="8"/>
  <c r="Q45" i="8"/>
  <c r="U45" i="8" s="1"/>
  <c r="Q12" i="8"/>
  <c r="R12" i="8"/>
  <c r="O33" i="8"/>
  <c r="T33" i="8" s="1"/>
  <c r="P33" i="8"/>
  <c r="Q68" i="8"/>
  <c r="R68" i="8"/>
  <c r="P61" i="8"/>
  <c r="O61" i="8"/>
  <c r="T61" i="8" s="1"/>
  <c r="O13" i="8"/>
  <c r="P13" i="8"/>
  <c r="Y4" i="1"/>
  <c r="Z4" i="1" s="1"/>
  <c r="E47" i="3" s="1"/>
  <c r="Y12" i="1"/>
  <c r="Z12" i="1" s="1"/>
  <c r="E54" i="3" s="1"/>
  <c r="Y20" i="1"/>
  <c r="Z20" i="1" s="1"/>
  <c r="E61" i="3" s="1"/>
  <c r="Y28" i="1"/>
  <c r="Z28" i="1" s="1"/>
  <c r="E68" i="3" s="1"/>
  <c r="Y36" i="1"/>
  <c r="Z36" i="1" s="1"/>
  <c r="E78" i="3" s="1"/>
  <c r="Y44" i="1"/>
  <c r="Z44" i="1" s="1"/>
  <c r="E86" i="3" s="1"/>
  <c r="Y5" i="1"/>
  <c r="Z5" i="1" s="1"/>
  <c r="E45" i="3" s="1"/>
  <c r="Y13" i="1"/>
  <c r="Z13" i="1" s="1"/>
  <c r="E56" i="3" s="1"/>
  <c r="Y21" i="1"/>
  <c r="Z21" i="1" s="1"/>
  <c r="E62" i="3" s="1"/>
  <c r="Y29" i="1"/>
  <c r="Z29" i="1" s="1"/>
  <c r="E74" i="3" s="1"/>
  <c r="Y37" i="1"/>
  <c r="Z37" i="1" s="1"/>
  <c r="E80" i="3" s="1"/>
  <c r="Y45" i="1"/>
  <c r="Z45" i="1" s="1"/>
  <c r="E87" i="3" s="1"/>
  <c r="Y22" i="1"/>
  <c r="Z22" i="1" s="1"/>
  <c r="E63" i="3" s="1"/>
  <c r="Y30" i="1"/>
  <c r="Z30" i="1" s="1"/>
  <c r="E72" i="3" s="1"/>
  <c r="Y46" i="1"/>
  <c r="Z46" i="1" s="1"/>
  <c r="E88" i="3" s="1"/>
  <c r="Y23" i="1"/>
  <c r="Z23" i="1" s="1"/>
  <c r="E65" i="3" s="1"/>
  <c r="Y18" i="1"/>
  <c r="Z18" i="1" s="1"/>
  <c r="E57" i="3" s="1"/>
  <c r="Y34" i="1"/>
  <c r="Z34" i="1" s="1"/>
  <c r="E76" i="3" s="1"/>
  <c r="Y19" i="1"/>
  <c r="Z19" i="1" s="1"/>
  <c r="E64" i="3" s="1"/>
  <c r="Y35" i="1"/>
  <c r="Z35" i="1" s="1"/>
  <c r="E75" i="3" s="1"/>
  <c r="Y2" i="1"/>
  <c r="Y6" i="1"/>
  <c r="Z6" i="1" s="1"/>
  <c r="E50" i="3" s="1"/>
  <c r="Y14" i="1"/>
  <c r="Z14" i="1" s="1"/>
  <c r="E52" i="3" s="1"/>
  <c r="Y38" i="1"/>
  <c r="Z38" i="1" s="1"/>
  <c r="E82" i="3" s="1"/>
  <c r="Y7" i="1"/>
  <c r="Z7" i="1" s="1"/>
  <c r="E51" i="3" s="1"/>
  <c r="Y31" i="1"/>
  <c r="Z31" i="1" s="1"/>
  <c r="E71" i="3" s="1"/>
  <c r="Y39" i="1"/>
  <c r="Z39" i="1" s="1"/>
  <c r="E81" i="3" s="1"/>
  <c r="Y24" i="1"/>
  <c r="Z24" i="1" s="1"/>
  <c r="E67" i="3" s="1"/>
  <c r="Y40" i="1"/>
  <c r="Z40" i="1" s="1"/>
  <c r="E79" i="3" s="1"/>
  <c r="Y9" i="1"/>
  <c r="Z9" i="1" s="1"/>
  <c r="E49" i="3" s="1"/>
  <c r="Y25" i="1"/>
  <c r="Z25" i="1" s="1"/>
  <c r="E69" i="3" s="1"/>
  <c r="Y33" i="1"/>
  <c r="Z33" i="1" s="1"/>
  <c r="E77" i="3" s="1"/>
  <c r="Y10" i="1"/>
  <c r="Z10" i="1" s="1"/>
  <c r="E53" i="3" s="1"/>
  <c r="Y42" i="1"/>
  <c r="Z42" i="1" s="1"/>
  <c r="E84" i="3" s="1"/>
  <c r="Y3" i="1"/>
  <c r="Z3" i="1" s="1"/>
  <c r="E46" i="3" s="1"/>
  <c r="Y27" i="1"/>
  <c r="Z27" i="1" s="1"/>
  <c r="E70" i="3" s="1"/>
  <c r="Y15" i="1"/>
  <c r="Z15" i="1" s="1"/>
  <c r="E58" i="3" s="1"/>
  <c r="Y8" i="1"/>
  <c r="Z8" i="1" s="1"/>
  <c r="E48" i="3" s="1"/>
  <c r="Y16" i="1"/>
  <c r="Z16" i="1" s="1"/>
  <c r="E60" i="3" s="1"/>
  <c r="Y32" i="1"/>
  <c r="Z32" i="1" s="1"/>
  <c r="E73" i="3" s="1"/>
  <c r="Y17" i="1"/>
  <c r="Z17" i="1" s="1"/>
  <c r="E59" i="3" s="1"/>
  <c r="Y41" i="1"/>
  <c r="Z41" i="1" s="1"/>
  <c r="E83" i="3" s="1"/>
  <c r="Y26" i="1"/>
  <c r="Z26" i="1" s="1"/>
  <c r="E66" i="3" s="1"/>
  <c r="Y11" i="1"/>
  <c r="Z11" i="1" s="1"/>
  <c r="E55" i="3" s="1"/>
  <c r="Y43" i="1"/>
  <c r="Z43" i="1" s="1"/>
  <c r="E85" i="3" s="1"/>
  <c r="AJ12" i="1"/>
  <c r="AK12" i="1" s="1"/>
  <c r="E97" i="3" s="1"/>
  <c r="AJ20" i="1"/>
  <c r="AK20" i="1" s="1"/>
  <c r="E105" i="3" s="1"/>
  <c r="AJ28" i="1"/>
  <c r="AK28" i="1" s="1"/>
  <c r="E113" i="3" s="1"/>
  <c r="AJ36" i="1"/>
  <c r="AK36" i="1" s="1"/>
  <c r="E121" i="3" s="1"/>
  <c r="AJ44" i="1"/>
  <c r="AK44" i="1" s="1"/>
  <c r="AJ4" i="1"/>
  <c r="AJ34" i="1"/>
  <c r="AK34" i="1" s="1"/>
  <c r="E119" i="3" s="1"/>
  <c r="AJ27" i="1"/>
  <c r="AK27" i="1" s="1"/>
  <c r="E112" i="3" s="1"/>
  <c r="AJ5" i="1"/>
  <c r="AK5" i="1" s="1"/>
  <c r="E90" i="3" s="1"/>
  <c r="AJ13" i="1"/>
  <c r="AK13" i="1" s="1"/>
  <c r="E98" i="3" s="1"/>
  <c r="AJ21" i="1"/>
  <c r="AK21" i="1" s="1"/>
  <c r="E106" i="3" s="1"/>
  <c r="AJ29" i="1"/>
  <c r="AK29" i="1" s="1"/>
  <c r="E114" i="3" s="1"/>
  <c r="AJ37" i="1"/>
  <c r="AK37" i="1" s="1"/>
  <c r="E122" i="3" s="1"/>
  <c r="AJ45" i="1"/>
  <c r="AK45" i="1" s="1"/>
  <c r="AJ6" i="1"/>
  <c r="AK6" i="1" s="1"/>
  <c r="E91" i="3" s="1"/>
  <c r="AJ14" i="1"/>
  <c r="AK14" i="1" s="1"/>
  <c r="E99" i="3" s="1"/>
  <c r="AJ22" i="1"/>
  <c r="AK22" i="1" s="1"/>
  <c r="E107" i="3" s="1"/>
  <c r="AJ30" i="1"/>
  <c r="AK30" i="1" s="1"/>
  <c r="E115" i="3" s="1"/>
  <c r="AJ38" i="1"/>
  <c r="AK38" i="1" s="1"/>
  <c r="E123" i="3" s="1"/>
  <c r="AJ46" i="1"/>
  <c r="AK46" i="1" s="1"/>
  <c r="AJ10" i="1"/>
  <c r="AK10" i="1" s="1"/>
  <c r="E95" i="3" s="1"/>
  <c r="AJ42" i="1"/>
  <c r="AK42" i="1" s="1"/>
  <c r="E127" i="3" s="1"/>
  <c r="AJ19" i="1"/>
  <c r="AK19" i="1" s="1"/>
  <c r="E104" i="3" s="1"/>
  <c r="AJ43" i="1"/>
  <c r="AK43" i="1" s="1"/>
  <c r="AJ7" i="1"/>
  <c r="AK7" i="1" s="1"/>
  <c r="E92" i="3" s="1"/>
  <c r="AJ15" i="1"/>
  <c r="AK15" i="1" s="1"/>
  <c r="E100" i="3" s="1"/>
  <c r="AJ23" i="1"/>
  <c r="AK23" i="1" s="1"/>
  <c r="E108" i="3" s="1"/>
  <c r="AJ31" i="1"/>
  <c r="AK31" i="1" s="1"/>
  <c r="E116" i="3" s="1"/>
  <c r="AJ39" i="1"/>
  <c r="AK39" i="1" s="1"/>
  <c r="E124" i="3" s="1"/>
  <c r="AJ47" i="1"/>
  <c r="AK47" i="1" s="1"/>
  <c r="AJ26" i="1"/>
  <c r="AK26" i="1" s="1"/>
  <c r="E111" i="3" s="1"/>
  <c r="AJ51" i="1"/>
  <c r="AK51" i="1" s="1"/>
  <c r="AJ8" i="1"/>
  <c r="AK8" i="1" s="1"/>
  <c r="E93" i="3" s="1"/>
  <c r="AJ16" i="1"/>
  <c r="AK16" i="1" s="1"/>
  <c r="E101" i="3" s="1"/>
  <c r="AJ24" i="1"/>
  <c r="AK24" i="1" s="1"/>
  <c r="E109" i="3" s="1"/>
  <c r="AJ32" i="1"/>
  <c r="AK32" i="1" s="1"/>
  <c r="E117" i="3" s="1"/>
  <c r="AJ40" i="1"/>
  <c r="AK40" i="1" s="1"/>
  <c r="E125" i="3" s="1"/>
  <c r="AJ48" i="1"/>
  <c r="AK48" i="1" s="1"/>
  <c r="AJ18" i="1"/>
  <c r="AK18" i="1" s="1"/>
  <c r="E103" i="3" s="1"/>
  <c r="AJ50" i="1"/>
  <c r="AK50" i="1" s="1"/>
  <c r="AJ11" i="1"/>
  <c r="AK11" i="1" s="1"/>
  <c r="E96" i="3" s="1"/>
  <c r="AJ35" i="1"/>
  <c r="AK35" i="1" s="1"/>
  <c r="E120" i="3" s="1"/>
  <c r="AJ9" i="1"/>
  <c r="AK9" i="1" s="1"/>
  <c r="E94" i="3" s="1"/>
  <c r="AJ17" i="1"/>
  <c r="AK17" i="1" s="1"/>
  <c r="E102" i="3" s="1"/>
  <c r="AJ25" i="1"/>
  <c r="AK25" i="1" s="1"/>
  <c r="E110" i="3" s="1"/>
  <c r="AJ33" i="1"/>
  <c r="AK33" i="1" s="1"/>
  <c r="E118" i="3" s="1"/>
  <c r="AJ41" i="1"/>
  <c r="AK41" i="1" s="1"/>
  <c r="E126" i="3" s="1"/>
  <c r="AJ49" i="1"/>
  <c r="AK49" i="1" s="1"/>
  <c r="T9" i="8" l="1"/>
  <c r="T22" i="8"/>
  <c r="U55" i="8"/>
  <c r="T31" i="8"/>
  <c r="U44" i="8"/>
  <c r="U70" i="8"/>
  <c r="T56" i="8"/>
  <c r="T62" i="8"/>
  <c r="T58" i="8"/>
  <c r="T42" i="8"/>
  <c r="T44" i="8"/>
  <c r="T15" i="8"/>
  <c r="T11" i="8"/>
  <c r="U10" i="8"/>
  <c r="T71" i="8"/>
  <c r="T67" i="8"/>
  <c r="U69" i="8"/>
  <c r="O5" i="8"/>
  <c r="P5" i="8"/>
  <c r="T19" i="8"/>
  <c r="T13" i="8"/>
  <c r="U12" i="8"/>
  <c r="T20" i="8"/>
  <c r="U63" i="8"/>
  <c r="U49" i="8"/>
  <c r="T72" i="8"/>
  <c r="U60" i="8"/>
  <c r="T10" i="8"/>
  <c r="T47" i="8"/>
  <c r="T60" i="8"/>
  <c r="T14" i="8"/>
  <c r="U26" i="8"/>
  <c r="T51" i="8"/>
  <c r="T8" i="8"/>
  <c r="U39" i="8"/>
  <c r="U36" i="8"/>
  <c r="T64" i="8"/>
  <c r="U23" i="8"/>
  <c r="U31" i="8"/>
  <c r="U71" i="8"/>
  <c r="T24" i="8"/>
  <c r="U65" i="8"/>
  <c r="U68" i="8"/>
  <c r="P7" i="8"/>
  <c r="O7" i="8"/>
  <c r="T7" i="8" s="1"/>
  <c r="U43" i="8"/>
  <c r="T70" i="8"/>
  <c r="T65" i="8"/>
  <c r="O6" i="8"/>
  <c r="P6" i="8"/>
  <c r="T12" i="8"/>
  <c r="U62" i="8"/>
  <c r="U52" i="8"/>
  <c r="U30" i="8"/>
  <c r="T29" i="8"/>
  <c r="T38" i="8"/>
  <c r="U22" i="8"/>
  <c r="U38" i="8"/>
  <c r="U20" i="8"/>
  <c r="U27" i="8"/>
  <c r="U59" i="8"/>
  <c r="U42" i="8"/>
  <c r="U8" i="8"/>
  <c r="U56" i="8"/>
  <c r="T27" i="8"/>
  <c r="U34" i="8"/>
  <c r="T66" i="8"/>
  <c r="U66" i="8"/>
  <c r="T32" i="8"/>
  <c r="T35" i="8"/>
  <c r="U58" i="8"/>
  <c r="T30" i="8"/>
  <c r="T68" i="8"/>
  <c r="U33" i="8"/>
  <c r="T41" i="8"/>
  <c r="U54" i="8"/>
  <c r="T39" i="8"/>
  <c r="T36" i="8"/>
  <c r="Z2" i="1"/>
  <c r="Y54" i="1"/>
  <c r="AK4" i="1"/>
  <c r="AJ54" i="1"/>
  <c r="F7" i="1"/>
  <c r="D44" i="8" s="1"/>
  <c r="F6" i="1"/>
  <c r="C44" i="8" s="1"/>
  <c r="T6" i="8" l="1"/>
  <c r="T5" i="8"/>
  <c r="T2" i="8" s="1"/>
  <c r="U2" i="8"/>
  <c r="AK54" i="1"/>
  <c r="E89" i="3"/>
  <c r="E44" i="3"/>
  <c r="Z54" i="1"/>
</calcChain>
</file>

<file path=xl/sharedStrings.xml><?xml version="1.0" encoding="utf-8"?>
<sst xmlns="http://schemas.openxmlformats.org/spreadsheetml/2006/main" count="3534" uniqueCount="402">
  <si>
    <t>*CO2</t>
  </si>
  <si>
    <t>Ottene</t>
  </si>
  <si>
    <t>Toluene</t>
  </si>
  <si>
    <t>Nonene</t>
  </si>
  <si>
    <t>p-Xilene</t>
  </si>
  <si>
    <t>m-Xilene</t>
  </si>
  <si>
    <t>Etilbenzene</t>
  </si>
  <si>
    <t>o-Xilene</t>
  </si>
  <si>
    <t>Trimetilbenzene</t>
  </si>
  <si>
    <t>Decene</t>
  </si>
  <si>
    <t>Decano</t>
  </si>
  <si>
    <t>*CH4</t>
  </si>
  <si>
    <t>*Etilene</t>
  </si>
  <si>
    <t>*Acetilene</t>
  </si>
  <si>
    <t>*Etano</t>
  </si>
  <si>
    <t>*Propilene</t>
  </si>
  <si>
    <t>*Propano</t>
  </si>
  <si>
    <t>*DME</t>
  </si>
  <si>
    <t>Metanolo</t>
  </si>
  <si>
    <t>2-Metilpropene</t>
  </si>
  <si>
    <t>*1-Butene</t>
  </si>
  <si>
    <t>*N-Butano</t>
  </si>
  <si>
    <t>2-Butene</t>
  </si>
  <si>
    <t>3-Metilbut-1-ene</t>
  </si>
  <si>
    <t>2-Metilbutano</t>
  </si>
  <si>
    <t>2-Metilbut-1-ene</t>
  </si>
  <si>
    <t>*1-Pentene</t>
  </si>
  <si>
    <t>2-Pentene</t>
  </si>
  <si>
    <t>*Pentano</t>
  </si>
  <si>
    <t>2-Metilbut-2-ene</t>
  </si>
  <si>
    <t>2,2-Dimetilbutano</t>
  </si>
  <si>
    <t>3-Metilpent-1-ene</t>
  </si>
  <si>
    <t>4-Metilpent-2-ene</t>
  </si>
  <si>
    <t>1-Esene</t>
  </si>
  <si>
    <t>Esano</t>
  </si>
  <si>
    <t>2,3-Dimetilbut-2-ene</t>
  </si>
  <si>
    <t>2,2-Dimetilpentano</t>
  </si>
  <si>
    <t>2-Metiles-1-ene</t>
  </si>
  <si>
    <t>1-eptene</t>
  </si>
  <si>
    <t>Eptano</t>
  </si>
  <si>
    <t>2-Eptene</t>
  </si>
  <si>
    <t>CO</t>
  </si>
  <si>
    <t>H2</t>
  </si>
  <si>
    <t>IN</t>
  </si>
  <si>
    <t>OUT</t>
  </si>
  <si>
    <t>Conversion</t>
  </si>
  <si>
    <t>mmolC</t>
  </si>
  <si>
    <t>mmol C</t>
  </si>
  <si>
    <t>TOT</t>
  </si>
  <si>
    <t>Carbon in Oil</t>
  </si>
  <si>
    <t>Oil light</t>
  </si>
  <si>
    <t>Oil heavy</t>
  </si>
  <si>
    <t>ml</t>
  </si>
  <si>
    <t>%</t>
  </si>
  <si>
    <t>mmcolC</t>
  </si>
  <si>
    <t>mmol</t>
  </si>
  <si>
    <t>3-Methylpentane</t>
  </si>
  <si>
    <t>iso-paraffin</t>
  </si>
  <si>
    <t>3-Ethylpentane</t>
  </si>
  <si>
    <t>Octene-1</t>
  </si>
  <si>
    <t>Olefin</t>
  </si>
  <si>
    <t>1,4-Pentadiene</t>
  </si>
  <si>
    <t>I8 (C9)</t>
  </si>
  <si>
    <t>Decene-1</t>
  </si>
  <si>
    <t>Butene-1</t>
  </si>
  <si>
    <t>Undecene-1</t>
  </si>
  <si>
    <t>Ethylbenzene</t>
  </si>
  <si>
    <t>Aromatic</t>
  </si>
  <si>
    <t>2-Methyl-3-ethylpentane</t>
  </si>
  <si>
    <t>1t,4-Hexadiene</t>
  </si>
  <si>
    <t>2,4-Dimethylpentene-1</t>
  </si>
  <si>
    <t>I47 (C12)</t>
  </si>
  <si>
    <t>Cyclohexane</t>
  </si>
  <si>
    <t>Naphthene</t>
  </si>
  <si>
    <t>3,5,5-Trimethylhexene-1</t>
  </si>
  <si>
    <t>n-Pentane</t>
  </si>
  <si>
    <t>paraffin</t>
  </si>
  <si>
    <t>1,3-Methylethylbenzene</t>
  </si>
  <si>
    <t>n-Nonane</t>
  </si>
  <si>
    <t>Propane</t>
  </si>
  <si>
    <t>1c,2t,3-Trimethylcyclopentane</t>
  </si>
  <si>
    <t>(C5-IsoParaffin)</t>
  </si>
  <si>
    <t>I26 (C11)</t>
  </si>
  <si>
    <t>1c,3-Dimethylcyclopentane</t>
  </si>
  <si>
    <t>I15 (C10)</t>
  </si>
  <si>
    <t>1,2-Methyl-n-propylbenzene</t>
  </si>
  <si>
    <t>1,1,3-Trimethylcyclohexane</t>
  </si>
  <si>
    <t>n-Butane</t>
  </si>
  <si>
    <t>Sec-butylcyclohexane</t>
  </si>
  <si>
    <t>1,2-Ethyl-i-propylbenzene</t>
  </si>
  <si>
    <t>Cyclopentane</t>
  </si>
  <si>
    <t>i-Butane</t>
  </si>
  <si>
    <t>Dodecene-1</t>
  </si>
  <si>
    <t>1t-M-2-(4-MP)cyclopentane</t>
  </si>
  <si>
    <t>1,3-Di-i-propylbenzene</t>
  </si>
  <si>
    <t>(C13-IsoParaffin)</t>
  </si>
  <si>
    <t>n-Hexane</t>
  </si>
  <si>
    <t>n-Undecane</t>
  </si>
  <si>
    <t>Benzene</t>
  </si>
  <si>
    <t>(C15-IsoParaffin)</t>
  </si>
  <si>
    <t>Tridecene-1</t>
  </si>
  <si>
    <t>(C16-IsoParaffin)</t>
  </si>
  <si>
    <t>(C17-IsoParaffin)</t>
  </si>
  <si>
    <t>(C14-IsoParaffin)</t>
  </si>
  <si>
    <t>n-Octane</t>
  </si>
  <si>
    <t>Component name</t>
  </si>
  <si>
    <t>Vol %</t>
  </si>
  <si>
    <t>Carbon number</t>
  </si>
  <si>
    <t>Class</t>
  </si>
  <si>
    <t>vol.% * nC</t>
  </si>
  <si>
    <t>Sel (C base)</t>
  </si>
  <si>
    <t>mol</t>
  </si>
  <si>
    <t>mss %</t>
  </si>
  <si>
    <t>METHANE</t>
  </si>
  <si>
    <t>CH4</t>
  </si>
  <si>
    <t>METHANOL</t>
  </si>
  <si>
    <t>CH4O</t>
  </si>
  <si>
    <t>MEOH</t>
  </si>
  <si>
    <t>ETHANE</t>
  </si>
  <si>
    <t>C2H6</t>
  </si>
  <si>
    <t>C2</t>
  </si>
  <si>
    <t>ETHYLENE</t>
  </si>
  <si>
    <t>C2H4</t>
  </si>
  <si>
    <t>C2-O</t>
  </si>
  <si>
    <t>PROPANE</t>
  </si>
  <si>
    <t>C3H8</t>
  </si>
  <si>
    <t>C3</t>
  </si>
  <si>
    <t>PROPYLENE</t>
  </si>
  <si>
    <t>C3H6-2</t>
  </si>
  <si>
    <t>C3-O</t>
  </si>
  <si>
    <t>N-BUTANE</t>
  </si>
  <si>
    <t>C4H10-1</t>
  </si>
  <si>
    <t>C4</t>
  </si>
  <si>
    <t>ISOBUTANE</t>
  </si>
  <si>
    <t>C4H10-2</t>
  </si>
  <si>
    <t>C4-IP</t>
  </si>
  <si>
    <t>1-BUTENE</t>
  </si>
  <si>
    <t>C4H8-1</t>
  </si>
  <si>
    <t>C4-O</t>
  </si>
  <si>
    <t>N-PENTANE</t>
  </si>
  <si>
    <t>C5H12-1</t>
  </si>
  <si>
    <t>C5</t>
  </si>
  <si>
    <t>C5-IP</t>
  </si>
  <si>
    <t>1-PENTENE</t>
  </si>
  <si>
    <t>C5H10-2</t>
  </si>
  <si>
    <t>C5-O</t>
  </si>
  <si>
    <t>2,2-DIMETHYL-BUTANE</t>
  </si>
  <si>
    <t>C6H14-4</t>
  </si>
  <si>
    <t>C6-IP</t>
  </si>
  <si>
    <t>N-HEXANE</t>
  </si>
  <si>
    <t>C6H14-1</t>
  </si>
  <si>
    <t>C6</t>
  </si>
  <si>
    <t>2-METHYL-1-PENTENE</t>
  </si>
  <si>
    <t>C6H12-D2</t>
  </si>
  <si>
    <t>C6-O</t>
  </si>
  <si>
    <t>N-HEPTANE</t>
  </si>
  <si>
    <t>C7H16-1</t>
  </si>
  <si>
    <t>C7</t>
  </si>
  <si>
    <t>2-METHYLHEXANE</t>
  </si>
  <si>
    <t>C7H16-2</t>
  </si>
  <si>
    <t>C7-IP</t>
  </si>
  <si>
    <t>1-HEPTENE</t>
  </si>
  <si>
    <t>C7H14-7</t>
  </si>
  <si>
    <t>C7-O</t>
  </si>
  <si>
    <t>TOLUENE</t>
  </si>
  <si>
    <t>C7H8</t>
  </si>
  <si>
    <t>C7-A</t>
  </si>
  <si>
    <t>N-OCTANE</t>
  </si>
  <si>
    <t>C8H18-1</t>
  </si>
  <si>
    <t>C8</t>
  </si>
  <si>
    <t>2,2,4-TRIMETHYLPENTANE</t>
  </si>
  <si>
    <t>C8H18-13</t>
  </si>
  <si>
    <t>C8-IP</t>
  </si>
  <si>
    <t>1-OCTENE</t>
  </si>
  <si>
    <t>C8H16-16</t>
  </si>
  <si>
    <t>C8-O</t>
  </si>
  <si>
    <t>1-METHYL-1-ETHYLCYCLOPENTANE</t>
  </si>
  <si>
    <t>C8H16-13</t>
  </si>
  <si>
    <t>C8-N</t>
  </si>
  <si>
    <t>M-XYLENE</t>
  </si>
  <si>
    <t>C8H10-2</t>
  </si>
  <si>
    <t>C8-A</t>
  </si>
  <si>
    <t>N-NONANE</t>
  </si>
  <si>
    <t>C9H20-1</t>
  </si>
  <si>
    <t>C9</t>
  </si>
  <si>
    <t>3-METHYLOCTANE</t>
  </si>
  <si>
    <t>C9H20-D2</t>
  </si>
  <si>
    <t>C9-IP</t>
  </si>
  <si>
    <t>1-NONENE</t>
  </si>
  <si>
    <t>C9H18-3</t>
  </si>
  <si>
    <t>C9-O</t>
  </si>
  <si>
    <t>ISOPROPYLCYCLOHEXANE</t>
  </si>
  <si>
    <t>C9H18-2</t>
  </si>
  <si>
    <t>C9-N</t>
  </si>
  <si>
    <t>INDANE</t>
  </si>
  <si>
    <t>C9H10-E1</t>
  </si>
  <si>
    <t>C9-A</t>
  </si>
  <si>
    <t>N-DECANE</t>
  </si>
  <si>
    <t>C10H22-1</t>
  </si>
  <si>
    <t>C10</t>
  </si>
  <si>
    <t>2-METHYLNONANE</t>
  </si>
  <si>
    <t>C10H22-E2</t>
  </si>
  <si>
    <t>C10-IP</t>
  </si>
  <si>
    <t>1-DECENE</t>
  </si>
  <si>
    <t>C10H20-5</t>
  </si>
  <si>
    <t>C10-O</t>
  </si>
  <si>
    <t>1-PROPYL-1-METHYLCYCLOHEXANE</t>
  </si>
  <si>
    <t>C10H20-N24</t>
  </si>
  <si>
    <t>C10-N</t>
  </si>
  <si>
    <t>1,2-DIMETHYL-3-ETHYLBENZENE</t>
  </si>
  <si>
    <t>C10H14-D3</t>
  </si>
  <si>
    <t>C10-A</t>
  </si>
  <si>
    <t>N-UNDECANE</t>
  </si>
  <si>
    <t>C11H24</t>
  </si>
  <si>
    <t>C11</t>
  </si>
  <si>
    <t>3-ETHYLNONANE</t>
  </si>
  <si>
    <t>C11H24-N8</t>
  </si>
  <si>
    <t>C11-IP</t>
  </si>
  <si>
    <t>C11H22</t>
  </si>
  <si>
    <t>1-ETHYL-2-ISOPROPYLBENZENE</t>
  </si>
  <si>
    <t>C11H16-D1</t>
  </si>
  <si>
    <t>C11-A</t>
  </si>
  <si>
    <t>2-METHYLUNDECANE</t>
  </si>
  <si>
    <t>C12H26-N9</t>
  </si>
  <si>
    <t>C12-IP</t>
  </si>
  <si>
    <t>N-DODECANE</t>
  </si>
  <si>
    <t>C12H26</t>
  </si>
  <si>
    <t>C12</t>
  </si>
  <si>
    <t>1-DODECENE</t>
  </si>
  <si>
    <t>C12H24-2</t>
  </si>
  <si>
    <t>C12-O</t>
  </si>
  <si>
    <t>1,2,4-TRIETHYLBENZENE</t>
  </si>
  <si>
    <t>C12H18-D6</t>
  </si>
  <si>
    <t>C12-A</t>
  </si>
  <si>
    <t>2-METHYLDODECANE</t>
  </si>
  <si>
    <t>C13H28-N1</t>
  </si>
  <si>
    <t>C13-IP</t>
  </si>
  <si>
    <t>1-TRIDECENE</t>
  </si>
  <si>
    <t>C13H26-2</t>
  </si>
  <si>
    <t>C13-O</t>
  </si>
  <si>
    <t>N-TRIDECANE</t>
  </si>
  <si>
    <t>C13H28</t>
  </si>
  <si>
    <t>C13</t>
  </si>
  <si>
    <t>2-METHYLTRIDECANE</t>
  </si>
  <si>
    <t>C14H30-N1</t>
  </si>
  <si>
    <t>C14-IP</t>
  </si>
  <si>
    <t>N-TETRADECANE</t>
  </si>
  <si>
    <t>C14H30</t>
  </si>
  <si>
    <t xml:space="preserve"> C14 </t>
  </si>
  <si>
    <t>2-METHYLTETRADECANE</t>
  </si>
  <si>
    <t>C15H32-N1</t>
  </si>
  <si>
    <t xml:space="preserve">C15-IP </t>
  </si>
  <si>
    <t>N-PENTADECANE</t>
  </si>
  <si>
    <t>C15H32</t>
  </si>
  <si>
    <t>C15</t>
  </si>
  <si>
    <t>2-METHYLPENTADECANE</t>
  </si>
  <si>
    <t>C16H34-N1</t>
  </si>
  <si>
    <t>C16-IP</t>
  </si>
  <si>
    <t>N-HEXADECANE</t>
  </si>
  <si>
    <t>C16H34</t>
  </si>
  <si>
    <t>C16</t>
  </si>
  <si>
    <t>14-METHYLHEXADECANE</t>
  </si>
  <si>
    <t>C17H36-N10</t>
  </si>
  <si>
    <t>C17-IP</t>
  </si>
  <si>
    <t>N-HEPTADECANE</t>
  </si>
  <si>
    <t>C17H36</t>
  </si>
  <si>
    <t>C17</t>
  </si>
  <si>
    <t>N-OCTADECANE</t>
  </si>
  <si>
    <t>C18H38</t>
  </si>
  <si>
    <t>C18</t>
  </si>
  <si>
    <t>N-NONADECANE</t>
  </si>
  <si>
    <t>C19H40</t>
  </si>
  <si>
    <t>C19</t>
  </si>
  <si>
    <t>N-EICOSANE</t>
  </si>
  <si>
    <t>C20H42</t>
  </si>
  <si>
    <t>C20</t>
  </si>
  <si>
    <t>N-HENEICOSANE</t>
  </si>
  <si>
    <t>C21H44</t>
  </si>
  <si>
    <t>C21</t>
  </si>
  <si>
    <t>N-DOCOSANE</t>
  </si>
  <si>
    <t>C22H46</t>
  </si>
  <si>
    <t>C22</t>
  </si>
  <si>
    <t>N-TRICOSANE</t>
  </si>
  <si>
    <t>C23H48</t>
  </si>
  <si>
    <t>C23</t>
  </si>
  <si>
    <t>N-TETRACOSANE</t>
  </si>
  <si>
    <t>C24H50</t>
  </si>
  <si>
    <t>C24</t>
  </si>
  <si>
    <t>N-PENTACOSANE</t>
  </si>
  <si>
    <t>C25H52</t>
  </si>
  <si>
    <t>C25</t>
  </si>
  <si>
    <t>N-HEXACOSANE</t>
  </si>
  <si>
    <t>C26H54</t>
  </si>
  <si>
    <t>C26</t>
  </si>
  <si>
    <t>N-HEPTACOSANE</t>
  </si>
  <si>
    <t>C27H56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</si>
  <si>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</si>
  <si>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</si>
  <si>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</si>
  <si>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</si>
  <si>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</si>
  <si>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</si>
  <si>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</si>
  <si>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</si>
  <si>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</si>
  <si>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</si>
  <si>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</si>
  <si>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</si>
  <si>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</si>
  <si>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CO2</t>
  </si>
  <si>
    <t>+</t>
  </si>
  <si>
    <t>=</t>
  </si>
  <si>
    <t>H2O</t>
  </si>
  <si>
    <t>C3H6</t>
  </si>
  <si>
    <t>C4H10</t>
  </si>
  <si>
    <t>C4H8</t>
  </si>
  <si>
    <t>C5H12</t>
  </si>
  <si>
    <t>C5H10</t>
  </si>
  <si>
    <t>C6H14</t>
  </si>
  <si>
    <t>C6H12</t>
  </si>
  <si>
    <t>C7H16</t>
  </si>
  <si>
    <t>C7H14</t>
  </si>
  <si>
    <t>C8H18</t>
  </si>
  <si>
    <t>C8H16</t>
  </si>
  <si>
    <t>C8H10</t>
  </si>
  <si>
    <t>C9H20</t>
  </si>
  <si>
    <t>C9H18</t>
  </si>
  <si>
    <t>C9H10</t>
  </si>
  <si>
    <t>C10H22</t>
  </si>
  <si>
    <t>C10H20</t>
  </si>
  <si>
    <t>C10H14</t>
  </si>
  <si>
    <t>C11H16</t>
  </si>
  <si>
    <t>C12H24</t>
  </si>
  <si>
    <t>C12H18</t>
  </si>
  <si>
    <t>C13H26</t>
  </si>
  <si>
    <t>Cn</t>
  </si>
  <si>
    <t>Name</t>
  </si>
  <si>
    <t>oxygenated</t>
  </si>
  <si>
    <t>DHA</t>
  </si>
  <si>
    <t>ASTM</t>
  </si>
  <si>
    <t>C1</t>
  </si>
  <si>
    <t>C14</t>
  </si>
  <si>
    <t>Colonna1</t>
  </si>
  <si>
    <t>Colonna2</t>
  </si>
  <si>
    <t>Colonna3</t>
  </si>
  <si>
    <t>Colonna4</t>
  </si>
  <si>
    <t>Etichette di riga</t>
  </si>
  <si>
    <t>Totale complessivo</t>
  </si>
  <si>
    <t>Somma di mol</t>
  </si>
  <si>
    <t>CYCLOPENTANE</t>
  </si>
  <si>
    <t>C5-N</t>
  </si>
  <si>
    <t>C6-N</t>
  </si>
  <si>
    <t>CYCLOHEXANE</t>
  </si>
  <si>
    <t>C6-A</t>
  </si>
  <si>
    <t>BENZENE</t>
  </si>
  <si>
    <t>C12-N</t>
  </si>
  <si>
    <t>C7-N</t>
  </si>
  <si>
    <t>C11-O</t>
  </si>
  <si>
    <t>HC Carbon</t>
  </si>
  <si>
    <t>TOT CO</t>
  </si>
  <si>
    <t>TOT CO2</t>
  </si>
  <si>
    <t>conv CO2</t>
  </si>
  <si>
    <t>TOT CO2 IN</t>
  </si>
  <si>
    <t>TOT CO IN</t>
  </si>
  <si>
    <t>con CO</t>
  </si>
  <si>
    <t>Rn</t>
  </si>
  <si>
    <t>Nc</t>
  </si>
  <si>
    <t>Formula</t>
  </si>
  <si>
    <t>ID</t>
  </si>
  <si>
    <t>CO2 conv</t>
  </si>
  <si>
    <t>2-METHYL-1-BUTANE</t>
  </si>
  <si>
    <t>C5H12-5</t>
  </si>
  <si>
    <t>C6H6</t>
  </si>
  <si>
    <t>CO conv</t>
  </si>
  <si>
    <t>3-ASTM</t>
  </si>
  <si>
    <t>1-GAS</t>
  </si>
  <si>
    <t>2-DHA</t>
  </si>
  <si>
    <t>Colonna5</t>
  </si>
  <si>
    <t>Colonna6</t>
  </si>
  <si>
    <t>Colonna7</t>
  </si>
  <si>
    <t>Somma di mmolC</t>
  </si>
  <si>
    <t>5% CO</t>
  </si>
  <si>
    <t>m</t>
  </si>
  <si>
    <t>x</t>
  </si>
  <si>
    <t>q</t>
  </si>
  <si>
    <t>xCO</t>
  </si>
  <si>
    <t xml:space="preserve">CO </t>
  </si>
  <si>
    <t xml:space="preserve">CO% </t>
  </si>
  <si>
    <t>H2 CONV</t>
  </si>
  <si>
    <t>H2O PROD</t>
  </si>
  <si>
    <t>CONV CO2</t>
  </si>
  <si>
    <t>CONV CO</t>
  </si>
  <si>
    <t>Prod from CO2</t>
  </si>
  <si>
    <t>Prod from CO</t>
  </si>
  <si>
    <t xml:space="preserve">IN </t>
  </si>
  <si>
    <t>Inerte</t>
  </si>
  <si>
    <t>5%</t>
  </si>
  <si>
    <t>10%</t>
  </si>
  <si>
    <t>Somma di 5%</t>
  </si>
  <si>
    <t>Somma di 10%</t>
  </si>
  <si>
    <t>out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</si>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</sst>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000000"/>
      <name val="Arial Unicode MS"/>
      <family val="2"/>
    </font>
    <font>
      <b/>
      <sz val="11"/>
      <color theme="0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24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0" fontId="4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3" fillId="4" borderId="3" xfId="0" applyFont="1" applyFill="1" applyBorder="1" applyAlignment="1">
      <alignment vertical="top"/>
    </xf>
    <xf numFmtId="10" fontId="0" fillId="0" borderId="0" xfId="1" applyNumberFormat="1" applyFont="1"/>
    <xf numFmtId="164" fontId="0" fillId="0" borderId="0" xfId="1" applyNumberFormat="1" applyFont="1"/>
    <xf numFmtId="0" fontId="0" fillId="3" borderId="2" xfId="0" applyFill="1" applyBorder="1"/>
    <xf numFmtId="0" fontId="0" fillId="0" borderId="2" xfId="0" applyBorder="1"/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0" borderId="2" xfId="0" applyBorder="1" applyAlignment="1">
      <alignment horizontal="left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2" xfId="0" applyFill="1" applyBorder="1" applyAlignment="1">
      <alignment horizontal="center"/>
    </xf>
    <xf numFmtId="0" fontId="0" fillId="7" borderId="0" xfId="0" applyFill="1"/>
    <xf numFmtId="0" fontId="2" fillId="2" borderId="0" xfId="0" applyFont="1" applyFill="1" applyAlignment="1">
      <alignment vertical="top"/>
    </xf>
    <xf numFmtId="0" fontId="3" fillId="4" borderId="1" xfId="0" applyFont="1" applyFill="1" applyBorder="1" applyAlignment="1">
      <alignment vertical="top"/>
    </xf>
    <xf numFmtId="9" fontId="0" fillId="0" borderId="0" xfId="0" applyNumberFormat="1"/>
    <xf numFmtId="2" fontId="0" fillId="0" borderId="0" xfId="1" applyNumberFormat="1" applyFont="1"/>
    <xf numFmtId="10" fontId="0" fillId="0" borderId="0" xfId="0" applyNumberFormat="1"/>
    <xf numFmtId="0" fontId="7" fillId="0" borderId="0" xfId="0" applyFont="1" applyAlignment="1">
      <alignment vertical="center"/>
    </xf>
    <xf numFmtId="0" fontId="0" fillId="7" borderId="0" xfId="0" applyFill="1" applyAlignment="1">
      <alignment horizontal="center"/>
    </xf>
    <xf numFmtId="10" fontId="0" fillId="7" borderId="0" xfId="1" applyNumberFormat="1" applyFont="1" applyFill="1" applyAlignment="1">
      <alignment horizontal="center"/>
    </xf>
    <xf numFmtId="0" fontId="0" fillId="7" borderId="4" xfId="0" applyFill="1" applyBorder="1"/>
    <xf numFmtId="0" fontId="0" fillId="6" borderId="4" xfId="0" applyFill="1" applyBorder="1"/>
    <xf numFmtId="165" fontId="0" fillId="6" borderId="4" xfId="0" applyNumberFormat="1" applyFill="1" applyBorder="1" applyAlignment="1">
      <alignment horizontal="center"/>
    </xf>
    <xf numFmtId="165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6" borderId="7" xfId="0" applyFill="1" applyBorder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</cellXfs>
  <cellStyles count="2">
    <cellStyle name="Normale" xfId="0" builtinId="0"/>
    <cellStyle name="Percentuale" xfId="1" builtinId="5"/>
  </cellStyles>
  <dxfs count="29"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Unicode MS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Unicode MS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Unicode MS"/>
        <family val="2"/>
        <scheme val="none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Unicode MS"/>
        <family val="2"/>
        <scheme val="none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[DATASET.xlsx]5% CO Elab!Tabella pivot6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'5% CO Elab'!$AI$5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'5% CO Elab'!$AH$6:$AH$33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'5% CO Elab'!$AI$6:$AI$33</c:f>
              <c:numCache>
                <c:formatCode>General</c:formatCode>
                <c:ptCount val="27"/>
                <c:pt idx="0">
                  <c:v>11.480162444061929</c:v>
                </c:pt>
                <c:pt idx="1">
                  <c:v>7.748422302624558</c:v>
                </c:pt>
                <c:pt idx="2">
                  <c:v>10.523417024091515</c:v>
                </c:pt>
                <c:pt idx="3">
                  <c:v>8.7544194237415063</c:v>
                </c:pt>
                <c:pt idx="4">
                  <c:v>8.1545512951124035</c:v>
                </c:pt>
                <c:pt idx="5">
                  <c:v>5.9653867968408427</c:v>
                </c:pt>
                <c:pt idx="6">
                  <c:v>4.1818169482805789</c:v>
                </c:pt>
                <c:pt idx="7">
                  <c:v>5.5572888564200777</c:v>
                </c:pt>
                <c:pt idx="8">
                  <c:v>5.6774426656605854</c:v>
                </c:pt>
                <c:pt idx="9">
                  <c:v>5.0040531640984742</c:v>
                </c:pt>
                <c:pt idx="10">
                  <c:v>3.7565895334104153</c:v>
                </c:pt>
                <c:pt idx="11">
                  <c:v>2.7501308321211804</c:v>
                </c:pt>
                <c:pt idx="12">
                  <c:v>1.7059387047286318</c:v>
                </c:pt>
                <c:pt idx="13">
                  <c:v>1.4263637155003654</c:v>
                </c:pt>
                <c:pt idx="14">
                  <c:v>1.3460003018717062</c:v>
                </c:pt>
                <c:pt idx="15">
                  <c:v>1.3240188731704929</c:v>
                </c:pt>
                <c:pt idx="16">
                  <c:v>1.0992941296813241</c:v>
                </c:pt>
                <c:pt idx="17">
                  <c:v>0.9864688227423144</c:v>
                </c:pt>
                <c:pt idx="18">
                  <c:v>0.38627856231038582</c:v>
                </c:pt>
                <c:pt idx="19">
                  <c:v>0.31821574927171625</c:v>
                </c:pt>
                <c:pt idx="20">
                  <c:v>0.2784387806127499</c:v>
                </c:pt>
                <c:pt idx="21">
                  <c:v>0.27225125215468715</c:v>
                </c:pt>
                <c:pt idx="22">
                  <c:v>0.26429585842289532</c:v>
                </c:pt>
                <c:pt idx="23">
                  <c:v>0.29700136598693444</c:v>
                </c:pt>
                <c:pt idx="24">
                  <c:v>0.41986800251129092</c:v>
                </c:pt>
                <c:pt idx="25">
                  <c:v>0.57455621396281731</c:v>
                </c:pt>
                <c:pt idx="26">
                  <c:v>0.26252799314916286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F-354E-9951-C2CEE3784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960463"/>
        <c:axId val="1011795679"/>
      </c:barChart>
      <c:catAx>
        <c:axId val="101096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1795679"/>
        <c:crosses val="autoZero"/>
        <c:auto val="1"/>
        <c:lblAlgn val="ctr"/>
        <c:lblOffset val="100"/>
        <c:noMultiLvlLbl val="0"/>
      </c:catAx>
      <c:valAx>
        <c:axId val="10117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096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[DATASET.xlsx]10% CO Elab!Tabella pivot5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'10% CO Elab'!$AI$7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'10% CO Elab'!$AH$8:$AH$35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'10% CO Elab'!$AI$8:$AI$35</c:f>
              <c:numCache>
                <c:formatCode>General</c:formatCode>
                <c:ptCount val="27"/>
                <c:pt idx="0">
                  <c:v>13.675370092509265</c:v>
                </c:pt>
                <c:pt idx="1">
                  <c:v>9.0679026537862697</c:v>
                </c:pt>
                <c:pt idx="2">
                  <c:v>12.151740042685217</c:v>
                </c:pt>
                <c:pt idx="3">
                  <c:v>9.8909643076389226</c:v>
                </c:pt>
                <c:pt idx="4">
                  <c:v>8.1091381769103226</c:v>
                </c:pt>
                <c:pt idx="5">
                  <c:v>6.5805558859871054</c:v>
                </c:pt>
                <c:pt idx="6">
                  <c:v>3.9175019728170488</c:v>
                </c:pt>
                <c:pt idx="7">
                  <c:v>5.2185092451084092</c:v>
                </c:pt>
                <c:pt idx="8">
                  <c:v>5.1379563487981272</c:v>
                </c:pt>
                <c:pt idx="9">
                  <c:v>4.8319071184768339</c:v>
                </c:pt>
                <c:pt idx="10">
                  <c:v>3.7645792885362162</c:v>
                </c:pt>
                <c:pt idx="11">
                  <c:v>2.9197024154560451</c:v>
                </c:pt>
                <c:pt idx="12">
                  <c:v>2.008457397463808</c:v>
                </c:pt>
                <c:pt idx="13">
                  <c:v>1.7765787864755529</c:v>
                </c:pt>
                <c:pt idx="14">
                  <c:v>1.6800239646777726</c:v>
                </c:pt>
                <c:pt idx="15">
                  <c:v>1.5998769169154572</c:v>
                </c:pt>
                <c:pt idx="16">
                  <c:v>1.3643889021391038</c:v>
                </c:pt>
                <c:pt idx="17">
                  <c:v>1.2535174223950181</c:v>
                </c:pt>
                <c:pt idx="18">
                  <c:v>0.49084866808837091</c:v>
                </c:pt>
                <c:pt idx="19">
                  <c:v>0.40436045883710497</c:v>
                </c:pt>
                <c:pt idx="20">
                  <c:v>0.35381540148246465</c:v>
                </c:pt>
                <c:pt idx="21">
                  <c:v>0.3459528370050744</c:v>
                </c:pt>
                <c:pt idx="22">
                  <c:v>0.33584382553414821</c:v>
                </c:pt>
                <c:pt idx="23">
                  <c:v>0.37740309491463048</c:v>
                </c:pt>
                <c:pt idx="24">
                  <c:v>0.53353116096562292</c:v>
                </c:pt>
                <c:pt idx="25">
                  <c:v>0.73009527290032383</c:v>
                </c:pt>
                <c:pt idx="26">
                  <c:v>0.33359737854060778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0-ED4D-9907-8A7EF3BE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970031"/>
        <c:axId val="1267151119"/>
      </c:barChart>
      <c:catAx>
        <c:axId val="126697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7151119"/>
        <c:crosses val="autoZero"/>
        <c:auto val="1"/>
        <c:lblAlgn val="ctr"/>
        <c:lblOffset val="100"/>
        <c:noMultiLvlLbl val="0"/>
      </c:catAx>
      <c:valAx>
        <c:axId val="126715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697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Interp!$B$4:$B$30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xVal>
          <c:yVal>
            <c:numRef>
              <c:f>Interp!$C$4:$C$30</c:f>
              <c:numCache>
                <c:formatCode>General</c:formatCode>
                <c:ptCount val="27"/>
                <c:pt idx="0">
                  <c:v>11.480162444061929</c:v>
                </c:pt>
                <c:pt idx="1">
                  <c:v>7.748422302624558</c:v>
                </c:pt>
                <c:pt idx="2">
                  <c:v>10.523417024091515</c:v>
                </c:pt>
                <c:pt idx="3">
                  <c:v>8.7544194237415063</c:v>
                </c:pt>
                <c:pt idx="4">
                  <c:v>8.1545512951124035</c:v>
                </c:pt>
                <c:pt idx="5">
                  <c:v>5.9653867968408427</c:v>
                </c:pt>
                <c:pt idx="6">
                  <c:v>4.1818169482805789</c:v>
                </c:pt>
                <c:pt idx="7">
                  <c:v>5.5572888564200777</c:v>
                </c:pt>
                <c:pt idx="8">
                  <c:v>5.6774426656605854</c:v>
                </c:pt>
                <c:pt idx="9">
                  <c:v>5.0040531640984742</c:v>
                </c:pt>
                <c:pt idx="10">
                  <c:v>3.7565895334104153</c:v>
                </c:pt>
                <c:pt idx="11">
                  <c:v>2.7501308321211804</c:v>
                </c:pt>
                <c:pt idx="12">
                  <c:v>1.7059387047286318</c:v>
                </c:pt>
                <c:pt idx="13">
                  <c:v>1.4263637155003654</c:v>
                </c:pt>
                <c:pt idx="14">
                  <c:v>1.3460003018717062</c:v>
                </c:pt>
                <c:pt idx="15">
                  <c:v>1.3240188731704929</c:v>
                </c:pt>
                <c:pt idx="16">
                  <c:v>1.0992941296813241</c:v>
                </c:pt>
                <c:pt idx="17">
                  <c:v>0.9864688227423144</c:v>
                </c:pt>
                <c:pt idx="18">
                  <c:v>0.38627856231038582</c:v>
                </c:pt>
                <c:pt idx="19">
                  <c:v>0.31821574927171625</c:v>
                </c:pt>
                <c:pt idx="20">
                  <c:v>0.2784387806127499</c:v>
                </c:pt>
                <c:pt idx="21">
                  <c:v>0.27225125215468715</c:v>
                </c:pt>
                <c:pt idx="22">
                  <c:v>0.26429585842289532</c:v>
                </c:pt>
                <c:pt idx="23">
                  <c:v>0.29700136598693444</c:v>
                </c:pt>
                <c:pt idx="24">
                  <c:v>0.41986800251129092</c:v>
                </c:pt>
                <c:pt idx="25">
                  <c:v>0.57455621396281731</c:v>
                </c:pt>
                <c:pt idx="26">
                  <c:v>0.26252799314916286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10-2147-BDDF-1411648B86A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Interp!$B$4:$B$30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xVal>
          <c:yVal>
            <c:numRef>
              <c:f>Interp!$D$4:$D$30</c:f>
              <c:numCache>
                <c:formatCode>General</c:formatCode>
                <c:ptCount val="27"/>
                <c:pt idx="0">
                  <c:v>13.675370092509265</c:v>
                </c:pt>
                <c:pt idx="1">
                  <c:v>9.0679026537862697</c:v>
                </c:pt>
                <c:pt idx="2">
                  <c:v>12.151740042685217</c:v>
                </c:pt>
                <c:pt idx="3">
                  <c:v>9.8909643076389226</c:v>
                </c:pt>
                <c:pt idx="4">
                  <c:v>8.1091381769103226</c:v>
                </c:pt>
                <c:pt idx="5">
                  <c:v>6.5805558859871054</c:v>
                </c:pt>
                <c:pt idx="6">
                  <c:v>3.9175019728170488</c:v>
                </c:pt>
                <c:pt idx="7">
                  <c:v>5.2185092451084092</c:v>
                </c:pt>
                <c:pt idx="8">
                  <c:v>5.1379563487981272</c:v>
                </c:pt>
                <c:pt idx="9">
                  <c:v>4.8319071184768339</c:v>
                </c:pt>
                <c:pt idx="10">
                  <c:v>3.7645792885362162</c:v>
                </c:pt>
                <c:pt idx="11">
                  <c:v>2.9197024154560451</c:v>
                </c:pt>
                <c:pt idx="12">
                  <c:v>2.008457397463808</c:v>
                </c:pt>
                <c:pt idx="13">
                  <c:v>1.7765787864755529</c:v>
                </c:pt>
                <c:pt idx="14">
                  <c:v>1.6800239646777726</c:v>
                </c:pt>
                <c:pt idx="15">
                  <c:v>1.5998769169154572</c:v>
                </c:pt>
                <c:pt idx="16">
                  <c:v>1.3643889021391038</c:v>
                </c:pt>
                <c:pt idx="17">
                  <c:v>1.2535174223950181</c:v>
                </c:pt>
                <c:pt idx="18">
                  <c:v>0.49084866808837091</c:v>
                </c:pt>
                <c:pt idx="19">
                  <c:v>0.40436045883710497</c:v>
                </c:pt>
                <c:pt idx="20">
                  <c:v>0.35381540148246465</c:v>
                </c:pt>
                <c:pt idx="21">
                  <c:v>0.3459528370050744</c:v>
                </c:pt>
                <c:pt idx="22">
                  <c:v>0.33584382553414821</c:v>
                </c:pt>
                <c:pt idx="23">
                  <c:v>0.37740309491463048</c:v>
                </c:pt>
                <c:pt idx="24">
                  <c:v>0.53353116096562292</c:v>
                </c:pt>
                <c:pt idx="25">
                  <c:v>0.73009527290032383</c:v>
                </c:pt>
                <c:pt idx="26">
                  <c:v>0.33359737854060778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10-2147-BDDF-1411648B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105888"/>
        <c:axId val="670107600"/>
      </c:scatterChart>
      <c:valAx>
        <c:axId val="67010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70107600"/>
        <c:crosses val="autoZero"/>
        <c:crossBetween val="midCat"/>
      </c:valAx>
      <c:valAx>
        <c:axId val="6701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7010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127000</xdr:colOff>
      <xdr:row>8</xdr:row>
      <xdr:rowOff>59267</xdr:rowOff>
    </xdr:from>
    <xdr:to>
      <xdr:col>41</xdr:col>
      <xdr:colOff>550334</xdr:colOff>
      <xdr:row>21</xdr:row>
      <xdr:rowOff>160867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4FD6686-7E54-DBE5-C7F8-5E8665E6F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143933</xdr:colOff>
      <xdr:row>11</xdr:row>
      <xdr:rowOff>76200</xdr:rowOff>
    </xdr:from>
    <xdr:to>
      <xdr:col>44</xdr:col>
      <xdr:colOff>795866</xdr:colOff>
      <xdr:row>33</xdr:row>
      <xdr:rowOff>152400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15595DA-FE10-FEF2-E8FB-8EB9382FB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249639</xdr:colOff>
      <xdr:row>49</xdr:row>
      <xdr:rowOff>68703</xdr:rowOff>
    </xdr:from>
    <xdr:to>
      <xdr:col>5</xdr:col>
      <xdr:colOff>694139</xdr:colOff>
      <xdr:row>62</xdr:row>
      <xdr:rowOff>174587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56CA832-7952-63DB-E4C5-941035254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5994.451913194447" createdVersion="8" refreshedVersion="8" minRefreshableVersion="3" recordCount="68" xr:uid="{F2A2C0D6-7315-9747-9E0F-4CA23D4E2F97}">
  <cacheSource type="worksheet">
    <worksheetSource name="Tabella11"/>
  </cacheSource>
  <cacheFields count="11">
    <cacheField name="Colonna1" numFmtId="0">
      <sharedItems containsSemiMixedTypes="0" containsString="0" containsNumber="1" containsInteger="1" minValue="1" maxValue="68"/>
    </cacheField>
    <cacheField name="Nc" numFmtId="0">
      <sharedItems containsSemiMixedTypes="0" containsString="0" containsNumber="1" containsInteger="1" minValue="1" maxValue="27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</sharedItems>
    </cacheField>
    <cacheField name="Colonna2" numFmtId="0">
      <sharedItems containsBlank="1"/>
    </cacheField>
    <cacheField name="Colonna3" numFmtId="0">
      <sharedItems containsBlank="1"/>
    </cacheField>
    <cacheField name="Colonna4" numFmtId="0">
      <sharedItems/>
    </cacheField>
    <cacheField name="mmol" numFmtId="0">
      <sharedItems containsSemiMixedTypes="0" containsString="0" containsNumber="1" minValue="5.4230671523978589E-5" maxValue="10.675347629281321"/>
    </cacheField>
    <cacheField name="mmolC" numFmtId="0">
      <sharedItems containsSemiMixedTypes="0" containsString="0" containsNumber="1" minValue="3.7961470066785014E-4" maxValue="10.675347629281321"/>
    </cacheField>
    <cacheField name="Colonna5" numFmtId="0">
      <sharedItems containsSemiMixedTypes="0" containsString="0" containsNumber="1" minValue="1.8031684776689455E-4" maxValue="5.0707863260860906"/>
    </cacheField>
    <cacheField name="Colonna6" numFmtId="0">
      <sharedItems containsSemiMixedTypes="0" containsString="0" containsNumber="1" minValue="1.9929785290095559E-4" maxValue="5.604561303195231"/>
    </cacheField>
    <cacheField name="con CO" numFmtId="0">
      <sharedItems containsSemiMixedTypes="0" containsString="0" containsNumber="1" minValue="3.4194235218172986E-6" maxValue="9.6159434086511925E-2"/>
    </cacheField>
    <cacheField name="conv CO2" numFmtId="0">
      <sharedItems containsSemiMixedTypes="0" containsString="0" containsNumber="1" minValue="1.2033016764116812E-6" maxValue="3.383868874412004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5994.45797476852" createdVersion="8" refreshedVersion="8" minRefreshableVersion="3" recordCount="68" xr:uid="{9E1081E3-6AB5-9C4F-A5E5-BEDA7600C86B}">
  <cacheSource type="worksheet">
    <worksheetSource name="Tabella9"/>
  </cacheSource>
  <cacheFields count="11">
    <cacheField name="Colonna1" numFmtId="0">
      <sharedItems containsSemiMixedTypes="0" containsString="0" containsNumber="1" containsInteger="1" minValue="1" maxValue="68"/>
    </cacheField>
    <cacheField name="Colonna2" numFmtId="0">
      <sharedItems containsSemiMixedTypes="0" containsString="0" containsNumber="1" containsInteger="1" minValue="1" maxValue="27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</sharedItems>
    </cacheField>
    <cacheField name="Colonna3" numFmtId="0">
      <sharedItems containsBlank="1"/>
    </cacheField>
    <cacheField name="Colonna4" numFmtId="0">
      <sharedItems containsBlank="1"/>
    </cacheField>
    <cacheField name="Colonna5" numFmtId="0">
      <sharedItems/>
    </cacheField>
    <cacheField name="mmol" numFmtId="0">
      <sharedItems containsSemiMixedTypes="0" containsString="0" containsNumber="1" minValue="1.4067555324488899E-5" maxValue="12.764487853091264"/>
    </cacheField>
    <cacheField name="mmolC" numFmtId="0">
      <sharedItems containsSemiMixedTypes="0" containsString="0" containsNumber="1" minValue="9.8472887271422297E-5" maxValue="12.764487853091264"/>
    </cacheField>
    <cacheField name="Colonna6" numFmtId="0">
      <sharedItems containsSemiMixedTypes="0" containsString="0" containsNumber="1" minValue="7.5385230092590784E-5" maxValue="9.7717643960930118"/>
    </cacheField>
    <cacheField name="Colonna7" numFmtId="0">
      <sharedItems containsSemiMixedTypes="0" containsString="0" containsNumber="1" minValue="2.308765717883151E-5" maxValue="2.9927234569982524"/>
    </cacheField>
    <cacheField name="con CO" numFmtId="0">
      <sharedItems containsSemiMixedTypes="0" containsString="0" containsNumber="1" minValue="8.923248059216899E-7" maxValue="0.11566705782480829"/>
    </cacheField>
    <cacheField name="conv CO2" numFmtId="0">
      <sharedItems containsSemiMixedTypes="0" containsString="0" containsNumber="1" minValue="1.7877168195483313E-7" maxValue="2.317317005745395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6008.687751851852" createdVersion="8" refreshedVersion="8" minRefreshableVersion="3" recordCount="124" xr:uid="{FB2AC1C2-808D-A748-A4C1-509812E9F1AE}">
  <cacheSource type="worksheet">
    <worksheetSource name="Tabella4"/>
  </cacheSource>
  <cacheFields count="5">
    <cacheField name="Cn" numFmtId="0">
      <sharedItems containsSemiMixedTypes="0" containsString="0" containsNumber="1" containsInteger="1" minValue="1" maxValue="1402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1402" u="1"/>
      </sharedItems>
    </cacheField>
    <cacheField name="Class" numFmtId="0">
      <sharedItems containsBlank="1" count="7">
        <s v="oxygenated"/>
        <s v="paraffin"/>
        <s v="Olefin"/>
        <s v="iso-paraffin"/>
        <s v="Aromatic"/>
        <s v="Naphthene"/>
        <m u="1"/>
      </sharedItems>
    </cacheField>
    <cacheField name="Name" numFmtId="0">
      <sharedItems/>
    </cacheField>
    <cacheField name="mol" numFmtId="0">
      <sharedItems containsSemiMixedTypes="0" containsString="0" containsNumber="1" minValue="0" maxValue="10.675347629281321"/>
    </cacheField>
    <cacheField name="Colonna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6008.688078935185" createdVersion="8" refreshedVersion="8" minRefreshableVersion="3" recordCount="124" xr:uid="{6B5E4484-0556-3143-84CF-7B435B6F3D24}">
  <cacheSource type="worksheet">
    <worksheetSource name="Tabella10"/>
  </cacheSource>
  <cacheFields count="6">
    <cacheField name="Cn" numFmtId="0">
      <sharedItems containsSemiMixedTypes="0" containsString="0" containsNumber="1" containsInteger="1" minValue="1" maxValue="39" count="39">
        <n v="8"/>
        <n v="7"/>
        <n v="9"/>
        <n v="10"/>
        <n v="1"/>
        <n v="2"/>
        <n v="3"/>
        <n v="4"/>
        <n v="5"/>
        <n v="6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Class" numFmtId="0">
      <sharedItems count="6">
        <s v="Olefin"/>
        <s v="Aromatic"/>
        <s v="paraffin"/>
        <s v="oxygenated"/>
        <s v="iso-paraffin"/>
        <s v="Naphthene"/>
      </sharedItems>
    </cacheField>
    <cacheField name="Name" numFmtId="0">
      <sharedItems/>
    </cacheField>
    <cacheField name="mol" numFmtId="0">
      <sharedItems containsSemiMixedTypes="0" containsString="0" containsNumber="1" minValue="0" maxValue="12.764487853091264"/>
    </cacheField>
    <cacheField name="Colonna1" numFmtId="0">
      <sharedItems/>
    </cacheField>
    <cacheField name="Colonna2" numFmtId="0">
      <sharedItems containsString="0" containsBlank="1" containsNumber="1" containsInteger="1" minValue="1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URO ALESSIO" refreshedDate="46008.68829849537" createdVersion="8" refreshedVersion="8" minRefreshableVersion="3" recordCount="68" xr:uid="{ED62D089-2E9C-074A-9259-B6B4291C0D0F}">
  <cacheSource type="worksheet">
    <worksheetSource name="Tabella14"/>
  </cacheSource>
  <cacheFields count="4">
    <cacheField name="Nc" numFmtId="0">
      <sharedItems containsSemiMixedTypes="0" containsString="0" containsNumber="1" containsInteger="1" minValue="1" maxValue="27" count="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</sharedItems>
    </cacheField>
    <cacheField name="Name" numFmtId="0">
      <sharedItems/>
    </cacheField>
    <cacheField name="5%" numFmtId="0">
      <sharedItems containsSemiMixedTypes="0" containsString="0" containsNumber="1" minValue="3.7961470066785014E-4" maxValue="10.675347629281321"/>
    </cacheField>
    <cacheField name="10%" numFmtId="0">
      <sharedItems containsSemiMixedTypes="0" containsString="0" containsNumber="1" minValue="9.8472887271422297E-5" maxValue="12.76448785309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"/>
    <x v="0"/>
    <s v="METHANE"/>
    <s v="CH4"/>
    <s v="CH4"/>
    <n v="10.675347629281321"/>
    <n v="10.675347629281321"/>
    <n v="5.0707863260860906"/>
    <n v="5.604561303195231"/>
    <n v="9.6159434086511925E-2"/>
    <n v="3.3838688744120049E-2"/>
  </r>
  <r>
    <n v="2"/>
    <x v="0"/>
    <s v="METHANOL"/>
    <s v="CH4O"/>
    <s v="MEOH"/>
    <n v="0.80481481478060724"/>
    <n v="0.80481481478060724"/>
    <n v="0.38228675070282037"/>
    <n v="0.42252806407778692"/>
    <n v="7.2494629515829764E-3"/>
    <n v="2.5510998760656768E-3"/>
  </r>
  <r>
    <n v="3"/>
    <x v="1"/>
    <s v="ETHANE"/>
    <s v="C2H6"/>
    <s v="C2"/>
    <n v="0.73823716073728918"/>
    <n v="1.4764743214745784"/>
    <n v="0.70132477743533284"/>
    <n v="0.77514954403924563"/>
    <n v="1.329951399491992E-2"/>
    <n v="4.6801244079418894E-3"/>
  </r>
  <r>
    <n v="4"/>
    <x v="1"/>
    <s v="ETHYLENE"/>
    <s v="C2H4"/>
    <s v="C2-O"/>
    <n v="3.1359739905749899"/>
    <n v="6.2719479811499799"/>
    <n v="2.9791730597610195"/>
    <n v="3.2927749213889608"/>
    <n v="5.6495300146776103E-2"/>
    <n v="1.9880804159605078E-2"/>
  </r>
  <r>
    <n v="5"/>
    <x v="2"/>
    <s v="PROPANE"/>
    <s v="C3H8"/>
    <s v="C3"/>
    <n v="0.34478411114996343"/>
    <n v="1.0343523334498903"/>
    <n v="0.49131699041130367"/>
    <n v="0.54303534303858669"/>
    <n v="9.3170488198238179E-3"/>
    <n v="3.2786872970169902E-3"/>
  </r>
  <r>
    <n v="6"/>
    <x v="2"/>
    <s v="PROPYLENE"/>
    <s v="C3H6-2"/>
    <s v="C3-O"/>
    <n v="3.1630215635472081"/>
    <n v="9.4890646906416247"/>
    <n v="4.5073023522599041"/>
    <n v="4.9817623383817216"/>
    <n v="8.5473852688376498E-2"/>
    <n v="3.0078412215702101E-2"/>
  </r>
  <r>
    <n v="7"/>
    <x v="3"/>
    <s v="N-BUTANE"/>
    <s v="C4H10-1"/>
    <s v="C4"/>
    <n v="0.2525480101226053"/>
    <n v="1.0101920404904212"/>
    <n v="0.4798408598507331"/>
    <n v="0.53035118063968822"/>
    <n v="9.0994221739266398E-3"/>
    <n v="3.2021040641506647E-3"/>
  </r>
  <r>
    <n v="8"/>
    <x v="3"/>
    <s v="ISOBUTANE"/>
    <s v="C4H10-2"/>
    <s v="C4-IP"/>
    <n v="9.861334818537966E-3"/>
    <n v="3.9445339274151864E-2"/>
    <n v="1.8736522122292841E-2"/>
    <n v="2.0708817151859026E-2"/>
    <n v="3.5530847647049959E-4"/>
    <n v="1.2503373233889697E-4"/>
  </r>
  <r>
    <n v="9"/>
    <x v="3"/>
    <s v="1-BUTENE"/>
    <s v="C4H8-1"/>
    <s v="C4-O"/>
    <n v="1.9261955109942335"/>
    <n v="7.7047820439769339"/>
    <n v="3.6597687298640293"/>
    <n v="4.0450133141129054"/>
    <n v="6.9401719441582077E-2"/>
    <n v="2.4422597790848009E-2"/>
  </r>
  <r>
    <n v="10"/>
    <x v="4"/>
    <s v="N-PENTANE"/>
    <s v="C5H12-1"/>
    <s v="C5"/>
    <n v="3.3633768471634337E-2"/>
    <n v="0.1681688423581717"/>
    <n v="7.9880140293000709E-2"/>
    <n v="8.8288702065171004E-2"/>
    <n v="1.5148003862459963E-3"/>
    <n v="5.3306115272615836E-4"/>
  </r>
  <r>
    <n v="11"/>
    <x v="4"/>
    <s v="2-METHYL-1-BUTANE"/>
    <s v="C5H12-5"/>
    <s v="C5-IP"/>
    <n v="2.8455969793671199E-2"/>
    <n v="0.14227984896835599"/>
    <n v="6.7582877643011616E-2"/>
    <n v="7.4696971325344377E-2"/>
    <n v="1.2816022703733309E-3"/>
    <n v="4.5099828979758771E-4"/>
  </r>
  <r>
    <n v="12"/>
    <x v="4"/>
    <s v="1-PENTENE"/>
    <s v="C5H10-2"/>
    <s v="C5-O"/>
    <n v="1.5569183599778078"/>
    <n v="7.7845917998890393"/>
    <n v="3.6976783355294529"/>
    <n v="4.0869134643595864"/>
    <n v="7.012061509066056E-2"/>
    <n v="2.4675578544528225E-2"/>
  </r>
  <r>
    <n v="13"/>
    <x v="4"/>
    <s v="CYCLOPENTANE"/>
    <m/>
    <s v="C5-N"/>
    <n v="1.1902160779367163E-2"/>
    <n v="5.9510803896835815E-2"/>
    <n v="2.8267610679651584E-2"/>
    <n v="3.1243193217184235E-2"/>
    <n v="5.3605048036626493E-4"/>
    <n v="1.8863718914912403E-4"/>
  </r>
  <r>
    <n v="14"/>
    <x v="5"/>
    <s v="2,2-DIMETHYL-BUTANE"/>
    <s v="C6H14-4"/>
    <s v="C6-IP"/>
    <n v="0.50140111603803417"/>
    <n v="3.0084066962282048"/>
    <n v="1.4289921104486598"/>
    <n v="1.5794145857795452"/>
    <n v="2.7098572848147363E-2"/>
    <n v="9.5360396068194433E-3"/>
  </r>
  <r>
    <n v="15"/>
    <x v="5"/>
    <s v="N-HEXANE"/>
    <s v="C6H14-1"/>
    <s v="C6"/>
    <n v="6.0548456071236696E-3"/>
    <n v="3.6329073642742016E-2"/>
    <n v="1.7256297056004399E-2"/>
    <n v="1.9072776586737616E-2"/>
    <n v="3.2723835173210816E-4"/>
    <n v="1.1515580176396771E-4"/>
  </r>
  <r>
    <n v="16"/>
    <x v="5"/>
    <s v="2-METHYL-1-PENTENE"/>
    <s v="C6H12-D2"/>
    <s v="C6-O"/>
    <n v="0.44515746831591163"/>
    <n v="2.6709448098954698"/>
    <n v="1.2686978344948141"/>
    <n v="1.4022469754006557"/>
    <n v="2.4058845698980307E-2"/>
    <n v="8.4663538100501444E-3"/>
  </r>
  <r>
    <n v="17"/>
    <x v="5"/>
    <s v="BENZENE"/>
    <m/>
    <s v="C6-A"/>
    <n v="3.1887905637956234E-3"/>
    <n v="1.913274338277374E-2"/>
    <n v="9.0880463002228802E-3"/>
    <n v="1.004469708255086E-2"/>
    <n v="1.7234040895901351E-4"/>
    <n v="6.064691948531785E-5"/>
  </r>
  <r>
    <n v="18"/>
    <x v="5"/>
    <s v="CYCLOHEXANE"/>
    <m/>
    <s v="C6-N"/>
    <n v="3.8428912281942007E-2"/>
    <n v="0.23057347369165204"/>
    <n v="0.109522317975561"/>
    <n v="0.12105115571609106"/>
    <n v="2.076917353467312E-3"/>
    <n v="7.3087118844743671E-4"/>
  </r>
  <r>
    <n v="19"/>
    <x v="6"/>
    <s v="N-HEPTANE"/>
    <s v="C7H16-1"/>
    <s v="C7"/>
    <n v="5.4230671523978589E-5"/>
    <n v="3.7961470066785014E-4"/>
    <n v="1.8031684776689455E-4"/>
    <n v="1.9929785290095559E-4"/>
    <n v="3.4194235218172986E-6"/>
    <n v="1.2033016764116812E-6"/>
  </r>
  <r>
    <n v="20"/>
    <x v="6"/>
    <s v="2-METHYLHEXANE"/>
    <s v="C7H16-2"/>
    <s v="C7-IP"/>
    <n v="0.3261680062563902"/>
    <n v="2.2831760437947315"/>
    <n v="1.0845078085481581"/>
    <n v="1.1986682352465734"/>
    <n v="2.0565973485395794E-2"/>
    <n v="7.2372053985470582E-3"/>
  </r>
  <r>
    <n v="21"/>
    <x v="6"/>
    <s v="1-HEPTENE"/>
    <s v="C7H14-7"/>
    <s v="C7-O"/>
    <n v="0.22795214217457127"/>
    <n v="1.5956649952219988"/>
    <n v="0.75794030506252041"/>
    <n v="0.83772469015947848"/>
    <n v="1.4373137836873778E-2"/>
    <n v="5.0579346910541827E-3"/>
  </r>
  <r>
    <n v="22"/>
    <x v="6"/>
    <s v="TOLUENE"/>
    <s v="C7H8"/>
    <s v="C7-A"/>
    <n v="8.5260287699485491E-3"/>
    <n v="5.9682201389639845E-2"/>
    <n v="2.8349024427757753E-2"/>
    <n v="3.1333176961882092E-2"/>
    <n v="5.3759436319652295E-4"/>
    <n v="1.8918048446951339E-4"/>
  </r>
  <r>
    <n v="23"/>
    <x v="6"/>
    <s v="1c,3-Dimethylcyclopentane"/>
    <m/>
    <s v="C7-N"/>
    <n v="3.4702013310505875E-2"/>
    <n v="0.24291409317354112"/>
    <n v="0.11538410783920476"/>
    <n v="0.12752998533433638"/>
    <n v="2.1880769172458758E-3"/>
    <n v="7.6998845151546682E-4"/>
  </r>
  <r>
    <n v="24"/>
    <x v="7"/>
    <s v="N-OCTANE"/>
    <s v="C8H18-1"/>
    <s v="C8"/>
    <n v="2.3425649993826746E-2"/>
    <n v="0.18740519995061397"/>
    <n v="8.9017403305954729E-2"/>
    <n v="9.8387796644659256E-2"/>
    <n v="1.6880741122370208E-3"/>
    <n v="5.9403650825985601E-4"/>
  </r>
  <r>
    <n v="25"/>
    <x v="7"/>
    <s v="2,2,4-TRIMETHYLPENTANE"/>
    <s v="C8H18-13"/>
    <s v="C8-IP"/>
    <n v="0.13618128701509688"/>
    <n v="1.089450296120775"/>
    <n v="0.51748850307852468"/>
    <n v="0.57196179304225037"/>
    <n v="9.8133501201411646E-3"/>
    <n v="3.4533366736931412E-3"/>
  </r>
  <r>
    <n v="26"/>
    <x v="7"/>
    <s v="1-OCTENE"/>
    <s v="C8H16-16"/>
    <s v="C8-O"/>
    <n v="0.37385779168760375"/>
    <n v="2.99086233350083"/>
    <n v="1.4206585443946749"/>
    <n v="1.5702037891061553"/>
    <n v="2.6940539962487936E-2"/>
    <n v="9.4804275321440316E-3"/>
  </r>
  <r>
    <n v="27"/>
    <x v="7"/>
    <s v="1-METHYL-1-ETHYLCYCLOPENTANE"/>
    <s v="C8H16-13"/>
    <s v="C8-N"/>
    <n v="6.1129115107962102E-2"/>
    <n v="0.48903292086369682"/>
    <n v="0.23229046343369683"/>
    <n v="0.25674245743000002"/>
    <n v="4.4050208529923859E-3"/>
    <n v="1.5501352620447245E-3"/>
  </r>
  <r>
    <n v="28"/>
    <x v="7"/>
    <s v="M-XYLENE"/>
    <s v="C8H10-2"/>
    <s v="C8-A"/>
    <n v="0.10006726324802021"/>
    <n v="0.80053810598416164"/>
    <n v="0.38025531554597497"/>
    <n v="0.42028279043818673"/>
    <n v="7.2109400002093827E-3"/>
    <n v="2.5375435758085109E-3"/>
  </r>
  <r>
    <n v="29"/>
    <x v="8"/>
    <s v="N-NONANE"/>
    <s v="C9H20-1"/>
    <s v="C9"/>
    <n v="5.5977461182655577E-2"/>
    <n v="0.50379715064390018"/>
    <n v="0.23930346732682517"/>
    <n v="0.26449368331707501"/>
    <n v="4.538011368120291E-3"/>
    <n v="1.5969348786406855E-3"/>
  </r>
  <r>
    <n v="30"/>
    <x v="8"/>
    <s v="3-METHYLOCTANE"/>
    <s v="C9H20-D2"/>
    <s v="C9-IP"/>
    <n v="0.35805334845579151"/>
    <n v="3.2224801361021234"/>
    <n v="1.5306769182307889"/>
    <n v="1.6918032178713347"/>
    <n v="2.9026864229944244E-2"/>
    <n v="1.0214609031613369E-2"/>
  </r>
  <r>
    <n v="31"/>
    <x v="8"/>
    <s v="1-NONENE"/>
    <s v="C9H18-3"/>
    <s v="C9-O"/>
    <n v="6.598404874134095E-2"/>
    <n v="0.59385643867206861"/>
    <n v="0.28208159710104302"/>
    <n v="0.31177484157102558"/>
    <n v="5.349230868576583E-3"/>
    <n v="1.8824045721749097E-3"/>
  </r>
  <r>
    <n v="32"/>
    <x v="8"/>
    <s v="ISOPROPYLCYCLOHEXANE"/>
    <s v="C9H18-2"/>
    <s v="C9-N"/>
    <n v="3.7197241926675943E-2"/>
    <n v="0.3347751773400835"/>
    <n v="0.15901809013814985"/>
    <n v="0.17575708720193367"/>
    <n v="3.0155263057603391E-3"/>
    <n v="1.061169473694349E-3"/>
  </r>
  <r>
    <n v="33"/>
    <x v="8"/>
    <s v="INDANE"/>
    <s v="C9H10-E1"/>
    <s v="C9-A"/>
    <n v="0.11361486254471226"/>
    <n v="1.0225337629024103"/>
    <n v="0.48570317360578197"/>
    <n v="0.5368305892966283"/>
    <n v="9.2105916724762229E-3"/>
    <n v="3.2412248232836145E-3"/>
  </r>
  <r>
    <n v="34"/>
    <x v="9"/>
    <s v="N-DECANE"/>
    <s v="C10H22-1"/>
    <s v="C10"/>
    <n v="7.4068004018577285E-2"/>
    <n v="0.74068004018577283"/>
    <n v="0.35182275558662629"/>
    <n v="0.38885728459914654"/>
    <n v="6.6717615179182387E-3"/>
    <n v="2.3478056368002333E-3"/>
  </r>
  <r>
    <n v="35"/>
    <x v="9"/>
    <s v="2-METHYLNONANE"/>
    <s v="C10H22-E2"/>
    <s v="C10-IP"/>
    <n v="0.12171613582007894"/>
    <n v="1.2171613582007894"/>
    <n v="0.5781512121325123"/>
    <n v="0.63901014606827722"/>
    <n v="1.0963722349942579E-2"/>
    <n v="3.8581548612576372E-3"/>
  </r>
  <r>
    <n v="36"/>
    <x v="9"/>
    <s v="1-DECENE"/>
    <s v="C10H20-5"/>
    <s v="C10-O"/>
    <n v="0.13279319704106399"/>
    <n v="1.3279319704106398"/>
    <n v="0.63076721352484433"/>
    <n v="0.6971647568857956"/>
    <n v="1.1961501509311533E-2"/>
    <n v="4.2092752555278421E-3"/>
  </r>
  <r>
    <n v="37"/>
    <x v="9"/>
    <s v="1-PROPYL-1-METHYLCYCLOHEXANE"/>
    <s v="C10H20-N24"/>
    <s v="C10-N"/>
    <n v="7.7256423384358452E-2"/>
    <n v="0.77256423384358452"/>
    <n v="0.36696773623108303"/>
    <n v="0.40559649761250155"/>
    <n v="6.9589620967574995E-3"/>
    <n v="2.4488720697175633E-3"/>
  </r>
  <r>
    <n v="38"/>
    <x v="9"/>
    <s v="1,2-DIMETHYL-3-ETHYLBENZENE"/>
    <s v="C10H14-D3"/>
    <s v="C10-A"/>
    <n v="9.4571556145768718E-2"/>
    <n v="0.9457155614576872"/>
    <n v="0.44921455524810022"/>
    <n v="0.49650100620958698"/>
    <n v="8.5186427978365745E-3"/>
    <n v="2.9977266910596908E-3"/>
  </r>
  <r>
    <n v="39"/>
    <x v="10"/>
    <s v="N-UNDECANE"/>
    <s v="C11H24"/>
    <s v="C11"/>
    <n v="8.3714352259094432E-2"/>
    <n v="0.92085787485003878"/>
    <n v="0.43740716295274673"/>
    <n v="0.48345071189729211"/>
    <n v="8.2947342976267078E-3"/>
    <n v="2.9189328616477184E-3"/>
  </r>
  <r>
    <n v="40"/>
    <x v="10"/>
    <s v="3-ETHYLNONANE"/>
    <s v="C11H24-N8"/>
    <s v="C11-IP"/>
    <n v="0.12608079290427424"/>
    <n v="1.3868887219470165"/>
    <n v="0.65877164953038547"/>
    <n v="0.72811707241663115"/>
    <n v="1.2492561298668364E-2"/>
    <n v="4.3961562109668716E-3"/>
  </r>
  <r>
    <n v="41"/>
    <x v="10"/>
    <s v="1-ETHYL-2-ISOPROPYLBENZENE"/>
    <s v="C11H16-D1"/>
    <s v="C11-A"/>
    <n v="5.0538344447955866E-2"/>
    <n v="0.55592178892751454"/>
    <n v="0.26406265196787176"/>
    <n v="0.29185913695964277"/>
    <n v="5.0075301035634682E-3"/>
    <n v="1.7621594195203732E-3"/>
  </r>
  <r>
    <n v="42"/>
    <x v="10"/>
    <s v="Undecene-1"/>
    <m/>
    <s v="C11-O"/>
    <n v="8.1174649789622355E-2"/>
    <n v="0.89292114768584585"/>
    <n v="0.4241372274884227"/>
    <n v="0.46878392019742321"/>
    <n v="8.0430909818652967E-3"/>
    <n v="2.8303790976048917E-3"/>
  </r>
  <r>
    <n v="43"/>
    <x v="11"/>
    <s v="2-METHYLUNDECANE"/>
    <s v="C12H26-N9"/>
    <s v="C12-IP"/>
    <n v="8.8871593012984015E-2"/>
    <n v="1.0664591161558081"/>
    <n v="0.50656770077442326"/>
    <n v="0.55989141538138487"/>
    <n v="9.6062543953754128E-3"/>
    <n v="3.3804592921116163E-3"/>
  </r>
  <r>
    <n v="44"/>
    <x v="11"/>
    <s v="N-DODECANE"/>
    <s v="C12H26"/>
    <s v="C12"/>
    <n v="9.2812926870916634E-2"/>
    <n v="1.1137551224509996"/>
    <n v="0.52903328693878549"/>
    <n v="0.58472183551221424"/>
    <n v="1.003227866716804E-2"/>
    <n v="3.5303780480566791E-3"/>
  </r>
  <r>
    <n v="45"/>
    <x v="11"/>
    <s v="1-DODECENE"/>
    <s v="C12H24-2"/>
    <s v="C12-O"/>
    <n v="8.7293141683905204E-3"/>
    <n v="0.10475177002068625"/>
    <n v="4.9757053493720282E-2"/>
    <n v="5.4994716526965977E-2"/>
    <n v="9.4356373905059928E-4"/>
    <n v="3.3204188418211532E-4"/>
  </r>
  <r>
    <n v="46"/>
    <x v="11"/>
    <s v="1,2,4-TRIETHYLBENZENE"/>
    <s v="C12H18-D6"/>
    <s v="C12-A"/>
    <n v="3.0767842952423023E-2"/>
    <n v="0.36921411542907628"/>
    <n v="0.17537657347855107"/>
    <n v="0.19383754195052524"/>
    <n v="3.325739041886564E-3"/>
    <n v="1.1703339287679213E-3"/>
  </r>
  <r>
    <n v="47"/>
    <x v="11"/>
    <m/>
    <m/>
    <s v="C12-N"/>
    <n v="7.9958923387175255E-3"/>
    <n v="9.5950708064610313E-2"/>
    <n v="4.5576552195617751E-2"/>
    <n v="5.0374155868992569E-2"/>
    <n v="8.642871509294529E-4"/>
    <n v="3.0414430121886903E-4"/>
  </r>
  <r>
    <n v="48"/>
    <x v="12"/>
    <s v="2-METHYLDODECANE"/>
    <s v="C13H28-N1"/>
    <s v="C13-IP"/>
    <n v="3.2103149001012445E-2"/>
    <n v="0.41734093701316177"/>
    <n v="0.19823679660957005"/>
    <n v="0.21910414040359175"/>
    <n v="3.7592469789222162E-3"/>
    <n v="1.3228862008232815E-3"/>
  </r>
  <r>
    <n v="49"/>
    <x v="12"/>
    <s v="1-TRIDECENE"/>
    <s v="C13H26-2"/>
    <s v="C13-O"/>
    <n v="2.774247790502192E-3"/>
    <n v="3.6065221276528496E-2"/>
    <n v="1.7130967275920127E-2"/>
    <n v="1.8934254000608369E-2"/>
    <n v="3.2486167088774045E-4"/>
    <n v="1.1431944322982413E-4"/>
  </r>
  <r>
    <n v="50"/>
    <x v="12"/>
    <s v="N-TRIDECANE"/>
    <s v="C13H28"/>
    <s v="C13"/>
    <n v="9.6348657418380126E-2"/>
    <n v="1.2525325464389416"/>
    <n v="0.59495251396211035"/>
    <n v="0.65758003247683139"/>
    <n v="1.1282332437600883E-2"/>
    <n v="3.9702743603938998E-3"/>
  </r>
  <r>
    <n v="51"/>
    <x v="13"/>
    <s v="2-METHYLTRIDECANE"/>
    <s v="C14H30-N1"/>
    <s v="C14-IP"/>
    <n v="7.3023303910919749E-3"/>
    <n v="0.10223262547528765"/>
    <n v="4.8560460730857576E-2"/>
    <n v="5.3672164744430081E-2"/>
    <n v="9.2087225187099529E-4"/>
    <n v="3.2405670644988164E-4"/>
  </r>
  <r>
    <n v="52"/>
    <x v="13"/>
    <s v="N-TETRADECANE"/>
    <s v="C14H30"/>
    <s v=" C14 "/>
    <n v="9.4580792144648415E-2"/>
    <n v="1.3241310900250778"/>
    <n v="0.62896179669388963"/>
    <n v="0.69516929333118826"/>
    <n v="1.1927264637633118E-2"/>
    <n v="4.1972272349118309E-3"/>
  </r>
  <r>
    <n v="53"/>
    <x v="14"/>
    <s v="2-METHYLTETRADECANE"/>
    <s v="C15H32-N1"/>
    <s v="C15-IP "/>
    <n v="5.7597529558558449E-3"/>
    <n v="8.6396294337837673E-2"/>
    <n v="4.103820907444395E-2"/>
    <n v="4.535808526339373E-2"/>
    <n v="7.7822465920554561E-4"/>
    <n v="2.7385874580088842E-4"/>
  </r>
  <r>
    <n v="54"/>
    <x v="14"/>
    <s v="N-PENTADECANE"/>
    <s v="C15H32"/>
    <s v="C15"/>
    <n v="8.3973600502257911E-2"/>
    <n v="1.2596040075338686"/>
    <n v="0.59831145546648357"/>
    <n v="0.66129255206738513"/>
    <n v="1.1346029445011474E-2"/>
    <n v="3.9926894591117198E-3"/>
  </r>
  <r>
    <n v="55"/>
    <x v="15"/>
    <s v="2-METHYLPENTADECANE"/>
    <s v="C16H34-N1"/>
    <s v="C16-IP"/>
    <n v="1.4688366534483587E-2"/>
    <n v="0.23501386455173739"/>
    <n v="0.11163150205440436"/>
    <n v="0.12338236249733305"/>
    <n v="2.1169146900465491E-3"/>
    <n v="7.4494632767798741E-4"/>
  </r>
  <r>
    <n v="56"/>
    <x v="15"/>
    <s v="N-HEXADECANE"/>
    <s v="C16H34"/>
    <s v="C16"/>
    <n v="6.8062813038672218E-2"/>
    <n v="1.0890050086187555"/>
    <n v="0.51727699167347929"/>
    <n v="0.57172801694527631"/>
    <n v="9.8093391412309751E-3"/>
    <n v="3.4519252025443092E-3"/>
  </r>
  <r>
    <n v="57"/>
    <x v="16"/>
    <s v="14-METHYLHEXADECANE"/>
    <s v="C17H36-N10"/>
    <s v="C17-IP"/>
    <n v="5.4408738994762822E-3"/>
    <n v="9.24948562910968E-2"/>
    <n v="4.3935023832639988E-2"/>
    <n v="4.8559832458456818E-2"/>
    <n v="8.3315816456123104E-4"/>
    <n v="2.9318995138683348E-4"/>
  </r>
  <r>
    <n v="58"/>
    <x v="16"/>
    <s v="N-HEPTADECANE"/>
    <s v="C17H36"/>
    <s v="C17"/>
    <n v="5.922348667001337E-2"/>
    <n v="1.0067992733902273"/>
    <n v="0.47822929668513942"/>
    <n v="0.52856997670508798"/>
    <n v="9.0688614300828401E-3"/>
    <n v="3.191349679949643E-3"/>
  </r>
  <r>
    <n v="59"/>
    <x v="17"/>
    <s v="N-OCTADECANE"/>
    <s v="C18H38"/>
    <s v="C18"/>
    <n v="5.4803823485684133E-2"/>
    <n v="0.9864688227423144"/>
    <n v="0.46857233986006736"/>
    <n v="0.5178964828822471"/>
    <n v="8.8857325337774115E-3"/>
    <n v="3.1269062711359167E-3"/>
  </r>
  <r>
    <n v="60"/>
    <x v="18"/>
    <s v="N-NONADECANE"/>
    <s v="C19H40"/>
    <s v="C19"/>
    <n v="2.0330450647915044E-2"/>
    <n v="0.38627856231038582"/>
    <n v="0.18348217967638802"/>
    <n v="0.20279638263399782"/>
    <n v="3.4794490298035137E-3"/>
    <n v="1.2244247674609258E-3"/>
  </r>
  <r>
    <n v="61"/>
    <x v="19"/>
    <s v="N-EICOSANE"/>
    <s v="C20H42"/>
    <s v="C20"/>
    <n v="1.5910787463585811E-2"/>
    <n v="0.31821574927171625"/>
    <n v="0.15115236769679682"/>
    <n v="0.16706338157491943"/>
    <n v="2.8663653334766014E-3"/>
    <n v="1.0086794423019147E-3"/>
  </r>
  <r>
    <n v="62"/>
    <x v="20"/>
    <s v="N-HENEICOSANE"/>
    <s v="C21H44"/>
    <s v="C21"/>
    <n v="1.325898955298809E-2"/>
    <n v="0.2784387806127499"/>
    <n v="0.13225832173469637"/>
    <n v="0.14618045887805356"/>
    <n v="2.50806966679201E-3"/>
    <n v="8.8259451201416978E-4"/>
  </r>
  <r>
    <n v="63"/>
    <x v="21"/>
    <s v="N-DOCOSANE"/>
    <s v="C22H46"/>
    <s v="C22"/>
    <n v="1.2375056916122144E-2"/>
    <n v="0.27225125215468715"/>
    <n v="0.12931924791836899"/>
    <n v="0.14293200423631816"/>
    <n v="2.4523347853077282E-3"/>
    <n v="8.6298130063607178E-4"/>
  </r>
  <r>
    <n v="64"/>
    <x v="22"/>
    <s v="N-TRICOSANE"/>
    <s v="C23H48"/>
    <s v="C23"/>
    <n v="1.1491124279256318E-2"/>
    <n v="0.26429585842289532"/>
    <n v="0.12554043872594958"/>
    <n v="0.13875541969694574"/>
    <n v="2.3806756519708229E-3"/>
    <n v="8.3776431457852735E-4"/>
  </r>
  <r>
    <n v="65"/>
    <x v="23"/>
    <s v="N-TETRACOSANE"/>
    <s v="C24H50"/>
    <s v="C24"/>
    <n v="1.2375056916122269E-2"/>
    <n v="0.29700136598693444"/>
    <n v="0.14107554318367668"/>
    <n v="0.15592582280325776"/>
    <n v="2.6752743112448212E-3"/>
    <n v="9.4143414614845152E-4"/>
  </r>
  <r>
    <n v="66"/>
    <x v="24"/>
    <s v="N-PENTACOSANE"/>
    <s v="C25H52"/>
    <s v="C25"/>
    <n v="1.6794720100451636E-2"/>
    <n v="0.41986800251129092"/>
    <n v="0.19943715182216185"/>
    <n v="0.2204308506891291"/>
    <n v="3.7820098150038372E-3"/>
    <n v="1.3308964863705777E-3"/>
  </r>
  <r>
    <n v="67"/>
    <x v="25"/>
    <s v="N-HEXACOSANE"/>
    <s v="C26H54"/>
    <s v="C26"/>
    <n v="2.2098315921646818E-2"/>
    <n v="0.57455621396281731"/>
    <n v="0.27291399723032583"/>
    <n v="0.30164221673249147"/>
    <n v="5.1753818521104965E-3"/>
    <n v="1.8212267708228899E-3"/>
  </r>
  <r>
    <n v="68"/>
    <x v="26"/>
    <s v="N-HEPTACOSANE"/>
    <s v="C27H56"/>
    <s v="C27"/>
    <n v="9.723259005524551E-3"/>
    <n v="0.26252799314916286"/>
    <n v="0.12470070334985593"/>
    <n v="0.13782728979930695"/>
    <n v="2.3647514001181686E-3"/>
    <n v="8.3216053989907009E-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"/>
    <x v="0"/>
    <s v="METHANE"/>
    <s v="CH4"/>
    <s v="CH4"/>
    <n v="12.764487853091264"/>
    <n v="12.764487853091264"/>
    <n v="9.7717643960930118"/>
    <n v="2.9927234569982524"/>
    <n v="0.11566705782480829"/>
    <n v="2.3173170057453958E-2"/>
  </r>
  <r>
    <n v="2"/>
    <x v="0"/>
    <s v="METHANOL"/>
    <s v="CH4O"/>
    <s v="MEOH"/>
    <n v="0.91088223941800006"/>
    <n v="0.91088223941800006"/>
    <n v="0.69731952731833924"/>
    <n v="0.2135627120996608"/>
    <n v="8.2540772392083982E-3"/>
    <n v="1.6536526399871132E-3"/>
  </r>
  <r>
    <n v="3"/>
    <x v="1"/>
    <s v="ETHANE"/>
    <s v="C2H6"/>
    <s v="C2"/>
    <n v="0.854520583802166"/>
    <n v="1.709041167604332"/>
    <n v="1.3083445121543833"/>
    <n v="0.40069665544994876"/>
    <n v="1.5486697612422787E-2"/>
    <n v="3.1026627991575634E-3"/>
  </r>
  <r>
    <n v="4"/>
    <x v="1"/>
    <s v="ETHYLENE"/>
    <s v="C2H4"/>
    <s v="C2-O"/>
    <n v="3.6794307430909692"/>
    <n v="7.3588614861819384"/>
    <n v="5.6335249399793241"/>
    <n v="1.7253365462026147"/>
    <n v="6.6683275258930613E-2"/>
    <n v="1.3359576240831665E-2"/>
  </r>
  <r>
    <n v="5"/>
    <x v="2"/>
    <s v="PROPANE"/>
    <s v="C3H8"/>
    <s v="C3"/>
    <n v="0.39063532844270554"/>
    <n v="1.1719059853281166"/>
    <n v="0.897144430297239"/>
    <n v="0.27476155503087762"/>
    <n v="1.0619377677370652E-2"/>
    <n v="2.1275257575477146E-3"/>
  </r>
  <r>
    <n v="6"/>
    <x v="2"/>
    <s v="PROPYLENE"/>
    <s v="C3H6-2"/>
    <s v="C3-O"/>
    <n v="3.6599446857857001"/>
    <n v="10.979834057357101"/>
    <n v="8.405535165338252"/>
    <n v="2.5742988920188483"/>
    <n v="9.9495186601752869E-2"/>
    <n v="1.9933237019935889E-2"/>
  </r>
  <r>
    <n v="7"/>
    <x v="3"/>
    <s v="N-BUTANE"/>
    <s v="C4H10-1"/>
    <s v="C4"/>
    <n v="0.26992945538882374"/>
    <n v="1.0797178215552949"/>
    <n v="0.82657042632117761"/>
    <n v="0.25314739523411739"/>
    <n v="9.7840027063888346E-3"/>
    <n v="1.9601636180730272E-3"/>
  </r>
  <r>
    <n v="8"/>
    <x v="3"/>
    <s v="ISOBUTANE"/>
    <s v="C4H10-2"/>
    <s v="C4-IP"/>
    <n v="9.0662519919708761E-3"/>
    <n v="3.6265007967883504E-2"/>
    <n v="2.7762423198105235E-2"/>
    <n v="8.5025847697782677E-3"/>
    <n v="3.2862006074317059E-4"/>
    <n v="6.5836969445755536E-5"/>
  </r>
  <r>
    <n v="9"/>
    <x v="3"/>
    <s v="1-BUTENE"/>
    <s v="C4H8-1"/>
    <s v="C4-O"/>
    <n v="2.1937453695289362"/>
    <n v="8.7749814781157447"/>
    <n v="6.7176256949048767"/>
    <n v="2.057355783210868"/>
    <n v="7.9515629747340916E-2"/>
    <n v="1.5930458031979688E-2"/>
  </r>
  <r>
    <n v="10"/>
    <x v="4"/>
    <s v="N-PENTANE"/>
    <s v="C5H12-1"/>
    <s v="C5"/>
    <n v="3.0922002549818205E-2"/>
    <n v="0.15461001274909103"/>
    <n v="0.11836061385691792"/>
    <n v="3.6249398892173108E-2"/>
    <n v="1.4010186300277248E-3"/>
    <n v="2.8068530122437609E-4"/>
  </r>
  <r>
    <n v="11"/>
    <x v="4"/>
    <s v="2-METHYL-1-BUTANE"/>
    <s v="C5H12-5"/>
    <s v="C5-IP"/>
    <n v="9.0106537047203936E-2"/>
    <n v="0.45053268523601969"/>
    <n v="0.34490214597989793"/>
    <n v="0.10563053925612177"/>
    <n v="4.0825602056991711E-3"/>
    <n v="8.1791534854939497E-4"/>
  </r>
  <r>
    <n v="12"/>
    <x v="4"/>
    <s v="1-PENTENE"/>
    <s v="C5H10-2"/>
    <s v="C5-O"/>
    <n v="1.4898565620550401"/>
    <n v="7.4492828102752009"/>
    <n v="5.7027463521966695"/>
    <n v="1.7465364580785316"/>
    <n v="6.7502639783607418E-2"/>
    <n v="1.3523730787739389E-2"/>
  </r>
  <r>
    <n v="13"/>
    <x v="4"/>
    <s v="CYCLOPENTANE"/>
    <m/>
    <s v="C5-N"/>
    <n v="1.0942533730002032E-2"/>
    <n v="5.4712668650010163E-2"/>
    <n v="4.1884900803123591E-2"/>
    <n v="1.2827767846886572E-2"/>
    <n v="4.9578592430229746E-4"/>
    <n v="9.93276024479719E-5"/>
  </r>
  <r>
    <n v="14"/>
    <x v="5"/>
    <s v="2,2-DIMETHYL-BUTANE"/>
    <s v="C6H14-4"/>
    <s v="C6-IP"/>
    <n v="0.40963471025392018"/>
    <n v="2.4578082615235211"/>
    <n v="1.8815579237331024"/>
    <n v="0.57625033779041868"/>
    <n v="2.2271747490369132E-2"/>
    <n v="4.4620050148824883E-3"/>
  </r>
  <r>
    <n v="15"/>
    <x v="5"/>
    <s v="N-HEXANE"/>
    <s v="C6H14-1"/>
    <s v="C6"/>
    <n v="5.4222619097311943E-3"/>
    <n v="3.2533571458387166E-2"/>
    <n v="2.4905848077392698E-2"/>
    <n v="7.6277233809944681E-3"/>
    <n v="2.9480716613424282E-4"/>
    <n v="5.9062767943247924E-5"/>
  </r>
  <r>
    <n v="16"/>
    <x v="5"/>
    <s v="2-METHYL-1-PENTENE"/>
    <s v="C6H12-D2"/>
    <s v="C6-O"/>
    <n v="0.64344012024022157"/>
    <n v="3.8606407214413294"/>
    <n v="2.9554865014620253"/>
    <n v="0.9051542199793039"/>
    <n v="3.4983695288614336E-2"/>
    <n v="7.0087640803407339E-3"/>
  </r>
  <r>
    <n v="17"/>
    <x v="5"/>
    <s v="BENZENE"/>
    <m/>
    <s v="C6-A"/>
    <n v="2.9316902156736862E-3"/>
    <n v="1.7590141294042117E-2"/>
    <n v="1.3466009635297605E-2"/>
    <n v="4.1241316587445108E-3"/>
    <n v="1.5939534070000188E-4"/>
    <n v="3.1933857451457812E-5"/>
  </r>
  <r>
    <n v="18"/>
    <x v="5"/>
    <s v="CYCLOHEXANE"/>
    <m/>
    <s v="C6-N"/>
    <n v="3.5330531711637518E-2"/>
    <n v="0.21198319026982509"/>
    <n v="0.1622822486173803"/>
    <n v="4.9700941652444798E-2"/>
    <n v="1.9209130996108981E-3"/>
    <n v="3.8484289961188107E-4"/>
  </r>
  <r>
    <n v="19"/>
    <x v="6"/>
    <s v="N-HEPTANE"/>
    <s v="C7H16-1"/>
    <s v="C7"/>
    <n v="1.4067555324488899E-5"/>
    <n v="9.8472887271422297E-5"/>
    <n v="7.5385230092590784E-5"/>
    <n v="2.308765717883151E-5"/>
    <n v="8.923248059216899E-7"/>
    <n v="1.7877168195483313E-7"/>
  </r>
  <r>
    <n v="20"/>
    <x v="6"/>
    <s v="2-METHYLHEXANE"/>
    <s v="C7H16-2"/>
    <s v="C7-IP"/>
    <n v="0.30039693995985467"/>
    <n v="2.1027785797189829"/>
    <n v="1.6097674340446626"/>
    <n v="0.49301114567432036"/>
    <n v="1.9054600104008172E-2"/>
    <n v="3.81746970045482E-3"/>
  </r>
  <r>
    <n v="21"/>
    <x v="6"/>
    <s v="1-HEPTENE"/>
    <s v="C7H14-7"/>
    <s v="C7-O"/>
    <n v="0.21948940597245856"/>
    <n v="1.5364258418072099"/>
    <n v="1.1762000568297757"/>
    <n v="0.36022578497743413"/>
    <n v="1.3922521509141951E-2"/>
    <n v="2.7892899208050012E-3"/>
  </r>
  <r>
    <n v="22"/>
    <x v="6"/>
    <s v="TOLUENE"/>
    <s v="C7H8"/>
    <s v="C7-A"/>
    <n v="7.8386067141575193E-3"/>
    <n v="5.4870246999102631E-2"/>
    <n v="4.2005533806106471E-2"/>
    <n v="1.2864713192996161E-2"/>
    <n v="4.9721384089606842E-4"/>
    <n v="9.9613676587641229E-5"/>
  </r>
  <r>
    <n v="23"/>
    <x v="6"/>
    <s v="1c,3-Dimethylcyclopentane"/>
    <m/>
    <s v="C7-N"/>
    <n v="3.1904118772068897E-2"/>
    <n v="0.22332883140448229"/>
    <n v="0.17096782483214729"/>
    <n v="5.2361006572335014E-2"/>
    <n v="2.0237230943623997E-3"/>
    <n v="4.0544023766807139E-4"/>
  </r>
  <r>
    <n v="24"/>
    <x v="7"/>
    <s v="N-OCTANE"/>
    <s v="C8H18-1"/>
    <s v="C8"/>
    <n v="2.9300903471517398E-2"/>
    <n v="0.23440722777213918"/>
    <n v="0.17944881368475202"/>
    <n v="5.4958414087387157E-2"/>
    <n v="2.1241114160884126E-3"/>
    <n v="4.2555240871216242E-4"/>
  </r>
  <r>
    <n v="25"/>
    <x v="7"/>
    <s v="2,2,4-TRIMETHYLPENTANE"/>
    <s v="C8H18-13"/>
    <s v="C8-IP"/>
    <n v="0.12520149527311439"/>
    <n v="1.0016119621849151"/>
    <n v="0.76677703198323799"/>
    <n v="0.23483493020167709"/>
    <n v="9.076236358359276E-3"/>
    <n v="1.8183670663817608E-3"/>
  </r>
  <r>
    <n v="26"/>
    <x v="7"/>
    <s v="1-OCTENE"/>
    <s v="C8H16-16"/>
    <s v="C8-O"/>
    <n v="0.3437150254983527"/>
    <n v="2.7497202039868216"/>
    <n v="2.1050290695391149"/>
    <n v="0.64469113444770676"/>
    <n v="2.4916945317125475E-2"/>
    <n v="4.9919538199076395E-3"/>
  </r>
  <r>
    <n v="27"/>
    <x v="7"/>
    <s v="1-METHYL-1-ETHYLCYCLOPENTANE"/>
    <s v="C8H16-13"/>
    <s v="C8-N"/>
    <n v="5.6200501434464568E-2"/>
    <n v="0.44960401147571655"/>
    <n v="0.34419120627820682"/>
    <n v="0.10541280519750972"/>
    <n v="4.0741449082920484E-3"/>
    <n v="8.1622939645926182E-4"/>
  </r>
  <r>
    <n v="28"/>
    <x v="7"/>
    <s v="M-XYLENE"/>
    <s v="C8H10-2"/>
    <s v="C8-A"/>
    <n v="9.7895729961102018E-2"/>
    <n v="0.78316583968881615"/>
    <n v="0.59954713080431987"/>
    <n v="0.18361870888449622"/>
    <n v="7.096758562370591E-3"/>
    <n v="1.4217910969222733E-3"/>
  </r>
  <r>
    <n v="29"/>
    <x v="8"/>
    <s v="N-NONANE"/>
    <s v="C9H20-1"/>
    <s v="C9"/>
    <n v="6.1091537345067413E-2"/>
    <n v="0.5498238361056067"/>
    <n v="0.42091379204680673"/>
    <n v="0.12891004405879997"/>
    <n v="4.9822998130617142E-3"/>
    <n v="9.9817253949842605E-4"/>
  </r>
  <r>
    <n v="30"/>
    <x v="8"/>
    <s v="3-METHYLOCTANE"/>
    <s v="C9H20-D2"/>
    <s v="C9-IP"/>
    <n v="0.32918483586691982"/>
    <n v="2.9626635228022784"/>
    <n v="2.2680463378490874"/>
    <n v="0.69461718495319102"/>
    <n v="2.6846558745749566E-2"/>
    <n v="5.3785397759054101E-3"/>
  </r>
  <r>
    <n v="31"/>
    <x v="8"/>
    <s v="1-NONENE"/>
    <s v="C9H18-3"/>
    <s v="C9-O"/>
    <n v="6.0663999787827771E-2"/>
    <n v="0.54597599809044994"/>
    <n v="0.4179681065675937"/>
    <n v="0.12800789152285624"/>
    <n v="4.9474321311521853E-3"/>
    <n v="9.9118701797143655E-4"/>
  </r>
  <r>
    <n v="32"/>
    <x v="8"/>
    <s v="ISOPROPYLCYCLOHEXANE"/>
    <s v="C9H18-2"/>
    <s v="C9-N"/>
    <n v="3.4198166365833553E-2"/>
    <n v="0.30778349729250198"/>
    <n v="0.23562150359361989"/>
    <n v="7.2161993698882099E-2"/>
    <n v="2.7890199738982834E-3"/>
    <n v="5.5876267075688328E-4"/>
  </r>
  <r>
    <n v="33"/>
    <x v="8"/>
    <s v="INDANE"/>
    <s v="C9H10-E1"/>
    <s v="C9-A"/>
    <n v="8.574549938969897E-2"/>
    <n v="0.77170949450729076"/>
    <n v="0.59077680588078063"/>
    <n v="0.18093268862651019"/>
    <n v="6.992945408578327E-3"/>
    <n v="1.4009927822398642E-3"/>
  </r>
  <r>
    <n v="34"/>
    <x v="9"/>
    <s v="N-DECANE"/>
    <s v="C10H22-1"/>
    <s v="C10"/>
    <n v="9.1227394624881053E-2"/>
    <n v="0.91227394624881053"/>
    <n v="0.69838493874852203"/>
    <n v="0.21388900750028844"/>
    <n v="8.2666883706793374E-3"/>
    <n v="1.6561792011332919E-3"/>
  </r>
  <r>
    <n v="35"/>
    <x v="9"/>
    <s v="2-METHYLNONANE"/>
    <s v="C10H22-E2"/>
    <s v="C10-IP"/>
    <n v="0.11190261553226462"/>
    <n v="1.1190261553226462"/>
    <n v="0.85666264629884947"/>
    <n v="0.26236350902379668"/>
    <n v="1.0140200257531788E-2"/>
    <n v="2.0315255648702415E-3"/>
  </r>
  <r>
    <n v="36"/>
    <x v="9"/>
    <s v="1-DECENE"/>
    <s v="C10H20-5"/>
    <s v="C10-O"/>
    <n v="0.12208657441896106"/>
    <n v="1.2208657441896107"/>
    <n v="0.93462523124987451"/>
    <n v="0.28624051293973624"/>
    <n v="1.1063032865459507E-2"/>
    <n v="2.2164092937402438E-3"/>
  </r>
  <r>
    <n v="37"/>
    <x v="9"/>
    <s v="1-PROPYL-1-METHYLCYCLOHEXANE"/>
    <s v="C10H20-N24"/>
    <s v="C10-N"/>
    <n v="7.1027524700234226E-2"/>
    <n v="0.71027524700234224"/>
    <n v="0.54374624739862121"/>
    <n v="0.16652899960372106"/>
    <n v="6.4362510280154923E-3"/>
    <n v="1.2894625523419902E-3"/>
  </r>
  <r>
    <n v="38"/>
    <x v="9"/>
    <s v="1,2-DIMETHYL-3-ETHYLBENZENE"/>
    <s v="C10H14-D3"/>
    <s v="C10-A"/>
    <n v="8.6946602571342374E-2"/>
    <n v="0.86946602571342368"/>
    <n v="0.66561363459806477"/>
    <n v="0.20385239111535894"/>
    <n v="7.8787788613505112E-3"/>
    <n v="1.578463962277684E-3"/>
  </r>
  <r>
    <n v="39"/>
    <x v="10"/>
    <s v="N-UNDECANE"/>
    <s v="C11H24"/>
    <s v="C11"/>
    <n v="0.10522564990265007"/>
    <n v="1.1574821489291507"/>
    <n v="0.88610236322798708"/>
    <n v="0.27137978570116367"/>
    <n v="1.0488674218053188E-2"/>
    <n v="2.1013401386963332E-3"/>
  </r>
  <r>
    <n v="40"/>
    <x v="10"/>
    <s v="3-ETHYLNONANE"/>
    <s v="C11H24-N8"/>
    <s v="C11-IP"/>
    <n v="0.115915366514968"/>
    <n v="1.275069031664648"/>
    <n v="0.97612017885730962"/>
    <n v="0.29894885280733841"/>
    <n v="1.1554202966354036E-2"/>
    <n v="2.314812144899518E-3"/>
  </r>
  <r>
    <n v="41"/>
    <x v="10"/>
    <s v="1-ETHYL-2-ISOPROPYLBENZENE"/>
    <s v="C11H16-D1"/>
    <s v="C11-A"/>
    <n v="4.6463625305658326E-2"/>
    <n v="0.51109987836224158"/>
    <n v="0.39126893704694199"/>
    <n v="0.1198309413152996"/>
    <n v="4.6313976608517837E-3"/>
    <n v="9.2787149268695182E-4"/>
  </r>
  <r>
    <n v="42"/>
    <x v="10"/>
    <s v="Undecene-1"/>
    <m/>
    <s v="C11-O"/>
    <n v="7.4629839052743285E-2"/>
    <n v="0.82092822958017608"/>
    <n v="0.62845586426066535"/>
    <n v="0.19247236531951079"/>
    <n v="7.438947343106443E-3"/>
    <n v="1.4903464743725673E-3"/>
  </r>
  <r>
    <n v="43"/>
    <x v="11"/>
    <s v="2-METHYLUNDECANE"/>
    <s v="C12H26-N9"/>
    <s v="C12-IP"/>
    <n v="8.1706206310825619E-2"/>
    <n v="0.98047447572990742"/>
    <n v="0.75059537707148838"/>
    <n v="0.22987909865841902"/>
    <n v="8.8846962906181035E-3"/>
    <n v="1.7799932143442584E-3"/>
  </r>
  <r>
    <n v="44"/>
    <x v="11"/>
    <s v="N-DODECANE"/>
    <s v="C12H26"/>
    <s v="C12"/>
    <n v="0.11793846716082156"/>
    <n v="1.4152616059298586"/>
    <n v="1.0834436235241198"/>
    <n v="0.3318179824057389"/>
    <n v="1.2824576112599446E-2"/>
    <n v="2.5693234423076008E-3"/>
  </r>
  <r>
    <n v="45"/>
    <x v="11"/>
    <s v="1-DODECENE"/>
    <s v="C12H24-2"/>
    <s v="C12-O"/>
    <n v="8.0255019654067172E-3"/>
    <n v="9.6306023584880607E-2"/>
    <n v="7.37264027532544E-2"/>
    <n v="2.2579620831626204E-2"/>
    <n v="8.7268949033251044E-4"/>
    <n v="1.7483786954673158E-4"/>
  </r>
  <r>
    <n v="46"/>
    <x v="11"/>
    <s v="1,2,4-TRIETHYLBENZENE"/>
    <s v="C12H18-D6"/>
    <s v="C12-A"/>
    <n v="2.8287145968481486E-2"/>
    <n v="0.33944575162177781"/>
    <n v="0.25986032093715561"/>
    <n v="7.9585430684622219E-2"/>
    <n v="3.0759315871582869E-3"/>
    <n v="6.1624361416950729E-4"/>
  </r>
  <r>
    <n v="47"/>
    <x v="11"/>
    <m/>
    <m/>
    <s v="C12-N"/>
    <n v="7.3512132158017685E-3"/>
    <n v="8.8214558589621225E-2"/>
    <n v="6.7532038321017507E-2"/>
    <n v="2.0682520268603725E-2"/>
    <n v="7.9936763361050959E-4"/>
    <n v="1.6014829511906096E-4"/>
  </r>
  <r>
    <n v="48"/>
    <x v="12"/>
    <s v="2-METHYLDODECANE"/>
    <s v="C13H28-N1"/>
    <s v="C13-IP"/>
    <n v="2.9514791246294841E-2"/>
    <n v="0.38369228620183293"/>
    <n v="0.29373294600727712"/>
    <n v="8.9959340194555815E-2"/>
    <n v="3.4768772837440831E-3"/>
    <n v="6.9657057143386191E-4"/>
  </r>
  <r>
    <n v="49"/>
    <x v="12"/>
    <s v="1-TRIDECENE"/>
    <s v="C13H26-2"/>
    <s v="C13-O"/>
    <n v="2.5505704876361067E-3"/>
    <n v="3.3157416339269385E-2"/>
    <n v="2.5383428162535984E-2"/>
    <n v="7.7739881767334021E-3"/>
    <n v="3.0046021721950351E-4"/>
    <n v="6.0195321295997968E-5"/>
  </r>
  <r>
    <n v="50"/>
    <x v="12"/>
    <s v="N-TRIDECANE"/>
    <s v="C13H28"/>
    <s v="C13"/>
    <n v="0.12243136114790044"/>
    <n v="1.5916076949227058"/>
    <n v="1.2184441385187916"/>
    <n v="0.37316355640391424"/>
    <n v="1.4422559009169373E-2"/>
    <n v="2.889469299801484E-3"/>
  </r>
  <r>
    <n v="51"/>
    <x v="13"/>
    <s v="2-METHYLTRIDECANE"/>
    <s v="C14H30-N1"/>
    <s v="C14-IP"/>
    <n v="6.71357059389274E-3"/>
    <n v="9.3989988314498354E-2"/>
    <n v="7.195337815127352E-2"/>
    <n v="2.2036610163224831E-2"/>
    <n v="8.517024371403431E-4"/>
    <n v="1.7063324498228953E-4"/>
  </r>
  <r>
    <n v="52"/>
    <x v="13"/>
    <s v="N-TETRADECANE"/>
    <s v="C14H30"/>
    <s v=" C14 "/>
    <n v="0.12018491415436104"/>
    <n v="1.6825887981610546"/>
    <n v="1.2880940857453427"/>
    <n v="0.39449471241571188"/>
    <n v="1.5246996044979344E-2"/>
    <n v="3.0546400925212593E-3"/>
  </r>
  <r>
    <n v="53"/>
    <x v="14"/>
    <s v="2-METHYLTETRADECANE"/>
    <s v="C15H32-N1"/>
    <s v="C15-IP "/>
    <n v="5.2953654520605962E-3"/>
    <n v="7.9430481780908946E-2"/>
    <n v="6.0807449759390758E-2"/>
    <n v="1.8623032021518184E-2"/>
    <n v="7.1976958534844602E-4"/>
    <n v="1.4420132505423919E-4"/>
  </r>
  <r>
    <n v="54"/>
    <x v="14"/>
    <s v="N-PENTADECANE"/>
    <s v="C15H32"/>
    <s v="C15"/>
    <n v="0.10670623219312425"/>
    <n v="1.6005934828968638"/>
    <n v="1.2253231456522782"/>
    <n v="0.37527033724458564"/>
    <n v="1.4503984889249371E-2"/>
    <n v="2.9057824645145483E-3"/>
  </r>
  <r>
    <n v="55"/>
    <x v="15"/>
    <s v="2-METHYLPENTADECANE"/>
    <s v="C16H34-N1"/>
    <s v="C16-IP"/>
    <n v="1.3504098055946915E-2"/>
    <n v="0.21606556889515063"/>
    <n v="0.16540748502023889"/>
    <n v="5.0658083874911733E-2"/>
    <n v="1.9579061015983562E-3"/>
    <n v="3.9225421569540671E-4"/>
  </r>
  <r>
    <n v="56"/>
    <x v="15"/>
    <s v="N-HEXADECANE"/>
    <s v="C16H34"/>
    <s v="C16"/>
    <n v="8.6488209251269155E-2"/>
    <n v="1.3838113480203065"/>
    <n v="1.0593670985569172"/>
    <n v="0.32444424946338918"/>
    <n v="1.253958553231946E-2"/>
    <n v="2.5122273658118766E-3"/>
  </r>
  <r>
    <n v="57"/>
    <x v="16"/>
    <s v="14-METHYLHEXADECANE"/>
    <s v="C17H36-N10"/>
    <s v="C17-IP"/>
    <n v="5.0021964304932274E-3"/>
    <n v="8.5037339318384864E-2"/>
    <n v="6.5099740330641864E-2"/>
    <n v="1.9937598987742996E-2"/>
    <n v="7.7057685019657159E-4"/>
    <n v="1.5438024211689136E-4"/>
  </r>
  <r>
    <n v="58"/>
    <x v="16"/>
    <s v="N-HEPTADECANE"/>
    <s v="C17H36"/>
    <s v="C17"/>
    <n v="7.5255974283571711E-2"/>
    <n v="1.279351562820719"/>
    <n v="0.97939864063013504"/>
    <n v="0.29995292219058406"/>
    <n v="1.1593009676389477E-2"/>
    <n v="2.3225868260225014E-3"/>
  </r>
  <r>
    <n v="59"/>
    <x v="17"/>
    <s v="N-OCTADECANE"/>
    <s v="C18H38"/>
    <s v="C18"/>
    <n v="6.9639856799723232E-2"/>
    <n v="1.2535174223950181"/>
    <n v="0.95962149512136352"/>
    <n v="0.29389592727365454"/>
    <n v="1.1358910271159511E-2"/>
    <n v="2.2756864774724473E-3"/>
  </r>
  <r>
    <n v="60"/>
    <x v="18"/>
    <s v="N-NONADECANE"/>
    <s v="C19H40"/>
    <s v="C19"/>
    <n v="2.5834140425703731E-2"/>
    <n v="0.49084866808837091"/>
    <n v="0.37576576466669814"/>
    <n v="0.11508290342167277"/>
    <n v="4.4478886993698013E-3"/>
    <n v="8.911066224511269E-4"/>
  </r>
  <r>
    <n v="61"/>
    <x v="19"/>
    <s v="N-EICOSANE"/>
    <s v="C20H42"/>
    <s v="C20"/>
    <n v="2.0218022941855249E-2"/>
    <n v="0.40436045883710497"/>
    <n v="0.30955532100689326"/>
    <n v="9.4805137830211703E-2"/>
    <n v="3.6641646035998638E-3"/>
    <n v="7.3409241208789049E-4"/>
  </r>
  <r>
    <n v="62"/>
    <x v="20"/>
    <s v="N-HENEICOSANE"/>
    <s v="C21H44"/>
    <s v="C21"/>
    <n v="1.6848352451545937E-2"/>
    <n v="0.35381540148246465"/>
    <n v="0.27086090588102996"/>
    <n v="8.2954495601434725E-2"/>
    <n v="3.2061440281498615E-3"/>
    <n v="6.423308605769002E-4"/>
  </r>
  <r>
    <n v="63"/>
    <x v="21"/>
    <s v="N-DOCOSANE"/>
    <s v="C22H46"/>
    <s v="C22"/>
    <n v="1.572512895477611E-2"/>
    <n v="0.3459528370050744"/>
    <n v="0.26484177463922765"/>
    <n v="8.1111062365846781E-2"/>
    <n v="3.1348963830798451E-3"/>
    <n v="6.2805684145296513E-4"/>
  </r>
  <r>
    <n v="64"/>
    <x v="22"/>
    <s v="N-TRICOSANE"/>
    <s v="C23H48"/>
    <s v="C23"/>
    <n v="1.4601905458006444E-2"/>
    <n v="0.33584382553414821"/>
    <n v="0.25710289161405636"/>
    <n v="7.8740933920091821E-2"/>
    <n v="3.0432922679898607E-3"/>
    <n v="6.0970453115077048E-4"/>
  </r>
  <r>
    <n v="65"/>
    <x v="23"/>
    <s v="N-TETRACOSANE"/>
    <s v="C24H50"/>
    <s v="C24"/>
    <n v="1.572512895477627E-2"/>
    <n v="0.37740309491463048"/>
    <n v="0.28891829960643306"/>
    <n v="8.8484795308197389E-2"/>
    <n v="3.4198869633598654E-3"/>
    <n v="6.8515291794869629E-4"/>
  </r>
  <r>
    <n v="66"/>
    <x v="24"/>
    <s v="N-PENTACOSANE"/>
    <s v="C25H52"/>
    <s v="C25"/>
    <n v="2.1341246438624915E-2"/>
    <n v="0.53353116096562292"/>
    <n v="0.40844104855076063"/>
    <n v="0.12509011241486226"/>
    <n v="4.8346616297498049E-3"/>
    <n v="9.6859415483818571E-4"/>
  </r>
  <r>
    <n v="67"/>
    <x v="25"/>
    <s v="N-HEXACOSANE"/>
    <s v="C26H54"/>
    <s v="C26"/>
    <n v="2.8080587419243224E-2"/>
    <n v="0.73009527290032383"/>
    <n v="0.55891932959577595"/>
    <n v="0.17117594330454783"/>
    <n v="6.615852756499712E-3"/>
    <n v="1.3254446329364607E-3"/>
  </r>
  <r>
    <n v="68"/>
    <x v="26"/>
    <s v="N-HEPTACOSANE"/>
    <s v="C27H56"/>
    <s v="C27"/>
    <n v="1.2355458464466954E-2"/>
    <n v="0.33359737854060778"/>
    <n v="0.255383139830684"/>
    <n v="7.8214238709923764E-2"/>
    <n v="3.022935797969853E-3"/>
    <n v="6.0562623997250276E-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s v="Metanolo"/>
    <n v="0.80481481478060724"/>
    <s v="1-GAS"/>
  </r>
  <r>
    <x v="0"/>
    <x v="1"/>
    <s v="*CH4"/>
    <n v="10.675347629281321"/>
    <s v="1-GAS"/>
  </r>
  <r>
    <x v="1"/>
    <x v="2"/>
    <s v="*Acetilene"/>
    <n v="0"/>
    <s v="1-GAS"/>
  </r>
  <r>
    <x v="1"/>
    <x v="2"/>
    <s v="*Etilene"/>
    <n v="3.1359739905749899"/>
    <s v="1-GAS"/>
  </r>
  <r>
    <x v="1"/>
    <x v="0"/>
    <s v="*DME"/>
    <n v="0"/>
    <s v="1-GAS"/>
  </r>
  <r>
    <x v="1"/>
    <x v="1"/>
    <s v="*Etano"/>
    <n v="0.73823716073728918"/>
    <s v="1-GAS"/>
  </r>
  <r>
    <x v="2"/>
    <x v="2"/>
    <s v="*Propilene"/>
    <n v="3.1630215635472081"/>
    <s v="1-GAS"/>
  </r>
  <r>
    <x v="2"/>
    <x v="1"/>
    <s v="*Propano"/>
    <n v="0.31667492233010502"/>
    <s v="1-GAS"/>
  </r>
  <r>
    <x v="3"/>
    <x v="2"/>
    <s v="*1-Butene"/>
    <n v="1.6994408692105563"/>
    <s v="1-GAS"/>
  </r>
  <r>
    <x v="3"/>
    <x v="2"/>
    <s v="2-Butene"/>
    <n v="2.6205648100997542E-2"/>
    <s v="1-GAS"/>
  </r>
  <r>
    <x v="3"/>
    <x v="2"/>
    <s v="2-Metilpropene"/>
    <n v="2.3810276684307134E-2"/>
    <s v="1-GAS"/>
  </r>
  <r>
    <x v="3"/>
    <x v="1"/>
    <s v="*N-Butano"/>
    <n v="0.23565937809910276"/>
    <s v="1-GAS"/>
  </r>
  <r>
    <x v="4"/>
    <x v="3"/>
    <s v="2-Metilbutano"/>
    <n v="0"/>
    <s v="1-GAS"/>
  </r>
  <r>
    <x v="4"/>
    <x v="2"/>
    <s v="*1-Pentene"/>
    <n v="0.84135942238669481"/>
    <s v="1-GAS"/>
  </r>
  <r>
    <x v="4"/>
    <x v="2"/>
    <s v="2-Metilbut-1-ene"/>
    <n v="0"/>
    <s v="1-GAS"/>
  </r>
  <r>
    <x v="4"/>
    <x v="2"/>
    <s v="2-Pentene"/>
    <n v="0.12341230457044672"/>
    <s v="1-GAS"/>
  </r>
  <r>
    <x v="4"/>
    <x v="2"/>
    <s v="3-Metilbut-1-ene"/>
    <n v="0.20985847628002788"/>
    <s v="1-GAS"/>
  </r>
  <r>
    <x v="4"/>
    <x v="1"/>
    <s v="*Pentano"/>
    <n v="0"/>
    <s v="1-GAS"/>
  </r>
  <r>
    <x v="5"/>
    <x v="3"/>
    <s v="2,2-Dimetilbutano"/>
    <n v="0.11894953378100133"/>
    <s v="1-GAS"/>
  </r>
  <r>
    <x v="5"/>
    <x v="2"/>
    <s v="1-Esene"/>
    <n v="2.2637801386264244E-5"/>
    <s v="1-GAS"/>
  </r>
  <r>
    <x v="5"/>
    <x v="2"/>
    <s v="2-Metilbut-2-ene"/>
    <n v="9.5237672806068804E-3"/>
    <s v="1-GAS"/>
  </r>
  <r>
    <x v="5"/>
    <x v="2"/>
    <s v="2,3-Dimetilbut-2-ene"/>
    <n v="4.8088940951410379E-6"/>
    <s v="1-GAS"/>
  </r>
  <r>
    <x v="5"/>
    <x v="2"/>
    <s v="3-Metilpent-1-ene"/>
    <n v="0"/>
    <s v="1-GAS"/>
  </r>
  <r>
    <x v="5"/>
    <x v="2"/>
    <s v="4-Metilpent-2-ene"/>
    <n v="0.28047557939937107"/>
    <s v="1-GAS"/>
  </r>
  <r>
    <x v="5"/>
    <x v="1"/>
    <s v="Esano"/>
    <n v="1.7101184639521328E-3"/>
    <s v="1-GAS"/>
  </r>
  <r>
    <x v="6"/>
    <x v="4"/>
    <s v="Toluene"/>
    <n v="0"/>
    <s v="1-GAS"/>
  </r>
  <r>
    <x v="6"/>
    <x v="3"/>
    <s v="2,2-Dimetilpentano"/>
    <n v="1.8507391373882549E-5"/>
    <s v="1-GAS"/>
  </r>
  <r>
    <x v="6"/>
    <x v="2"/>
    <s v="1-eptene"/>
    <n v="2.3544692075165666E-4"/>
    <s v="1-GAS"/>
  </r>
  <r>
    <x v="6"/>
    <x v="2"/>
    <s v="2-Eptene"/>
    <n v="1.2160347283814928E-5"/>
    <s v="1-GAS"/>
  </r>
  <r>
    <x v="6"/>
    <x v="2"/>
    <s v="2-Metiles-1-ene"/>
    <n v="6.0762545371028406E-5"/>
    <s v="1-GAS"/>
  </r>
  <r>
    <x v="6"/>
    <x v="1"/>
    <s v="Eptano"/>
    <n v="5.4230671523978589E-5"/>
    <s v="1-GAS"/>
  </r>
  <r>
    <x v="7"/>
    <x v="4"/>
    <s v="Etilbenzene"/>
    <n v="0"/>
    <s v="1-GAS"/>
  </r>
  <r>
    <x v="7"/>
    <x v="4"/>
    <s v="m-Xilene"/>
    <n v="2.963485167018438E-2"/>
    <s v="1-GAS"/>
  </r>
  <r>
    <x v="7"/>
    <x v="4"/>
    <s v="o-Xilene"/>
    <n v="0"/>
    <s v="1-GAS"/>
  </r>
  <r>
    <x v="7"/>
    <x v="4"/>
    <s v="p-Xilene"/>
    <n v="0"/>
    <s v="1-GAS"/>
  </r>
  <r>
    <x v="7"/>
    <x v="2"/>
    <s v="Ottene"/>
    <n v="0"/>
    <s v="1-GAS"/>
  </r>
  <r>
    <x v="8"/>
    <x v="4"/>
    <s v="Nonene"/>
    <n v="2.0661617610069835E-2"/>
    <s v="1-GAS"/>
  </r>
  <r>
    <x v="8"/>
    <x v="4"/>
    <s v="Trimetilbenzene"/>
    <n v="0"/>
    <s v="1-GAS"/>
  </r>
  <r>
    <x v="9"/>
    <x v="2"/>
    <s v="Decene"/>
    <n v="0"/>
    <s v="1-GAS"/>
  </r>
  <r>
    <x v="9"/>
    <x v="1"/>
    <s v="Decano"/>
    <n v="4.2373257061733378E-3"/>
    <s v="1-GAS"/>
  </r>
  <r>
    <x v="2"/>
    <x v="1"/>
    <s v="Propane"/>
    <n v="2.8109188819858424E-2"/>
    <s v="2-DHA"/>
  </r>
  <r>
    <x v="3"/>
    <x v="3"/>
    <s v="i-Butane"/>
    <n v="9.861334818537966E-3"/>
    <s v="2-DHA"/>
  </r>
  <r>
    <x v="3"/>
    <x v="2"/>
    <s v="Butene-1"/>
    <n v="0.17673871699837243"/>
    <s v="2-DHA"/>
  </r>
  <r>
    <x v="3"/>
    <x v="1"/>
    <s v="n-Butane"/>
    <n v="1.6888632023502572E-2"/>
    <s v="2-DHA"/>
  </r>
  <r>
    <x v="4"/>
    <x v="3"/>
    <s v="(C5-IsoParaffin)"/>
    <n v="2.8455969793671199E-2"/>
    <s v="2-DHA"/>
  </r>
  <r>
    <x v="4"/>
    <x v="5"/>
    <s v="Cyclopentane"/>
    <n v="1.1902160779367163E-2"/>
    <s v="2-DHA"/>
  </r>
  <r>
    <x v="4"/>
    <x v="2"/>
    <s v="1,4-Pentadiene"/>
    <n v="0.38228815674063837"/>
    <s v="2-DHA"/>
  </r>
  <r>
    <x v="4"/>
    <x v="1"/>
    <s v="n-Pentane"/>
    <n v="3.3633768471634337E-2"/>
    <s v="2-DHA"/>
  </r>
  <r>
    <x v="5"/>
    <x v="4"/>
    <s v="Benzene"/>
    <n v="3.1887905637956234E-3"/>
    <s v="2-DHA"/>
  </r>
  <r>
    <x v="5"/>
    <x v="3"/>
    <s v="3-Methylpentane"/>
    <n v="0.38245158225703285"/>
    <s v="2-DHA"/>
  </r>
  <r>
    <x v="5"/>
    <x v="5"/>
    <s v="Cyclohexane"/>
    <n v="3.8428912281942007E-2"/>
    <s v="2-DHA"/>
  </r>
  <r>
    <x v="5"/>
    <x v="2"/>
    <s v="1t,4-Hexadiene"/>
    <n v="0.15513067494045232"/>
    <s v="2-DHA"/>
  </r>
  <r>
    <x v="5"/>
    <x v="1"/>
    <s v="n-Hexane"/>
    <n v="4.3447271431715367E-3"/>
    <s v="2-DHA"/>
  </r>
  <r>
    <x v="6"/>
    <x v="4"/>
    <s v="Toluene"/>
    <n v="8.5260287699485491E-3"/>
    <s v="2-DHA"/>
  </r>
  <r>
    <x v="6"/>
    <x v="3"/>
    <s v="3-Ethylpentane"/>
    <n v="0.32614949886501632"/>
    <s v="2-DHA"/>
  </r>
  <r>
    <x v="6"/>
    <x v="5"/>
    <s v="1c,3-Dimethylcyclopentane"/>
    <n v="3.4702013310505875E-2"/>
    <s v="2-DHA"/>
  </r>
  <r>
    <x v="6"/>
    <x v="2"/>
    <s v="2,4-Dimethylpentene-1"/>
    <n v="0.22764377236116476"/>
    <s v="2-DHA"/>
  </r>
  <r>
    <x v="7"/>
    <x v="4"/>
    <s v="Ethylbenzene"/>
    <n v="7.0432411577835821E-2"/>
    <s v="2-DHA"/>
  </r>
  <r>
    <x v="7"/>
    <x v="3"/>
    <s v="2-Methyl-3-ethylpentane"/>
    <n v="0.13618128701509688"/>
    <s v="2-DHA"/>
  </r>
  <r>
    <x v="7"/>
    <x v="5"/>
    <s v="1c,2t,3-Trimethylcyclopentane"/>
    <n v="6.1129115107962102E-2"/>
    <s v="2-DHA"/>
  </r>
  <r>
    <x v="7"/>
    <x v="2"/>
    <s v="Octene-1"/>
    <n v="0.37385779168760375"/>
    <s v="2-DHA"/>
  </r>
  <r>
    <x v="7"/>
    <x v="1"/>
    <s v="n-Octane"/>
    <n v="1.3273340721799284E-3"/>
    <s v="2-DHA"/>
  </r>
  <r>
    <x v="8"/>
    <x v="4"/>
    <s v="1,3-Methylethylbenzene"/>
    <n v="9.2953244934642423E-2"/>
    <s v="2-DHA"/>
  </r>
  <r>
    <x v="8"/>
    <x v="3"/>
    <s v="I8 (C9)"/>
    <n v="0.35805334845579151"/>
    <s v="2-DHA"/>
  </r>
  <r>
    <x v="8"/>
    <x v="5"/>
    <s v="1,1,3-Trimethylcyclohexane"/>
    <n v="3.7197241926675943E-2"/>
    <s v="2-DHA"/>
  </r>
  <r>
    <x v="8"/>
    <x v="2"/>
    <s v="3,5,5-Trimethylhexene-1"/>
    <n v="6.598404874134095E-2"/>
    <s v="2-DHA"/>
  </r>
  <r>
    <x v="8"/>
    <x v="1"/>
    <s v="n-Nonane"/>
    <n v="2.8575549439813528E-2"/>
    <s v="2-DHA"/>
  </r>
  <r>
    <x v="9"/>
    <x v="4"/>
    <s v="1,2-Methyl-n-propylbenzene"/>
    <n v="9.4571556145768718E-2"/>
    <s v="2-DHA"/>
  </r>
  <r>
    <x v="9"/>
    <x v="3"/>
    <s v="I15 (C10)"/>
    <n v="0.12171613582007894"/>
    <s v="2-DHA"/>
  </r>
  <r>
    <x v="9"/>
    <x v="5"/>
    <s v="Sec-butylcyclohexane"/>
    <n v="7.7256423384358452E-2"/>
    <s v="2-DHA"/>
  </r>
  <r>
    <x v="9"/>
    <x v="2"/>
    <s v="Decene-1"/>
    <n v="0.13279319704106399"/>
    <s v="2-DHA"/>
  </r>
  <r>
    <x v="10"/>
    <x v="4"/>
    <s v="1,2-Ethyl-i-propylbenzene"/>
    <n v="5.0538344447955866E-2"/>
    <s v="2-DHA"/>
  </r>
  <r>
    <x v="10"/>
    <x v="3"/>
    <s v="I26 (C11)"/>
    <n v="0.12608079290427424"/>
    <s v="2-DHA"/>
  </r>
  <r>
    <x v="10"/>
    <x v="2"/>
    <s v="Undecene-1"/>
    <n v="8.1174649789622355E-2"/>
    <s v="2-DHA"/>
  </r>
  <r>
    <x v="10"/>
    <x v="1"/>
    <s v="n-Undecane"/>
    <n v="3.2764823043000021E-3"/>
    <s v="2-DHA"/>
  </r>
  <r>
    <x v="11"/>
    <x v="4"/>
    <s v="1,3-Di-i-propylbenzene"/>
    <n v="3.0767842952423023E-2"/>
    <s v="2-DHA"/>
  </r>
  <r>
    <x v="11"/>
    <x v="3"/>
    <s v="I47 (C12)"/>
    <n v="8.8871593012984015E-2"/>
    <s v="2-DHA"/>
  </r>
  <r>
    <x v="11"/>
    <x v="5"/>
    <s v="1t-M-2-(4-MP)cyclopentane"/>
    <n v="7.9958923387175255E-3"/>
    <s v="2-DHA"/>
  </r>
  <r>
    <x v="11"/>
    <x v="2"/>
    <s v="Dodecene-1"/>
    <n v="8.7293141683905204E-3"/>
    <s v="2-DHA"/>
  </r>
  <r>
    <x v="12"/>
    <x v="3"/>
    <s v="(C13-IsoParaffin)"/>
    <n v="3.2103149001012445E-2"/>
    <s v="2-DHA"/>
  </r>
  <r>
    <x v="12"/>
    <x v="2"/>
    <s v="Tridecene-1"/>
    <n v="2.774247790502192E-3"/>
    <s v="2-DHA"/>
  </r>
  <r>
    <x v="13"/>
    <x v="3"/>
    <s v="(C14-IsoParaffin)"/>
    <n v="7.3023303910919749E-3"/>
    <s v="2-DHA"/>
  </r>
  <r>
    <x v="14"/>
    <x v="3"/>
    <s v="(C15-IsoParaffin)"/>
    <n v="5.7597529558558449E-3"/>
    <s v="2-DHA"/>
  </r>
  <r>
    <x v="15"/>
    <x v="3"/>
    <s v="(C16-IsoParaffin)"/>
    <n v="1.4688366534483587E-2"/>
    <s v="2-DHA"/>
  </r>
  <r>
    <x v="16"/>
    <x v="3"/>
    <s v="(C17-IsoParaffin)"/>
    <n v="5.4408738994762822E-3"/>
    <s v="2-DHA"/>
  </r>
  <r>
    <x v="0"/>
    <x v="1"/>
    <s v="C1"/>
    <n v="0"/>
    <s v="3-ASTM"/>
  </r>
  <r>
    <x v="1"/>
    <x v="1"/>
    <s v="C2"/>
    <n v="0"/>
    <s v="3-ASTM"/>
  </r>
  <r>
    <x v="2"/>
    <x v="1"/>
    <s v="C3"/>
    <n v="0"/>
    <s v="3-ASTM"/>
  </r>
  <r>
    <x v="3"/>
    <x v="1"/>
    <s v="C4"/>
    <n v="0"/>
    <s v="3-ASTM"/>
  </r>
  <r>
    <x v="4"/>
    <x v="1"/>
    <s v="C5"/>
    <n v="0"/>
    <s v="3-ASTM"/>
  </r>
  <r>
    <x v="5"/>
    <x v="1"/>
    <s v="C6"/>
    <n v="0"/>
    <s v="3-ASTM"/>
  </r>
  <r>
    <x v="6"/>
    <x v="1"/>
    <s v="C7"/>
    <n v="0"/>
    <s v="3-ASTM"/>
  </r>
  <r>
    <x v="7"/>
    <x v="1"/>
    <s v="C8"/>
    <n v="2.2258872708746449E-2"/>
    <s v="3-ASTM"/>
  </r>
  <r>
    <x v="8"/>
    <x v="1"/>
    <s v="C9"/>
    <n v="2.7601002158845596E-2"/>
    <s v="3-ASTM"/>
  </r>
  <r>
    <x v="9"/>
    <x v="1"/>
    <s v="C10"/>
    <n v="7.0338037759638788E-2"/>
    <s v="3-ASTM"/>
  </r>
  <r>
    <x v="10"/>
    <x v="1"/>
    <s v="C11"/>
    <n v="8.1022296659837081E-2"/>
    <s v="3-ASTM"/>
  </r>
  <r>
    <x v="11"/>
    <x v="1"/>
    <s v="C12"/>
    <n v="9.3487265376735088E-2"/>
    <s v="3-ASTM"/>
  </r>
  <r>
    <x v="12"/>
    <x v="1"/>
    <s v="C13"/>
    <n v="9.7048685010134514E-2"/>
    <s v="3-ASTM"/>
  </r>
  <r>
    <x v="13"/>
    <x v="1"/>
    <s v="C14"/>
    <n v="9.5267975193434815E-2"/>
    <s v="3-ASTM"/>
  </r>
  <r>
    <x v="14"/>
    <x v="1"/>
    <s v="C15"/>
    <n v="8.4583716293236522E-2"/>
    <s v="3-ASTM"/>
  </r>
  <r>
    <x v="15"/>
    <x v="1"/>
    <s v="C16"/>
    <n v="6.8557327942939089E-2"/>
    <s v="3-ASTM"/>
  </r>
  <r>
    <x v="16"/>
    <x v="1"/>
    <s v="C17"/>
    <n v="5.9653778859440378E-2"/>
    <s v="3-ASTM"/>
  </r>
  <r>
    <x v="17"/>
    <x v="1"/>
    <s v="C18"/>
    <n v="5.520200431769122E-2"/>
    <s v="3-ASTM"/>
  </r>
  <r>
    <x v="18"/>
    <x v="1"/>
    <s v="C19"/>
    <n v="2.4929937433796023E-2"/>
    <s v="3-ASTM"/>
  </r>
  <r>
    <x v="19"/>
    <x v="1"/>
    <s v="C20"/>
    <n v="1.9587807983696876E-2"/>
    <s v="3-ASTM"/>
  </r>
  <r>
    <x v="20"/>
    <x v="1"/>
    <s v="C21"/>
    <n v="1.780709816699716E-2"/>
    <s v="3-ASTM"/>
  </r>
  <r>
    <x v="21"/>
    <x v="1"/>
    <s v="C22"/>
    <n v="1.6026388350297446E-2"/>
    <s v="3-ASTM"/>
  </r>
  <r>
    <x v="22"/>
    <x v="1"/>
    <s v="C23"/>
    <n v="1.424567853359773E-2"/>
    <s v="3-ASTM"/>
  </r>
  <r>
    <x v="23"/>
    <x v="1"/>
    <s v="C24"/>
    <n v="1.335532362524787E-2"/>
    <s v="3-ASTM"/>
  </r>
  <r>
    <x v="24"/>
    <x v="1"/>
    <s v="C25"/>
    <n v="1.1574613808548153E-2"/>
    <s v="3-ASTM"/>
  </r>
  <r>
    <x v="25"/>
    <x v="1"/>
    <s v="C26"/>
    <n v="9.7939039918484381E-3"/>
    <s v="3-ASTM"/>
  </r>
  <r>
    <x v="26"/>
    <x v="1"/>
    <s v="C27"/>
    <n v="8.0131941751487214E-3"/>
    <s v="3-ASTM"/>
  </r>
  <r>
    <x v="27"/>
    <x v="1"/>
    <s v="C28"/>
    <n v="0"/>
    <s v="3-ASTM"/>
  </r>
  <r>
    <x v="28"/>
    <x v="1"/>
    <s v="C29"/>
    <n v="0"/>
    <s v="3-ASTM"/>
  </r>
  <r>
    <x v="29"/>
    <x v="1"/>
    <s v="C30"/>
    <n v="0"/>
    <s v="3-ASTM"/>
  </r>
  <r>
    <x v="30"/>
    <x v="1"/>
    <s v="C31"/>
    <n v="0"/>
    <s v="3-ASTM"/>
  </r>
  <r>
    <x v="31"/>
    <x v="1"/>
    <s v="C32"/>
    <n v="0"/>
    <s v="3-ASTM"/>
  </r>
  <r>
    <x v="32"/>
    <x v="1"/>
    <s v="C33"/>
    <n v="0"/>
    <s v="3-ASTM"/>
  </r>
  <r>
    <x v="33"/>
    <x v="1"/>
    <s v="C34"/>
    <n v="0"/>
    <s v="3-ASTM"/>
  </r>
  <r>
    <x v="34"/>
    <x v="1"/>
    <s v="C35"/>
    <n v="0"/>
    <s v="3-ASTM"/>
  </r>
  <r>
    <x v="35"/>
    <x v="1"/>
    <s v="C36"/>
    <n v="0"/>
    <s v="3-ASTM"/>
  </r>
  <r>
    <x v="36"/>
    <x v="1"/>
    <s v="C37"/>
    <n v="0"/>
    <s v="3-ASTM"/>
  </r>
  <r>
    <x v="37"/>
    <x v="1"/>
    <s v="C38"/>
    <n v="0"/>
    <s v="3-ASTM"/>
  </r>
  <r>
    <x v="38"/>
    <x v="1"/>
    <s v="C39"/>
    <n v="0"/>
    <s v="3-AST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s v="Ottene"/>
    <n v="0"/>
    <s v="1-GAS"/>
    <n v="1"/>
  </r>
  <r>
    <x v="1"/>
    <x v="1"/>
    <s v="Toluene"/>
    <n v="0"/>
    <s v="1-GAS"/>
    <n v="2"/>
  </r>
  <r>
    <x v="2"/>
    <x v="1"/>
    <s v="Nonene"/>
    <n v="2.8672960281101378E-4"/>
    <s v="1-GAS"/>
    <n v="3"/>
  </r>
  <r>
    <x v="0"/>
    <x v="1"/>
    <s v="p-Xilene"/>
    <n v="0"/>
    <s v="1-GAS"/>
    <n v="4"/>
  </r>
  <r>
    <x v="0"/>
    <x v="1"/>
    <s v="m-Xilene"/>
    <n v="3.3142022322409481E-2"/>
    <s v="1-GAS"/>
    <n v="5"/>
  </r>
  <r>
    <x v="0"/>
    <x v="1"/>
    <s v="Etilbenzene"/>
    <n v="0"/>
    <s v="1-GAS"/>
    <n v="6"/>
  </r>
  <r>
    <x v="0"/>
    <x v="1"/>
    <s v="o-Xilene"/>
    <n v="0"/>
    <s v="1-GAS"/>
    <n v="7"/>
  </r>
  <r>
    <x v="2"/>
    <x v="1"/>
    <s v="Trimetilbenzene"/>
    <n v="0"/>
    <s v="1-GAS"/>
    <n v="8"/>
  </r>
  <r>
    <x v="3"/>
    <x v="0"/>
    <s v="Decene"/>
    <n v="0"/>
    <s v="1-GAS"/>
    <n v="9"/>
  </r>
  <r>
    <x v="3"/>
    <x v="2"/>
    <s v="Decano"/>
    <n v="2.4927383800724644E-3"/>
    <s v="1-GAS"/>
    <n v="10"/>
  </r>
  <r>
    <x v="4"/>
    <x v="2"/>
    <s v="*CH4"/>
    <n v="12.764487853091264"/>
    <s v="1-GAS"/>
    <n v="11"/>
  </r>
  <r>
    <x v="5"/>
    <x v="0"/>
    <s v="*Etilene"/>
    <n v="3.6794307430909692"/>
    <s v="1-GAS"/>
    <n v="12"/>
  </r>
  <r>
    <x v="5"/>
    <x v="0"/>
    <s v="*Acetilene"/>
    <n v="0"/>
    <s v="1-GAS"/>
    <n v="13"/>
  </r>
  <r>
    <x v="5"/>
    <x v="2"/>
    <s v="*Etano"/>
    <n v="0.854520583802166"/>
    <s v="1-GAS"/>
    <n v="14"/>
  </r>
  <r>
    <x v="6"/>
    <x v="0"/>
    <s v="*Propilene"/>
    <n v="3.6599446857857001"/>
    <s v="1-GAS"/>
    <n v="15"/>
  </r>
  <r>
    <x v="6"/>
    <x v="2"/>
    <s v="*Propano"/>
    <n v="0.36479247919154201"/>
    <s v="1-GAS"/>
    <n v="16"/>
  </r>
  <r>
    <x v="5"/>
    <x v="3"/>
    <s v="*DME"/>
    <n v="1.6731198592511802E-3"/>
    <s v="1-GAS"/>
    <n v="17"/>
  </r>
  <r>
    <x v="4"/>
    <x v="3"/>
    <s v="Metanolo"/>
    <n v="0.91088223941800006"/>
    <s v="1-GAS"/>
    <n v="18"/>
  </r>
  <r>
    <x v="7"/>
    <x v="0"/>
    <s v="2-Metilpropene"/>
    <n v="2.6797269462604485E-2"/>
    <s v="1-GAS"/>
    <n v="19"/>
  </r>
  <r>
    <x v="7"/>
    <x v="0"/>
    <s v="*1-Butene"/>
    <n v="1.9687447545783474"/>
    <s v="1-GAS"/>
    <n v="20"/>
  </r>
  <r>
    <x v="7"/>
    <x v="2"/>
    <s v="*N-Butano"/>
    <n v="0.25440249108406199"/>
    <s v="1-GAS"/>
    <n v="21"/>
  </r>
  <r>
    <x v="7"/>
    <x v="0"/>
    <s v="2-Butene"/>
    <n v="3.5714415284270259E-2"/>
    <s v="1-GAS"/>
    <n v="22"/>
  </r>
  <r>
    <x v="8"/>
    <x v="0"/>
    <s v="3-Metilbut-1-ene"/>
    <n v="1.7233817031659372E-2"/>
    <s v="1-GAS"/>
    <n v="23"/>
  </r>
  <r>
    <x v="8"/>
    <x v="4"/>
    <s v="2-Metilbutano"/>
    <n v="6.3944866485085877E-2"/>
    <s v="1-GAS"/>
    <n v="24"/>
  </r>
  <r>
    <x v="8"/>
    <x v="0"/>
    <s v="2-Metilbut-1-ene"/>
    <n v="0.14396453762531575"/>
    <s v="1-GAS"/>
    <n v="25"/>
  </r>
  <r>
    <x v="8"/>
    <x v="0"/>
    <s v="*1-Pentene"/>
    <n v="0.96320819243447853"/>
    <s v="1-GAS"/>
    <n v="26"/>
  </r>
  <r>
    <x v="8"/>
    <x v="0"/>
    <s v="2-Pentene"/>
    <n v="1.3984333457546363E-2"/>
    <s v="1-GAS"/>
    <n v="27"/>
  </r>
  <r>
    <x v="8"/>
    <x v="2"/>
    <s v="*Pentano"/>
    <n v="0"/>
    <s v="1-GAS"/>
    <n v="28"/>
  </r>
  <r>
    <x v="9"/>
    <x v="0"/>
    <s v="2-Metilbut-2-ene"/>
    <n v="9.7878325034195398E-4"/>
    <s v="1-GAS"/>
    <n v="29"/>
  </r>
  <r>
    <x v="9"/>
    <x v="4"/>
    <s v="2,2-Dimetilbutano"/>
    <n v="5.8018779624327027E-2"/>
    <s v="1-GAS"/>
    <n v="30"/>
  </r>
  <r>
    <x v="9"/>
    <x v="0"/>
    <s v="3-Metilpent-1-ene"/>
    <n v="8.6803364261766158E-2"/>
    <s v="1-GAS"/>
    <n v="31"/>
  </r>
  <r>
    <x v="9"/>
    <x v="0"/>
    <s v="4-Metilpent-2-ene"/>
    <n v="0.37498289215783615"/>
    <s v="1-GAS"/>
    <n v="32"/>
  </r>
  <r>
    <x v="9"/>
    <x v="0"/>
    <s v="1-Esene"/>
    <n v="3.4979095679170534E-2"/>
    <s v="1-GAS"/>
    <n v="33"/>
  </r>
  <r>
    <x v="9"/>
    <x v="2"/>
    <s v="Esano"/>
    <n v="1.4278339908757973E-3"/>
    <s v="1-GAS"/>
    <n v="34"/>
  </r>
  <r>
    <x v="9"/>
    <x v="0"/>
    <s v="2,3-Dimetilbut-2-ene"/>
    <n v="3.072920511351582E-3"/>
    <s v="1-GAS"/>
    <n v="35"/>
  </r>
  <r>
    <x v="1"/>
    <x v="4"/>
    <s v="2,2-Dimetilpentano"/>
    <n v="5.4366470075007322E-4"/>
    <s v="1-GAS"/>
    <n v="36"/>
  </r>
  <r>
    <x v="1"/>
    <x v="0"/>
    <s v="2-Metiles-1-ene"/>
    <n v="7.3947323972854961E-5"/>
    <s v="1-GAS"/>
    <n v="37"/>
  </r>
  <r>
    <x v="1"/>
    <x v="0"/>
    <s v="1-eptene"/>
    <n v="4.8650424584918749E-4"/>
    <s v="1-GAS"/>
    <n v="38"/>
  </r>
  <r>
    <x v="1"/>
    <x v="2"/>
    <s v="Eptano"/>
    <n v="1.4067555324488899E-5"/>
    <s v="1-GAS"/>
    <n v="39"/>
  </r>
  <r>
    <x v="1"/>
    <x v="0"/>
    <s v="2-Eptene"/>
    <n v="9.6392545184616624E-3"/>
    <s v="1-GAS"/>
    <n v="40"/>
  </r>
  <r>
    <x v="6"/>
    <x v="2"/>
    <s v="Propane"/>
    <n v="2.5842849251163549E-2"/>
    <s v="2-DHA"/>
    <n v="1"/>
  </r>
  <r>
    <x v="7"/>
    <x v="0"/>
    <s v="Butene-1"/>
    <n v="0.16248893020371405"/>
    <s v="2-DHA"/>
    <n v="2"/>
  </r>
  <r>
    <x v="7"/>
    <x v="2"/>
    <s v="n-Butane"/>
    <n v="1.5526964304761763E-2"/>
    <s v="2-DHA"/>
    <n v="3"/>
  </r>
  <r>
    <x v="7"/>
    <x v="4"/>
    <s v="i-Butane"/>
    <n v="9.0662519919708761E-3"/>
    <s v="2-DHA"/>
    <n v="4"/>
  </r>
  <r>
    <x v="8"/>
    <x v="0"/>
    <s v="1,4-Pentadiene"/>
    <n v="0.35146568150603996"/>
    <s v="2-DHA"/>
    <n v="5"/>
  </r>
  <r>
    <x v="8"/>
    <x v="2"/>
    <s v="n-Pentane"/>
    <n v="3.0922002549818205E-2"/>
    <s v="2-DHA"/>
    <n v="6"/>
  </r>
  <r>
    <x v="8"/>
    <x v="4"/>
    <s v="(C5-IsoParaffin)"/>
    <n v="2.6161670562118062E-2"/>
    <s v="2-DHA"/>
    <n v="7"/>
  </r>
  <r>
    <x v="8"/>
    <x v="5"/>
    <s v="Cyclopentane"/>
    <n v="1.0942533730002032E-2"/>
    <s v="2-DHA"/>
    <n v="8"/>
  </r>
  <r>
    <x v="9"/>
    <x v="4"/>
    <s v="3-Methylpentane"/>
    <n v="0.35161593062959318"/>
    <s v="2-DHA"/>
    <n v="9"/>
  </r>
  <r>
    <x v="9"/>
    <x v="0"/>
    <s v="1t,4-Hexadiene"/>
    <n v="0.14262306437975525"/>
    <s v="2-DHA"/>
    <n v="10"/>
  </r>
  <r>
    <x v="9"/>
    <x v="5"/>
    <s v="Cyclohexane"/>
    <n v="3.5330531711637518E-2"/>
    <s v="2-DHA"/>
    <n v="11"/>
  </r>
  <r>
    <x v="9"/>
    <x v="2"/>
    <s v="n-Hexane"/>
    <n v="3.9944279188553972E-3"/>
    <s v="2-DHA"/>
    <n v="12"/>
  </r>
  <r>
    <x v="9"/>
    <x v="1"/>
    <s v="Benzene"/>
    <n v="2.9316902156736862E-3"/>
    <s v="2-DHA"/>
    <n v="13"/>
  </r>
  <r>
    <x v="1"/>
    <x v="4"/>
    <s v="3-Ethylpentane"/>
    <n v="0.2998532752591046"/>
    <s v="2-DHA"/>
    <n v="14"/>
  </r>
  <r>
    <x v="1"/>
    <x v="0"/>
    <s v="2,4-Dimethylpentene-1"/>
    <n v="0.20928969988417484"/>
    <s v="2-DHA"/>
    <n v="15"/>
  </r>
  <r>
    <x v="1"/>
    <x v="5"/>
    <s v="1c,3-Dimethylcyclopentane"/>
    <n v="3.1904118772068897E-2"/>
    <s v="2-DHA"/>
    <n v="16"/>
  </r>
  <r>
    <x v="1"/>
    <x v="1"/>
    <s v="Toluene"/>
    <n v="7.8386067141575193E-3"/>
    <s v="2-DHA"/>
    <n v="17"/>
  </r>
  <r>
    <x v="0"/>
    <x v="0"/>
    <s v="Octene-1"/>
    <n v="0.3437150254983527"/>
    <s v="2-DHA"/>
    <n v="18"/>
  </r>
  <r>
    <x v="0"/>
    <x v="1"/>
    <s v="Ethylbenzene"/>
    <n v="6.4753707638692537E-2"/>
    <s v="2-DHA"/>
    <n v="19"/>
  </r>
  <r>
    <x v="0"/>
    <x v="4"/>
    <s v="2-Methyl-3-ethylpentane"/>
    <n v="0.12520149527311439"/>
    <s v="2-DHA"/>
    <n v="20"/>
  </r>
  <r>
    <x v="0"/>
    <x v="5"/>
    <s v="1c,2t,3-Trimethylcyclopentane"/>
    <n v="5.6200501434464568E-2"/>
    <s v="2-DHA"/>
    <n v="21"/>
  </r>
  <r>
    <x v="0"/>
    <x v="2"/>
    <s v="n-Octane"/>
    <n v="1.2203160522741721E-3"/>
    <s v="2-DHA"/>
    <n v="22"/>
  </r>
  <r>
    <x v="2"/>
    <x v="4"/>
    <s v="I8 (C9)"/>
    <n v="0.32918483586691982"/>
    <s v="2-DHA"/>
    <n v="23"/>
  </r>
  <r>
    <x v="2"/>
    <x v="0"/>
    <s v="3,5,5-Trimethylhexene-1"/>
    <n v="6.0663999787827771E-2"/>
    <s v="2-DHA"/>
    <n v="24"/>
  </r>
  <r>
    <x v="2"/>
    <x v="1"/>
    <s v="1,3-Methylethylbenzene"/>
    <n v="8.5458769786887961E-2"/>
    <s v="2-DHA"/>
    <n v="25"/>
  </r>
  <r>
    <x v="2"/>
    <x v="2"/>
    <s v="n-Nonane"/>
    <n v="2.6271608945205818E-2"/>
    <s v="2-DHA"/>
    <n v="26"/>
  </r>
  <r>
    <x v="2"/>
    <x v="5"/>
    <s v="1,1,3-Trimethylcyclohexane"/>
    <n v="3.4198166365833553E-2"/>
    <s v="2-DHA"/>
    <n v="27"/>
  </r>
  <r>
    <x v="3"/>
    <x v="0"/>
    <s v="Decene-1"/>
    <n v="0.12208657441896106"/>
    <s v="2-DHA"/>
    <n v="28"/>
  </r>
  <r>
    <x v="3"/>
    <x v="4"/>
    <s v="I15 (C10)"/>
    <n v="0.11190261553226462"/>
    <s v="2-DHA"/>
    <n v="29"/>
  </r>
  <r>
    <x v="3"/>
    <x v="1"/>
    <s v="1,2-Methyl-n-propylbenzene"/>
    <n v="8.6946602571342374E-2"/>
    <s v="2-DHA"/>
    <n v="30"/>
  </r>
  <r>
    <x v="3"/>
    <x v="5"/>
    <s v="Sec-butylcyclohexane"/>
    <n v="7.1027524700234226E-2"/>
    <s v="2-DHA"/>
    <n v="31"/>
  </r>
  <r>
    <x v="10"/>
    <x v="0"/>
    <s v="Undecene-1"/>
    <n v="7.4629839052743285E-2"/>
    <s v="2-DHA"/>
    <n v="32"/>
  </r>
  <r>
    <x v="10"/>
    <x v="4"/>
    <s v="I26 (C11)"/>
    <n v="0.115915366514968"/>
    <s v="2-DHA"/>
    <n v="33"/>
  </r>
  <r>
    <x v="10"/>
    <x v="1"/>
    <s v="1,2-Ethyl-i-propylbenzene"/>
    <n v="4.6463625305658326E-2"/>
    <s v="2-DHA"/>
    <n v="34"/>
  </r>
  <r>
    <x v="10"/>
    <x v="2"/>
    <s v="n-Undecane"/>
    <n v="3.012311696604712E-3"/>
    <s v="2-DHA"/>
    <n v="35"/>
  </r>
  <r>
    <x v="11"/>
    <x v="4"/>
    <s v="I47 (C12)"/>
    <n v="8.1706206310825619E-2"/>
    <s v="2-DHA"/>
    <n v="36"/>
  </r>
  <r>
    <x v="11"/>
    <x v="0"/>
    <s v="Dodecene-1"/>
    <n v="8.0255019654067172E-3"/>
    <s v="2-DHA"/>
    <n v="37"/>
  </r>
  <r>
    <x v="11"/>
    <x v="5"/>
    <s v="1t-M-2-(4-MP)cyclopentane"/>
    <n v="7.3512132158017685E-3"/>
    <s v="2-DHA"/>
    <n v="38"/>
  </r>
  <r>
    <x v="11"/>
    <x v="1"/>
    <s v="1,3-Di-i-propylbenzene"/>
    <n v="2.8287145968481486E-2"/>
    <s v="2-DHA"/>
    <n v="39"/>
  </r>
  <r>
    <x v="12"/>
    <x v="4"/>
    <s v="(C13-IsoParaffin)"/>
    <n v="2.9514791246294841E-2"/>
    <s v="2-DHA"/>
    <n v="40"/>
  </r>
  <r>
    <x v="12"/>
    <x v="0"/>
    <s v="Tridecene-1"/>
    <n v="2.5505704876361067E-3"/>
    <s v="2-DHA"/>
    <n v="41"/>
  </r>
  <r>
    <x v="13"/>
    <x v="4"/>
    <s v="(C14-IsoParaffin)"/>
    <n v="6.71357059389274E-3"/>
    <s v="2-DHA"/>
    <n v="42"/>
  </r>
  <r>
    <x v="14"/>
    <x v="4"/>
    <s v="(C15-IsoParaffin)"/>
    <n v="5.2953654520605962E-3"/>
    <s v="2-DHA"/>
    <n v="43"/>
  </r>
  <r>
    <x v="15"/>
    <x v="4"/>
    <s v="(C16-IsoParaffin)"/>
    <n v="1.3504098055946915E-2"/>
    <s v="2-DHA"/>
    <n v="44"/>
  </r>
  <r>
    <x v="16"/>
    <x v="4"/>
    <s v="(C17-IsoParaffin)"/>
    <n v="5.0021964304932274E-3"/>
    <s v="2-DHA"/>
    <n v="45"/>
  </r>
  <r>
    <x v="4"/>
    <x v="2"/>
    <s v="C1"/>
    <n v="0"/>
    <s v="3-ASTM"/>
    <m/>
  </r>
  <r>
    <x v="5"/>
    <x v="2"/>
    <s v="C2"/>
    <n v="0"/>
    <s v="3-ASTM"/>
    <m/>
  </r>
  <r>
    <x v="6"/>
    <x v="2"/>
    <s v="C3"/>
    <n v="0"/>
    <s v="3-ASTM"/>
    <m/>
  </r>
  <r>
    <x v="7"/>
    <x v="2"/>
    <s v="C4"/>
    <n v="0"/>
    <s v="3-ASTM"/>
    <m/>
  </r>
  <r>
    <x v="8"/>
    <x v="2"/>
    <s v="C5"/>
    <n v="0"/>
    <s v="3-ASTM"/>
    <m/>
  </r>
  <r>
    <x v="9"/>
    <x v="2"/>
    <s v="C6"/>
    <n v="0"/>
    <s v="3-ASTM"/>
    <m/>
  </r>
  <r>
    <x v="1"/>
    <x v="2"/>
    <s v="C7"/>
    <n v="0"/>
    <s v="3-ASTM"/>
    <m/>
  </r>
  <r>
    <x v="0"/>
    <x v="2"/>
    <s v="C8"/>
    <n v="2.8284608798604879E-2"/>
    <s v="3-ASTM"/>
    <m/>
  </r>
  <r>
    <x v="2"/>
    <x v="2"/>
    <s v="C9"/>
    <n v="3.507291491027005E-2"/>
    <s v="3-ASTM"/>
    <m/>
  </r>
  <r>
    <x v="3"/>
    <x v="2"/>
    <s v="C10"/>
    <n v="8.9379363803591419E-2"/>
    <s v="3-ASTM"/>
    <m/>
  </r>
  <r>
    <x v="10"/>
    <x v="2"/>
    <s v="C11"/>
    <n v="0.10295597602692177"/>
    <s v="3-ASTM"/>
    <m/>
  </r>
  <r>
    <x v="11"/>
    <x v="2"/>
    <s v="C12"/>
    <n v="0.11879535695414049"/>
    <s v="3-ASTM"/>
    <m/>
  </r>
  <r>
    <x v="12"/>
    <x v="2"/>
    <s v="C13"/>
    <n v="0.12332089436191727"/>
    <s v="3-ASTM"/>
    <m/>
  </r>
  <r>
    <x v="13"/>
    <x v="2"/>
    <s v="C14"/>
    <n v="0.12105812565802891"/>
    <s v="3-ASTM"/>
    <m/>
  </r>
  <r>
    <x v="14"/>
    <x v="2"/>
    <s v="C15"/>
    <n v="0.10748151343469854"/>
    <s v="3-ASTM"/>
    <m/>
  </r>
  <r>
    <x v="15"/>
    <x v="2"/>
    <s v="C16"/>
    <n v="8.7116595099703056E-2"/>
    <s v="3-ASTM"/>
    <m/>
  </r>
  <r>
    <x v="16"/>
    <x v="2"/>
    <s v="C17"/>
    <n v="7.5802751580260952E-2"/>
    <s v="3-ASTM"/>
    <m/>
  </r>
  <r>
    <x v="17"/>
    <x v="2"/>
    <s v="C18"/>
    <n v="7.0145829820540129E-2"/>
    <s v="3-ASTM"/>
    <m/>
  </r>
  <r>
    <x v="18"/>
    <x v="2"/>
    <s v="C19"/>
    <n v="3.1678761854437465E-2"/>
    <s v="3-ASTM"/>
    <m/>
  </r>
  <r>
    <x v="19"/>
    <x v="2"/>
    <s v="C20"/>
    <n v="2.4890455742772294E-2"/>
    <s v="3-ASTM"/>
    <m/>
  </r>
  <r>
    <x v="20"/>
    <x v="2"/>
    <s v="C21"/>
    <n v="2.2627687038883907E-2"/>
    <s v="3-ASTM"/>
    <m/>
  </r>
  <r>
    <x v="21"/>
    <x v="2"/>
    <s v="C22"/>
    <n v="2.0364918334995517E-2"/>
    <s v="3-ASTM"/>
    <m/>
  </r>
  <r>
    <x v="22"/>
    <x v="2"/>
    <s v="C23"/>
    <n v="1.8102149631107126E-2"/>
    <s v="3-ASTM"/>
    <m/>
  </r>
  <r>
    <x v="23"/>
    <x v="2"/>
    <s v="C24"/>
    <n v="1.6970765279162928E-2"/>
    <s v="3-ASTM"/>
    <m/>
  </r>
  <r>
    <x v="24"/>
    <x v="2"/>
    <s v="C25"/>
    <n v="1.4707996575274537E-2"/>
    <s v="3-ASTM"/>
    <m/>
  </r>
  <r>
    <x v="25"/>
    <x v="2"/>
    <s v="C26"/>
    <n v="1.2445227871386149E-2"/>
    <s v="3-ASTM"/>
    <m/>
  </r>
  <r>
    <x v="26"/>
    <x v="2"/>
    <s v="C27"/>
    <n v="1.0182459167497758E-2"/>
    <s v="3-ASTM"/>
    <m/>
  </r>
  <r>
    <x v="27"/>
    <x v="2"/>
    <s v="C28"/>
    <n v="0"/>
    <s v="3-ASTM"/>
    <m/>
  </r>
  <r>
    <x v="28"/>
    <x v="2"/>
    <s v="C29"/>
    <n v="0"/>
    <s v="3-ASTM"/>
    <m/>
  </r>
  <r>
    <x v="29"/>
    <x v="2"/>
    <s v="C30"/>
    <n v="0"/>
    <s v="3-ASTM"/>
    <m/>
  </r>
  <r>
    <x v="30"/>
    <x v="2"/>
    <s v="C31"/>
    <n v="0"/>
    <s v="3-ASTM"/>
    <m/>
  </r>
  <r>
    <x v="31"/>
    <x v="2"/>
    <s v="C32"/>
    <n v="0"/>
    <s v="3-ASTM"/>
    <m/>
  </r>
  <r>
    <x v="32"/>
    <x v="2"/>
    <s v="C33"/>
    <n v="0"/>
    <s v="3-ASTM"/>
    <m/>
  </r>
  <r>
    <x v="33"/>
    <x v="2"/>
    <s v="C34"/>
    <n v="0"/>
    <s v="3-ASTM"/>
    <m/>
  </r>
  <r>
    <x v="34"/>
    <x v="2"/>
    <s v="C35"/>
    <n v="0"/>
    <s v="3-ASTM"/>
    <m/>
  </r>
  <r>
    <x v="35"/>
    <x v="2"/>
    <s v="C36"/>
    <n v="0"/>
    <s v="3-ASTM"/>
    <m/>
  </r>
  <r>
    <x v="36"/>
    <x v="2"/>
    <s v="C37"/>
    <n v="0"/>
    <s v="3-ASTM"/>
    <m/>
  </r>
  <r>
    <x v="37"/>
    <x v="2"/>
    <s v="C38"/>
    <n v="0"/>
    <s v="3-ASTM"/>
    <m/>
  </r>
  <r>
    <x v="38"/>
    <x v="2"/>
    <s v="C39"/>
    <n v="0"/>
    <s v="3-ASTM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s v="CH4"/>
    <n v="10.675347629281321"/>
    <n v="12.764487853091264"/>
  </r>
  <r>
    <x v="0"/>
    <s v="MEOH"/>
    <n v="0.80481481478060724"/>
    <n v="0.91088223941800006"/>
  </r>
  <r>
    <x v="1"/>
    <s v="C2"/>
    <n v="1.4764743214745784"/>
    <n v="1.709041167604332"/>
  </r>
  <r>
    <x v="1"/>
    <s v="C2-O"/>
    <n v="6.2719479811499799"/>
    <n v="7.3588614861819384"/>
  </r>
  <r>
    <x v="2"/>
    <s v="C3"/>
    <n v="1.0343523334498903"/>
    <n v="1.1719059853281166"/>
  </r>
  <r>
    <x v="2"/>
    <s v="C3-O"/>
    <n v="9.4890646906416247"/>
    <n v="10.979834057357101"/>
  </r>
  <r>
    <x v="3"/>
    <s v="C4"/>
    <n v="1.0101920404904212"/>
    <n v="1.0797178215552949"/>
  </r>
  <r>
    <x v="3"/>
    <s v="C4-IP"/>
    <n v="3.9445339274151864E-2"/>
    <n v="3.6265007967883504E-2"/>
  </r>
  <r>
    <x v="3"/>
    <s v="C4-O"/>
    <n v="7.7047820439769339"/>
    <n v="8.7749814781157447"/>
  </r>
  <r>
    <x v="4"/>
    <s v="C5"/>
    <n v="0.1681688423581717"/>
    <n v="0.15461001274909103"/>
  </r>
  <r>
    <x v="4"/>
    <s v="C5-IP"/>
    <n v="0.14227984896835599"/>
    <n v="0.45053268523601969"/>
  </r>
  <r>
    <x v="4"/>
    <s v="C5-O"/>
    <n v="7.7845917998890393"/>
    <n v="7.4492828102752009"/>
  </r>
  <r>
    <x v="4"/>
    <s v="C5-N"/>
    <n v="5.9510803896835815E-2"/>
    <n v="5.4712668650010163E-2"/>
  </r>
  <r>
    <x v="5"/>
    <s v="C6-IP"/>
    <n v="3.0084066962282048"/>
    <n v="2.4578082615235211"/>
  </r>
  <r>
    <x v="5"/>
    <s v="C6"/>
    <n v="3.6329073642742016E-2"/>
    <n v="3.2533571458387166E-2"/>
  </r>
  <r>
    <x v="5"/>
    <s v="C6-O"/>
    <n v="2.6709448098954698"/>
    <n v="3.8606407214413294"/>
  </r>
  <r>
    <x v="5"/>
    <s v="C6-A"/>
    <n v="1.913274338277374E-2"/>
    <n v="1.7590141294042117E-2"/>
  </r>
  <r>
    <x v="5"/>
    <s v="C6-N"/>
    <n v="0.23057347369165204"/>
    <n v="0.21198319026982509"/>
  </r>
  <r>
    <x v="6"/>
    <s v="C7"/>
    <n v="3.7961470066785014E-4"/>
    <n v="9.8472887271422297E-5"/>
  </r>
  <r>
    <x v="6"/>
    <s v="C7-IP"/>
    <n v="2.2831760437947315"/>
    <n v="2.1027785797189829"/>
  </r>
  <r>
    <x v="6"/>
    <s v="C7-O"/>
    <n v="1.5956649952219988"/>
    <n v="1.5364258418072099"/>
  </r>
  <r>
    <x v="6"/>
    <s v="C7-A"/>
    <n v="5.9682201389639845E-2"/>
    <n v="5.4870246999102631E-2"/>
  </r>
  <r>
    <x v="6"/>
    <s v="C7-N"/>
    <n v="0.24291409317354112"/>
    <n v="0.22332883140448229"/>
  </r>
  <r>
    <x v="7"/>
    <s v="C8"/>
    <n v="0.18868965424741102"/>
    <n v="0.23603939880703242"/>
  </r>
  <r>
    <x v="7"/>
    <s v="C8-IP"/>
    <n v="1.089450296120775"/>
    <n v="1.0016119621849151"/>
  </r>
  <r>
    <x v="7"/>
    <s v="C8-O"/>
    <n v="2.99086233350083"/>
    <n v="2.7497202039868216"/>
  </r>
  <r>
    <x v="7"/>
    <s v="C8-N"/>
    <n v="0.48903292086369682"/>
    <n v="0.44960401147571655"/>
  </r>
  <r>
    <x v="7"/>
    <s v="C8-A"/>
    <n v="0.80053810598416164"/>
    <n v="0.78316583968881615"/>
  </r>
  <r>
    <x v="8"/>
    <s v="C9"/>
    <n v="0.5055889643879321"/>
    <n v="0.55210071469928279"/>
  </r>
  <r>
    <x v="8"/>
    <s v="C9-IP"/>
    <n v="3.2224801361021234"/>
    <n v="2.9626635228022784"/>
  </r>
  <r>
    <x v="8"/>
    <s v="C9-O"/>
    <n v="0.59385643867206861"/>
    <n v="0.54597599809044994"/>
  </r>
  <r>
    <x v="8"/>
    <s v="C9-N"/>
    <n v="0.3347751773400835"/>
    <n v="0.30778349729250198"/>
  </r>
  <r>
    <x v="8"/>
    <s v="C9-A"/>
    <n v="1.0225337629024103"/>
    <n v="0.77170949450729076"/>
  </r>
  <r>
    <x v="9"/>
    <s v="C10"/>
    <n v="0.74575363465812128"/>
    <n v="0.91872102183663884"/>
  </r>
  <r>
    <x v="9"/>
    <s v="C10-IP"/>
    <n v="1.2171613582007894"/>
    <n v="1.1190261553226462"/>
  </r>
  <r>
    <x v="9"/>
    <s v="C10-O"/>
    <n v="1.3279319704106398"/>
    <n v="1.2208657441896107"/>
  </r>
  <r>
    <x v="9"/>
    <s v="C10-N"/>
    <n v="0.77256423384358452"/>
    <n v="0.71027524700234224"/>
  </r>
  <r>
    <x v="9"/>
    <s v="C10-A"/>
    <n v="0.9457155614576872"/>
    <n v="0.86946602571342368"/>
  </r>
  <r>
    <x v="10"/>
    <s v="C11"/>
    <n v="0.92728656860550784"/>
    <n v="1.1656511649587913"/>
  </r>
  <r>
    <x v="10"/>
    <s v="C11-IP"/>
    <n v="1.3868887219470165"/>
    <n v="1.275069031664648"/>
  </r>
  <r>
    <x v="10"/>
    <s v="C11-A"/>
    <n v="0.55592178892751454"/>
    <n v="0.51109987836224158"/>
  </r>
  <r>
    <x v="10"/>
    <s v="C11-O"/>
    <n v="0.89292114768584585"/>
    <n v="0.82092822958017608"/>
  </r>
  <r>
    <x v="11"/>
    <s v="C12-IP"/>
    <n v="1.0664591161558081"/>
    <n v="0.98047447572990742"/>
  </r>
  <r>
    <x v="11"/>
    <s v="C12"/>
    <n v="1.1218471845208211"/>
    <n v="1.4255442834496859"/>
  </r>
  <r>
    <x v="11"/>
    <s v="C12-O"/>
    <n v="0.10475177002068625"/>
    <n v="9.6306023584880607E-2"/>
  </r>
  <r>
    <x v="11"/>
    <s v="C12-A"/>
    <n v="0.36921411542907628"/>
    <n v="0.33944575162177781"/>
  </r>
  <r>
    <x v="11"/>
    <s v="C12-N"/>
    <n v="9.5950708064610313E-2"/>
    <n v="8.8214558589621225E-2"/>
  </r>
  <r>
    <x v="12"/>
    <s v="C13-IP"/>
    <n v="0.41734093701316177"/>
    <n v="0.38369228620183293"/>
  </r>
  <r>
    <x v="12"/>
    <s v="C13-O"/>
    <n v="3.6065221276528496E-2"/>
    <n v="3.3157416339269385E-2"/>
  </r>
  <r>
    <x v="12"/>
    <s v="C13"/>
    <n v="1.2616329051317487"/>
    <n v="1.6031716267049245"/>
  </r>
  <r>
    <x v="13"/>
    <s v="C14-IP"/>
    <n v="0.10223262547528765"/>
    <n v="9.3989988314498354E-2"/>
  </r>
  <r>
    <x v="13"/>
    <s v=" C14 "/>
    <n v="1.3337516527080875"/>
    <n v="1.6948137592124048"/>
  </r>
  <r>
    <x v="14"/>
    <s v="C15-IP "/>
    <n v="8.6396294337837673E-2"/>
    <n v="7.9430481780908946E-2"/>
  </r>
  <r>
    <x v="14"/>
    <s v="C15"/>
    <n v="1.2687557443985478"/>
    <n v="1.6122227015204782"/>
  </r>
  <r>
    <x v="15"/>
    <s v="C16-IP"/>
    <n v="0.23501386455173739"/>
    <n v="0.21606556889515063"/>
  </r>
  <r>
    <x v="15"/>
    <s v="C16"/>
    <n v="1.0969172470870254"/>
    <n v="1.3938655215952489"/>
  </r>
  <r>
    <x v="16"/>
    <s v="C17-IP"/>
    <n v="9.24948562910968E-2"/>
    <n v="8.5037339318384864E-2"/>
  </r>
  <r>
    <x v="16"/>
    <s v="C17"/>
    <n v="1.0141142406104864"/>
    <n v="1.2886467768644363"/>
  </r>
  <r>
    <x v="17"/>
    <s v="C18"/>
    <n v="0.99363607771844198"/>
    <n v="1.2626249367697224"/>
  </r>
  <r>
    <x v="18"/>
    <s v="C19"/>
    <n v="0.47366881124212445"/>
    <n v="0.60189647523431189"/>
  </r>
  <r>
    <x v="19"/>
    <s v="C20"/>
    <n v="0.39175615967393751"/>
    <n v="0.49780911485544588"/>
  </r>
  <r>
    <x v="20"/>
    <s v="C21"/>
    <n v="0.37394906150694035"/>
    <n v="0.47518142781656203"/>
  </r>
  <r>
    <x v="21"/>
    <s v="C22"/>
    <n v="0.35258054370654379"/>
    <n v="0.44802820336990135"/>
  </r>
  <r>
    <x v="22"/>
    <s v="C23"/>
    <n v="0.32765060627274778"/>
    <n v="0.41634944151546388"/>
  </r>
  <r>
    <x v="23"/>
    <s v="C24"/>
    <n v="0.32052776700594887"/>
    <n v="0.40729836669991026"/>
  </r>
  <r>
    <x v="24"/>
    <s v="C25"/>
    <n v="0.28936534521370383"/>
    <n v="0.36769991438186345"/>
  </r>
  <r>
    <x v="25"/>
    <s v="C26"/>
    <n v="0.25464150378805939"/>
    <n v="0.32357592465603985"/>
  </r>
  <r>
    <x v="26"/>
    <s v="C27"/>
    <n v="0.21635624272901549"/>
    <n v="0.274926397522439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9EF06-95DA-294C-88E1-56F2E8947D6C}" name="Tabella pivot6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H5:AI33" firstHeaderRow="1" firstDataRow="1" firstDataCol="1"/>
  <pivotFields count="1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a di mmolC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5CBC2-C1DD-DE4F-935A-F958E4D5315D}" name="Tabella pivot4" cacheId="2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>
  <location ref="N17:P98" firstHeaderRow="1" firstDataRow="1" firstDataCol="2"/>
  <pivotFields count="5">
    <pivotField axis="axisRow" compact="0" outline="0" showAll="0" sortType="ascending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sd="0" m="1"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">
        <item x="4"/>
        <item x="3"/>
        <item x="5"/>
        <item x="2"/>
        <item x="0"/>
        <item x="1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81">
    <i>
      <x/>
      <x v="4"/>
    </i>
    <i r="1">
      <x v="5"/>
    </i>
    <i>
      <x v="1"/>
      <x v="3"/>
    </i>
    <i r="1">
      <x v="4"/>
    </i>
    <i r="1">
      <x v="5"/>
    </i>
    <i>
      <x v="2"/>
      <x v="3"/>
    </i>
    <i r="1">
      <x v="5"/>
    </i>
    <i>
      <x v="3"/>
      <x v="1"/>
    </i>
    <i r="1">
      <x v="3"/>
    </i>
    <i r="1">
      <x v="5"/>
    </i>
    <i>
      <x v="4"/>
      <x v="1"/>
    </i>
    <i r="1">
      <x v="2"/>
    </i>
    <i r="1">
      <x v="3"/>
    </i>
    <i r="1">
      <x v="5"/>
    </i>
    <i>
      <x v="5"/>
      <x/>
    </i>
    <i r="1">
      <x v="1"/>
    </i>
    <i r="1">
      <x v="2"/>
    </i>
    <i r="1">
      <x v="3"/>
    </i>
    <i r="1">
      <x v="5"/>
    </i>
    <i>
      <x v="6"/>
      <x/>
    </i>
    <i r="1">
      <x v="1"/>
    </i>
    <i r="1">
      <x v="2"/>
    </i>
    <i r="1">
      <x v="3"/>
    </i>
    <i r="1">
      <x v="5"/>
    </i>
    <i>
      <x v="7"/>
      <x/>
    </i>
    <i r="1">
      <x v="1"/>
    </i>
    <i r="1">
      <x v="2"/>
    </i>
    <i r="1">
      <x v="3"/>
    </i>
    <i r="1">
      <x v="5"/>
    </i>
    <i>
      <x v="8"/>
      <x/>
    </i>
    <i r="1">
      <x v="1"/>
    </i>
    <i r="1">
      <x v="2"/>
    </i>
    <i r="1">
      <x v="3"/>
    </i>
    <i r="1">
      <x v="5"/>
    </i>
    <i>
      <x v="9"/>
      <x/>
    </i>
    <i r="1">
      <x v="1"/>
    </i>
    <i r="1">
      <x v="2"/>
    </i>
    <i r="1">
      <x v="3"/>
    </i>
    <i r="1">
      <x v="5"/>
    </i>
    <i>
      <x v="10"/>
      <x/>
    </i>
    <i r="1">
      <x v="1"/>
    </i>
    <i r="1">
      <x v="3"/>
    </i>
    <i r="1">
      <x v="5"/>
    </i>
    <i>
      <x v="11"/>
      <x/>
    </i>
    <i r="1">
      <x v="1"/>
    </i>
    <i r="1">
      <x v="2"/>
    </i>
    <i r="1">
      <x v="3"/>
    </i>
    <i r="1">
      <x v="5"/>
    </i>
    <i>
      <x v="12"/>
      <x v="1"/>
    </i>
    <i r="1">
      <x v="3"/>
    </i>
    <i r="1">
      <x v="5"/>
    </i>
    <i>
      <x v="13"/>
      <x v="1"/>
    </i>
    <i r="1">
      <x v="5"/>
    </i>
    <i>
      <x v="14"/>
      <x v="1"/>
    </i>
    <i r="1">
      <x v="5"/>
    </i>
    <i>
      <x v="15"/>
      <x v="1"/>
    </i>
    <i r="1">
      <x v="5"/>
    </i>
    <i>
      <x v="16"/>
      <x v="1"/>
    </i>
    <i r="1">
      <x v="5"/>
    </i>
    <i>
      <x v="17"/>
      <x v="5"/>
    </i>
    <i>
      <x v="18"/>
      <x v="5"/>
    </i>
    <i>
      <x v="19"/>
      <x v="5"/>
    </i>
    <i>
      <x v="20"/>
      <x v="5"/>
    </i>
    <i>
      <x v="21"/>
      <x v="5"/>
    </i>
    <i>
      <x v="22"/>
      <x v="5"/>
    </i>
    <i>
      <x v="23"/>
      <x v="5"/>
    </i>
    <i>
      <x v="24"/>
      <x v="5"/>
    </i>
    <i>
      <x v="25"/>
      <x v="5"/>
    </i>
    <i>
      <x v="26"/>
      <x v="5"/>
    </i>
    <i>
      <x v="27"/>
      <x v="5"/>
    </i>
    <i>
      <x v="28"/>
      <x v="5"/>
    </i>
    <i>
      <x v="29"/>
      <x v="5"/>
    </i>
    <i>
      <x v="30"/>
      <x v="5"/>
    </i>
    <i>
      <x v="31"/>
      <x v="5"/>
    </i>
    <i>
      <x v="32"/>
      <x v="5"/>
    </i>
    <i>
      <x v="33"/>
      <x v="5"/>
    </i>
    <i>
      <x v="34"/>
      <x v="5"/>
    </i>
    <i>
      <x v="35"/>
      <x v="5"/>
    </i>
    <i>
      <x v="36"/>
      <x v="5"/>
    </i>
    <i>
      <x v="37"/>
      <x v="5"/>
    </i>
    <i>
      <x v="38"/>
      <x v="5"/>
    </i>
  </rowItems>
  <colItems count="1">
    <i/>
  </colItems>
  <dataFields count="1">
    <dataField name="Somma di mo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812E3-6EE9-EC4F-AA96-83EFF67BA247}" name="Tabella pivot5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H7:AI35" firstHeaderRow="1" firstDataRow="1" firstDataCol="1"/>
  <pivotFields count="11"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a di mmolC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8F27D-B4AF-4842-832D-B585261AB7B2}" name="Tabella pivot4" cacheId="3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 chartFormat="2">
  <location ref="N17:P98" firstHeaderRow="1" firstDataRow="1" firstDataCol="2"/>
  <pivotFields count="6">
    <pivotField axis="axisRow" compact="0" outline="0" showAll="0" sortType="ascending" defaultSubtotal="0">
      <items count="39">
        <item x="4"/>
        <item x="5"/>
        <item x="6"/>
        <item x="7"/>
        <item x="8"/>
        <item x="9"/>
        <item x="1"/>
        <item x="0"/>
        <item x="2"/>
        <item x="3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">
        <item x="1"/>
        <item x="4"/>
        <item x="5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81">
    <i>
      <x/>
      <x v="4"/>
    </i>
    <i r="1">
      <x v="5"/>
    </i>
    <i>
      <x v="1"/>
      <x v="3"/>
    </i>
    <i r="1">
      <x v="4"/>
    </i>
    <i r="1">
      <x v="5"/>
    </i>
    <i>
      <x v="2"/>
      <x v="3"/>
    </i>
    <i r="1">
      <x v="5"/>
    </i>
    <i>
      <x v="3"/>
      <x v="1"/>
    </i>
    <i r="1">
      <x v="3"/>
    </i>
    <i r="1">
      <x v="5"/>
    </i>
    <i>
      <x v="4"/>
      <x v="1"/>
    </i>
    <i r="1">
      <x v="2"/>
    </i>
    <i r="1">
      <x v="3"/>
    </i>
    <i r="1">
      <x v="5"/>
    </i>
    <i>
      <x v="5"/>
      <x/>
    </i>
    <i r="1">
      <x v="1"/>
    </i>
    <i r="1">
      <x v="2"/>
    </i>
    <i r="1">
      <x v="3"/>
    </i>
    <i r="1">
      <x v="5"/>
    </i>
    <i>
      <x v="6"/>
      <x/>
    </i>
    <i r="1">
      <x v="1"/>
    </i>
    <i r="1">
      <x v="2"/>
    </i>
    <i r="1">
      <x v="3"/>
    </i>
    <i r="1">
      <x v="5"/>
    </i>
    <i>
      <x v="7"/>
      <x/>
    </i>
    <i r="1">
      <x v="1"/>
    </i>
    <i r="1">
      <x v="2"/>
    </i>
    <i r="1">
      <x v="3"/>
    </i>
    <i r="1">
      <x v="5"/>
    </i>
    <i>
      <x v="8"/>
      <x/>
    </i>
    <i r="1">
      <x v="1"/>
    </i>
    <i r="1">
      <x v="2"/>
    </i>
    <i r="1">
      <x v="3"/>
    </i>
    <i r="1">
      <x v="5"/>
    </i>
    <i>
      <x v="9"/>
      <x/>
    </i>
    <i r="1">
      <x v="1"/>
    </i>
    <i r="1">
      <x v="2"/>
    </i>
    <i r="1">
      <x v="3"/>
    </i>
    <i r="1">
      <x v="5"/>
    </i>
    <i>
      <x v="10"/>
      <x/>
    </i>
    <i r="1">
      <x v="1"/>
    </i>
    <i r="1">
      <x v="3"/>
    </i>
    <i r="1">
      <x v="5"/>
    </i>
    <i>
      <x v="11"/>
      <x/>
    </i>
    <i r="1">
      <x v="1"/>
    </i>
    <i r="1">
      <x v="2"/>
    </i>
    <i r="1">
      <x v="3"/>
    </i>
    <i r="1">
      <x v="5"/>
    </i>
    <i>
      <x v="12"/>
      <x v="1"/>
    </i>
    <i r="1">
      <x v="3"/>
    </i>
    <i r="1">
      <x v="5"/>
    </i>
    <i>
      <x v="13"/>
      <x v="1"/>
    </i>
    <i r="1">
      <x v="5"/>
    </i>
    <i>
      <x v="14"/>
      <x v="1"/>
    </i>
    <i r="1">
      <x v="5"/>
    </i>
    <i>
      <x v="15"/>
      <x v="1"/>
    </i>
    <i r="1">
      <x v="5"/>
    </i>
    <i>
      <x v="16"/>
      <x v="1"/>
    </i>
    <i r="1">
      <x v="5"/>
    </i>
    <i>
      <x v="17"/>
      <x v="5"/>
    </i>
    <i>
      <x v="18"/>
      <x v="5"/>
    </i>
    <i>
      <x v="19"/>
      <x v="5"/>
    </i>
    <i>
      <x v="20"/>
      <x v="5"/>
    </i>
    <i>
      <x v="21"/>
      <x v="5"/>
    </i>
    <i>
      <x v="22"/>
      <x v="5"/>
    </i>
    <i>
      <x v="23"/>
      <x v="5"/>
    </i>
    <i>
      <x v="24"/>
      <x v="5"/>
    </i>
    <i>
      <x v="25"/>
      <x v="5"/>
    </i>
    <i>
      <x v="26"/>
      <x v="5"/>
    </i>
    <i>
      <x v="27"/>
      <x v="5"/>
    </i>
    <i>
      <x v="28"/>
      <x v="5"/>
    </i>
    <i>
      <x v="29"/>
      <x v="5"/>
    </i>
    <i>
      <x v="30"/>
      <x v="5"/>
    </i>
    <i>
      <x v="31"/>
      <x v="5"/>
    </i>
    <i>
      <x v="32"/>
      <x v="5"/>
    </i>
    <i>
      <x v="33"/>
      <x v="5"/>
    </i>
    <i>
      <x v="34"/>
      <x v="5"/>
    </i>
    <i>
      <x v="35"/>
      <x v="5"/>
    </i>
    <i>
      <x v="36"/>
      <x v="5"/>
    </i>
    <i>
      <x v="37"/>
      <x v="5"/>
    </i>
    <i>
      <x v="38"/>
      <x v="5"/>
    </i>
  </rowItems>
  <colItems count="1">
    <i/>
  </colItems>
  <dataFields count="1">
    <dataField name="Somma di mo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0E0FC-85BB-9C40-8473-6F8C283987B8}" name="Tabella pivot9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7:J35" firstHeaderRow="0" firstDataRow="1" firstDataCol="1"/>
  <pivotFields count="4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dataField="1" showAll="0"/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5%" fld="2" showDataAs="percentOfCol" baseField="0" baseItem="0" numFmtId="10"/>
    <dataField name="Somma di 10%" fld="3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2091EB-DCA0-ED4A-8954-6B834A85728B}" name="Tabella27" displayName="Tabella27" ref="R1:U46" totalsRowShown="0" headerRowDxfId="28" dataDxfId="26" headerRowBorderDxfId="27" tableBorderDxfId="25" totalsRowBorderDxfId="24">
  <autoFilter ref="R1:U46" xr:uid="{6B2091EB-DCA0-ED4A-8954-6B834A85728B}"/>
  <sortState xmlns:xlrd2="http://schemas.microsoft.com/office/spreadsheetml/2017/richdata2" ref="R2:U46">
    <sortCondition ref="T1:T46"/>
  </sortState>
  <tableColumns count="4">
    <tableColumn id="1" xr3:uid="{C622D25B-5B03-664D-A954-10DFFD98688F}" name="Component name" dataDxfId="23"/>
    <tableColumn id="3" xr3:uid="{0BE04A57-C0A0-FC4C-AB01-F2858E780E95}" name="Vol %" dataDxfId="22"/>
    <tableColumn id="4" xr3:uid="{4C029D94-CA27-1A44-BCA0-13FD16CFFBDE}" name="Carbon number" dataDxfId="21"/>
    <tableColumn id="5" xr3:uid="{44051B5B-3D41-B54C-831F-97965C4E5B15}" name="Clas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784DA3-5442-374E-9504-39FEEBE1C6AB}" name="Tabella4" displayName="Tabella4" ref="B3:F127" totalsRowShown="0">
  <autoFilter ref="B3:F127" xr:uid="{D2784DA3-5442-374E-9504-39FEEBE1C6AB}"/>
  <sortState xmlns:xlrd2="http://schemas.microsoft.com/office/spreadsheetml/2017/richdata2" ref="B4:F127">
    <sortCondition ref="F3:F127"/>
  </sortState>
  <tableColumns count="5">
    <tableColumn id="1" xr3:uid="{45B18462-42CE-8F40-BEAC-0D8622AB68BE}" name="Cn"/>
    <tableColumn id="2" xr3:uid="{7C15CBCA-92AF-2F41-AE86-292B291D868B}" name="Class"/>
    <tableColumn id="3" xr3:uid="{7D6EF338-D6FD-6C47-B0FF-0B03AF5D71A7}" name="Name"/>
    <tableColumn id="4" xr3:uid="{C1785AD1-3A6D-1B45-9ED8-A9B2F393F369}" name="mol"/>
    <tableColumn id="5" xr3:uid="{126EF0F6-4C53-5A40-851E-04AE8DB02D5B}" name="Colon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D70BDC-5A42-6F40-964C-942BA14F7065}" name="Tabella11" displayName="Tabella11" ref="R5:AB73" totalsRowShown="0">
  <autoFilter ref="R5:AB73" xr:uid="{12D70BDC-5A42-6F40-964C-942BA14F7065}"/>
  <tableColumns count="11">
    <tableColumn id="1" xr3:uid="{C1AF629C-FE4D-3F49-90EF-BBA8466FB9FA}" name="Colonna1"/>
    <tableColumn id="2" xr3:uid="{3E153B20-A785-DA4F-93C8-8F2B775D9A92}" name="Nc" dataDxfId="19"/>
    <tableColumn id="3" xr3:uid="{D0AD0A3B-69BE-DC46-A9D5-724A3E16072C}" name="Colonna2" dataDxfId="18"/>
    <tableColumn id="4" xr3:uid="{1F7B6B67-C1D7-6D46-9DB3-FFAE316C8DF9}" name="Colonna3" dataDxfId="17"/>
    <tableColumn id="5" xr3:uid="{83509EE3-04F3-454A-8EE3-EEBD46DCDF55}" name="Colonna4" dataDxfId="16"/>
    <tableColumn id="6" xr3:uid="{569B8576-99D7-714B-9420-CD4D44CE2E97}" name="mmol"/>
    <tableColumn id="7" xr3:uid="{CE5D240F-0BF3-1B40-9E75-89A03FC0BEA5}" name="mmolC">
      <calculatedColumnFormula>+W6*S6</calculatedColumnFormula>
    </tableColumn>
    <tableColumn id="8" xr3:uid="{5F1A7835-C1F5-264B-808F-633FF9548938}" name="Colonna5">
      <calculatedColumnFormula>X6*$Y$4</calculatedColumnFormula>
    </tableColumn>
    <tableColumn id="9" xr3:uid="{133F5D63-13D9-F843-9405-D4F4CF1FA610}" name="Colonna6">
      <calculatedColumnFormula>+X6*$Z$4</calculatedColumnFormula>
    </tableColumn>
    <tableColumn id="10" xr3:uid="{25E5E7CF-D58E-0747-9907-67758E2527EA}" name="con CO">
      <calculatedColumnFormula>+Y6/$AA$3</calculatedColumnFormula>
    </tableColumn>
    <tableColumn id="11" xr3:uid="{5F9C425F-6331-B048-9428-D09225195DEA}" name="conv CO2">
      <calculatedColumnFormula>+Z6/$AB$3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849D64-0AC6-0348-AACF-C66CAEEDBDCF}" name="Tabella278" displayName="Tabella278" ref="R1:V46" totalsRowShown="0" headerRowDxfId="15" dataDxfId="13" headerRowBorderDxfId="14" tableBorderDxfId="12" totalsRowBorderDxfId="11">
  <autoFilter ref="R1:V46" xr:uid="{6B2091EB-DCA0-ED4A-8954-6B834A85728B}"/>
  <sortState xmlns:xlrd2="http://schemas.microsoft.com/office/spreadsheetml/2017/richdata2" ref="R2:U46">
    <sortCondition ref="T1:T46"/>
  </sortState>
  <tableColumns count="5">
    <tableColumn id="1" xr3:uid="{FAB61F38-05EA-4D47-97D1-DCB082EE3EC7}" name="Component name" dataDxfId="10"/>
    <tableColumn id="3" xr3:uid="{DC636FEE-E527-6D41-8244-BEC0FDEDF2F4}" name="Vol %" dataDxfId="9"/>
    <tableColumn id="4" xr3:uid="{B9393347-F11A-7244-ACA6-9491F701FC08}" name="Carbon number" dataDxfId="8"/>
    <tableColumn id="5" xr3:uid="{74F8FB8E-8DD3-6A40-8015-4C397619544A}" name="Class" dataDxfId="7"/>
    <tableColumn id="6" xr3:uid="{57C00F5F-2EE9-6649-80F9-5A3E6BFA0386}" name="Colonna1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8D31ED-2D5A-D64D-B823-581F261F17A5}" name="Tabella10" displayName="Tabella10" ref="B3:G127" totalsRowShown="0">
  <autoFilter ref="B3:G127" xr:uid="{D2784DA3-5442-374E-9504-39FEEBE1C6AB}"/>
  <sortState xmlns:xlrd2="http://schemas.microsoft.com/office/spreadsheetml/2017/richdata2" ref="B4:G127">
    <sortCondition ref="F3:F127"/>
  </sortState>
  <tableColumns count="6">
    <tableColumn id="1" xr3:uid="{803B00A6-D79C-9040-843A-20E63B45E588}" name="Cn"/>
    <tableColumn id="2" xr3:uid="{2C8CCA2F-9A46-1E4B-A2E8-DE715B4961B0}" name="Class"/>
    <tableColumn id="3" xr3:uid="{9E56EF25-A5CC-BB47-8BAE-7B5F87ACC028}" name="Name"/>
    <tableColumn id="4" xr3:uid="{E8F0EA69-32C4-CE46-8FEE-8E235EBDB8E6}" name="mol"/>
    <tableColumn id="5" xr3:uid="{7EC7AF52-88E1-B943-AD28-006A7CFAF1AF}" name="Colonna1"/>
    <tableColumn id="6" xr3:uid="{E2CA4E30-1A2A-9F41-9EAF-4E33DB9BF7D1}" name="Colonna2" dataDxfId="5">
      <calculatedColumnFormula>VLOOKUP(Tabella10[[#This Row],[Name]],'10% CO'!$C$8:$I$47,7,FALSE)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D1BB58-7974-CA47-9066-FBF7C3789BAD}" name="Tabella9" displayName="Tabella9" ref="R5:AB73" totalsRowShown="0">
  <autoFilter ref="R5:AB73" xr:uid="{0FD1BB58-7974-CA47-9066-FBF7C3789BAD}"/>
  <tableColumns count="11">
    <tableColumn id="1" xr3:uid="{8F1BB4E7-6757-EA46-9DE2-B0C2B14649BE}" name="Colonna1"/>
    <tableColumn id="2" xr3:uid="{15926D43-ACCB-2143-920E-86CA02D9E034}" name="Colonna2" dataDxfId="4"/>
    <tableColumn id="3" xr3:uid="{046F3550-8D6D-994F-BEB9-F52DD2C14411}" name="Colonna3" dataDxfId="3"/>
    <tableColumn id="4" xr3:uid="{4CF6EF74-2CD8-A547-B403-49E586BD66E9}" name="Colonna4" dataDxfId="2"/>
    <tableColumn id="5" xr3:uid="{D458DA9A-95E4-7E44-84DE-6028781F6612}" name="Colonna5" dataDxfId="1"/>
    <tableColumn id="6" xr3:uid="{66207D79-EBD2-5748-89C0-DE0C9EED710C}" name="mmol"/>
    <tableColumn id="7" xr3:uid="{764AAD36-108E-0346-B11B-D6FC229DD247}" name="mmolC">
      <calculatedColumnFormula>+W6*S6</calculatedColumnFormula>
    </tableColumn>
    <tableColumn id="8" xr3:uid="{13C94DD6-2C5B-C543-8EEA-1838E1D530AA}" name="Colonna6">
      <calculatedColumnFormula>X6*$Y$4</calculatedColumnFormula>
    </tableColumn>
    <tableColumn id="9" xr3:uid="{AE493748-35ED-4846-95D0-15DAD3548AC9}" name="Colonna7">
      <calculatedColumnFormula>+X6*$Z$4</calculatedColumnFormula>
    </tableColumn>
    <tableColumn id="10" xr3:uid="{6C4199EA-9041-2748-A64D-A4CAFEBA2473}" name="con CO">
      <calculatedColumnFormula>+Y6/$AA$3</calculatedColumnFormula>
    </tableColumn>
    <tableColumn id="11" xr3:uid="{CD68CB97-6E11-9A48-A871-6BF438BCDB18}" name="conv CO2">
      <calculatedColumnFormula>+Z6/$AB$3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D084F15-75BC-BE4B-A9AB-8C829D2254AD}" name="Tabella14" displayName="Tabella14" ref="A3:D71" totalsRowShown="0">
  <autoFilter ref="A3:D71" xr:uid="{6D084F15-75BC-BE4B-A9AB-8C829D2254AD}"/>
  <tableColumns count="4">
    <tableColumn id="1" xr3:uid="{2EFF970B-C35C-7E43-A1EC-B181DD0A1F50}" name="Nc"/>
    <tableColumn id="2" xr3:uid="{B9451370-4EE6-B842-85D4-67957EE0C1A8}" name="Name" dataDxfId="0"/>
    <tableColumn id="3" xr3:uid="{B44F1AEA-9C03-C34D-BD9A-CA8E8EDC1732}" name="5%"/>
    <tableColumn id="4" xr3:uid="{58E5C421-0E30-8B4D-94DB-A196CDCFC80E}" name="10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A5DD-1684-C341-B921-4BDF7DC3806B}">
  <dimension ref="B1:AK54"/>
  <sheetViews>
    <sheetView zoomScale="88" workbookViewId="0">
      <selection activeCell="AG22" sqref="AG22:AG30"/>
    </sheetView>
  </sheetViews>
  <sheetFormatPr baseColWidth="10" defaultRowHeight="16" x14ac:dyDescent="0.2"/>
  <cols>
    <col min="3" max="3" width="17.83203125" customWidth="1"/>
    <col min="12" max="12" width="12.33203125" customWidth="1"/>
  </cols>
  <sheetData>
    <row r="1" spans="2:37" ht="17" x14ac:dyDescent="0.2">
      <c r="R1" s="7" t="s">
        <v>105</v>
      </c>
      <c r="S1" s="7" t="s">
        <v>106</v>
      </c>
      <c r="T1" s="7" t="s">
        <v>107</v>
      </c>
      <c r="U1" s="7" t="s">
        <v>108</v>
      </c>
      <c r="W1" s="1" t="s">
        <v>109</v>
      </c>
      <c r="X1" t="s">
        <v>110</v>
      </c>
      <c r="Y1" s="1" t="s">
        <v>46</v>
      </c>
      <c r="Z1" s="1" t="s">
        <v>111</v>
      </c>
    </row>
    <row r="2" spans="2:37" x14ac:dyDescent="0.2">
      <c r="D2" t="s">
        <v>46</v>
      </c>
      <c r="E2" t="s">
        <v>47</v>
      </c>
      <c r="F2" t="s">
        <v>45</v>
      </c>
      <c r="L2" t="s">
        <v>49</v>
      </c>
      <c r="N2" t="s">
        <v>50</v>
      </c>
      <c r="O2" t="s">
        <v>51</v>
      </c>
      <c r="Q2">
        <v>1</v>
      </c>
      <c r="R2" s="5" t="s">
        <v>79</v>
      </c>
      <c r="S2" s="5">
        <v>0.70520000000000005</v>
      </c>
      <c r="T2" s="6">
        <v>3</v>
      </c>
      <c r="U2" s="6" t="s">
        <v>76</v>
      </c>
      <c r="W2">
        <f t="shared" ref="W2:W45" si="0">S2*T2</f>
        <v>2.1156000000000001</v>
      </c>
      <c r="X2" s="8">
        <f>W2/$W$48</f>
        <v>2.7211692847438182E-3</v>
      </c>
      <c r="Y2">
        <f>X2*$N$5</f>
        <v>8.4327566459575273E-2</v>
      </c>
      <c r="Z2">
        <f>Y2/T2</f>
        <v>2.8109188819858424E-2</v>
      </c>
      <c r="AG2" t="s">
        <v>112</v>
      </c>
      <c r="AH2" s="1" t="s">
        <v>109</v>
      </c>
      <c r="AI2" t="s">
        <v>110</v>
      </c>
      <c r="AJ2" s="1" t="s">
        <v>46</v>
      </c>
      <c r="AK2" s="1" t="s">
        <v>111</v>
      </c>
    </row>
    <row r="3" spans="2:37" x14ac:dyDescent="0.2">
      <c r="D3" s="1" t="s">
        <v>43</v>
      </c>
      <c r="E3" s="1" t="s">
        <v>44</v>
      </c>
      <c r="L3">
        <f>+D5-E5</f>
        <v>44.101716645886967</v>
      </c>
      <c r="N3">
        <v>30.233902299984798</v>
      </c>
      <c r="O3">
        <v>12.792565285417638</v>
      </c>
      <c r="P3" t="s">
        <v>52</v>
      </c>
      <c r="Q3">
        <v>2</v>
      </c>
      <c r="R3" s="3" t="s">
        <v>64</v>
      </c>
      <c r="S3" s="3">
        <v>4.4340000000000002</v>
      </c>
      <c r="T3" s="4">
        <v>4</v>
      </c>
      <c r="U3" s="4" t="s">
        <v>60</v>
      </c>
      <c r="W3">
        <f t="shared" si="0"/>
        <v>17.736000000000001</v>
      </c>
      <c r="X3" s="8">
        <f t="shared" ref="X3:X46" si="1">W3/$W$48</f>
        <v>2.281275214322951E-2</v>
      </c>
      <c r="Y3">
        <f t="shared" ref="Y3:Y46" si="2">X3*$N$5</f>
        <v>0.70695486799348972</v>
      </c>
      <c r="Z3">
        <f t="shared" ref="Z3:Z46" si="3">Y3/T3</f>
        <v>0.17673871699837243</v>
      </c>
    </row>
    <row r="4" spans="2:37" x14ac:dyDescent="0.2">
      <c r="N4" s="2">
        <f>+N3/(N3+O3)</f>
        <v>0.70268148878301684</v>
      </c>
      <c r="O4" s="2">
        <f>1-N4</f>
        <v>0.29731851121698316</v>
      </c>
      <c r="P4" t="s">
        <v>53</v>
      </c>
      <c r="Q4">
        <v>3</v>
      </c>
      <c r="R4" s="5" t="s">
        <v>87</v>
      </c>
      <c r="S4" s="5">
        <v>0.42370000000000002</v>
      </c>
      <c r="T4" s="6">
        <v>4</v>
      </c>
      <c r="U4" s="6" t="s">
        <v>76</v>
      </c>
      <c r="W4">
        <f t="shared" si="0"/>
        <v>1.6948000000000001</v>
      </c>
      <c r="X4" s="8">
        <f t="shared" si="1"/>
        <v>2.1799195045300733E-3</v>
      </c>
      <c r="Y4">
        <f t="shared" si="2"/>
        <v>6.7554528094010288E-2</v>
      </c>
      <c r="Z4">
        <f t="shared" si="3"/>
        <v>1.6888632023502572E-2</v>
      </c>
      <c r="AF4">
        <v>1</v>
      </c>
      <c r="AG4">
        <v>0</v>
      </c>
      <c r="AH4">
        <f t="shared" ref="AH4:AH51" si="4">AG4*AF4</f>
        <v>0</v>
      </c>
      <c r="AI4" s="9">
        <f>AH4/$AH$54</f>
        <v>0</v>
      </c>
      <c r="AJ4">
        <f>AI4*$O$5</f>
        <v>0</v>
      </c>
      <c r="AK4">
        <f t="shared" ref="AK4:AK51" si="5">AJ4/AF4</f>
        <v>0</v>
      </c>
    </row>
    <row r="5" spans="2:37" x14ac:dyDescent="0.2">
      <c r="C5" t="s">
        <v>48</v>
      </c>
      <c r="D5">
        <f>+D6+D7</f>
        <v>218.35895487151112</v>
      </c>
      <c r="E5">
        <f>+SUM(E6:E47)</f>
        <v>174.25723822562415</v>
      </c>
      <c r="G5" s="1" t="s">
        <v>55</v>
      </c>
      <c r="L5" t="s">
        <v>358</v>
      </c>
      <c r="N5">
        <f>+N4*L3</f>
        <v>30.98945991061861</v>
      </c>
      <c r="O5">
        <f>+O4*L3</f>
        <v>13.112256735268357</v>
      </c>
      <c r="P5" t="s">
        <v>54</v>
      </c>
      <c r="Q5">
        <v>4</v>
      </c>
      <c r="R5" s="5" t="s">
        <v>91</v>
      </c>
      <c r="S5" s="5">
        <v>0.24740000000000001</v>
      </c>
      <c r="T5" s="6">
        <v>4</v>
      </c>
      <c r="U5" s="6" t="s">
        <v>57</v>
      </c>
      <c r="W5">
        <f t="shared" si="0"/>
        <v>0.98960000000000004</v>
      </c>
      <c r="X5" s="8">
        <f t="shared" si="1"/>
        <v>1.2728630762821338E-3</v>
      </c>
      <c r="Y5">
        <f t="shared" si="2"/>
        <v>3.9445339274151864E-2</v>
      </c>
      <c r="Z5">
        <f t="shared" si="3"/>
        <v>9.861334818537966E-3</v>
      </c>
      <c r="AF5">
        <v>2</v>
      </c>
      <c r="AG5">
        <v>0</v>
      </c>
      <c r="AH5">
        <f t="shared" si="4"/>
        <v>0</v>
      </c>
      <c r="AI5" s="9">
        <f t="shared" ref="AI5:AI51" si="6">AH5/$AH$54</f>
        <v>0</v>
      </c>
      <c r="AJ5">
        <f t="shared" ref="AJ5:AJ51" si="7">AI5*$O$5</f>
        <v>0</v>
      </c>
      <c r="AK5">
        <f t="shared" si="5"/>
        <v>0</v>
      </c>
    </row>
    <row r="6" spans="2:37" x14ac:dyDescent="0.2">
      <c r="C6" t="s">
        <v>41</v>
      </c>
      <c r="D6">
        <v>52.733113232800932</v>
      </c>
      <c r="E6">
        <v>9.7384256181993205</v>
      </c>
      <c r="F6" s="9">
        <f>+(D6-E6)/D6</f>
        <v>0.81532617702264065</v>
      </c>
      <c r="G6" s="2"/>
      <c r="H6" s="2"/>
      <c r="I6" s="2"/>
      <c r="J6" s="2"/>
      <c r="L6">
        <f>+D7+D6-E6-E7</f>
        <v>90.51519961254148</v>
      </c>
      <c r="Q6">
        <v>5</v>
      </c>
      <c r="R6" s="5" t="s">
        <v>61</v>
      </c>
      <c r="S6" s="5">
        <v>9.5908000000000015</v>
      </c>
      <c r="T6" s="6">
        <v>5</v>
      </c>
      <c r="U6" s="6" t="s">
        <v>60</v>
      </c>
      <c r="W6">
        <f t="shared" si="0"/>
        <v>47.954000000000008</v>
      </c>
      <c r="X6" s="8">
        <f t="shared" si="1"/>
        <v>6.1680351616848678E-2</v>
      </c>
      <c r="Y6">
        <f t="shared" si="2"/>
        <v>1.9114407837031919</v>
      </c>
      <c r="Z6">
        <f t="shared" si="3"/>
        <v>0.38228815674063837</v>
      </c>
      <c r="AF6">
        <v>3</v>
      </c>
      <c r="AG6">
        <v>0</v>
      </c>
      <c r="AH6">
        <f t="shared" si="4"/>
        <v>0</v>
      </c>
      <c r="AI6" s="9">
        <f t="shared" si="6"/>
        <v>0</v>
      </c>
      <c r="AJ6">
        <f t="shared" si="7"/>
        <v>0</v>
      </c>
      <c r="AK6">
        <f t="shared" si="5"/>
        <v>0</v>
      </c>
    </row>
    <row r="7" spans="2:37" x14ac:dyDescent="0.2">
      <c r="B7">
        <v>1</v>
      </c>
      <c r="C7" t="s">
        <v>0</v>
      </c>
      <c r="D7">
        <v>165.62584163871017</v>
      </c>
      <c r="E7">
        <v>118.10532964077031</v>
      </c>
      <c r="F7" s="9">
        <f>+(D7-E7)/D7</f>
        <v>0.28691484087126501</v>
      </c>
      <c r="G7" s="2"/>
      <c r="H7" s="2"/>
      <c r="I7" s="2"/>
      <c r="J7" s="2"/>
      <c r="Q7">
        <v>6</v>
      </c>
      <c r="R7" s="3" t="s">
        <v>75</v>
      </c>
      <c r="S7" s="3">
        <v>0.84379999999999999</v>
      </c>
      <c r="T7" s="4">
        <v>5</v>
      </c>
      <c r="U7" s="4" t="s">
        <v>76</v>
      </c>
      <c r="W7">
        <f t="shared" si="0"/>
        <v>4.2190000000000003</v>
      </c>
      <c r="X7" s="8">
        <f t="shared" si="1"/>
        <v>5.4266464418293477E-3</v>
      </c>
      <c r="Y7">
        <f t="shared" si="2"/>
        <v>0.1681688423581717</v>
      </c>
      <c r="Z7">
        <f t="shared" si="3"/>
        <v>3.3633768471634337E-2</v>
      </c>
      <c r="AF7">
        <v>4</v>
      </c>
      <c r="AG7">
        <v>0</v>
      </c>
      <c r="AH7">
        <f t="shared" si="4"/>
        <v>0</v>
      </c>
      <c r="AI7" s="9">
        <f t="shared" si="6"/>
        <v>0</v>
      </c>
      <c r="AJ7">
        <f t="shared" si="7"/>
        <v>0</v>
      </c>
      <c r="AK7">
        <f t="shared" si="5"/>
        <v>0</v>
      </c>
    </row>
    <row r="8" spans="2:37" x14ac:dyDescent="0.2">
      <c r="B8">
        <v>8</v>
      </c>
      <c r="C8" t="s">
        <v>1</v>
      </c>
      <c r="E8">
        <v>0</v>
      </c>
      <c r="G8">
        <f>+E8/B8</f>
        <v>0</v>
      </c>
      <c r="H8" t="s">
        <v>60</v>
      </c>
      <c r="I8">
        <v>1</v>
      </c>
      <c r="Q8">
        <v>7</v>
      </c>
      <c r="R8" s="3" t="s">
        <v>81</v>
      </c>
      <c r="S8" s="3">
        <v>0.71390000000000009</v>
      </c>
      <c r="T8" s="4">
        <v>5</v>
      </c>
      <c r="U8" s="4" t="s">
        <v>57</v>
      </c>
      <c r="W8">
        <f t="shared" si="0"/>
        <v>3.5695000000000006</v>
      </c>
      <c r="X8" s="8">
        <f t="shared" si="1"/>
        <v>4.5912335800212985E-3</v>
      </c>
      <c r="Y8">
        <f t="shared" si="2"/>
        <v>0.14227984896835599</v>
      </c>
      <c r="Z8">
        <f t="shared" si="3"/>
        <v>2.8455969793671199E-2</v>
      </c>
      <c r="AF8">
        <v>5</v>
      </c>
      <c r="AG8">
        <v>0</v>
      </c>
      <c r="AH8">
        <f t="shared" si="4"/>
        <v>0</v>
      </c>
      <c r="AI8" s="9">
        <f t="shared" si="6"/>
        <v>0</v>
      </c>
      <c r="AJ8">
        <f t="shared" si="7"/>
        <v>0</v>
      </c>
      <c r="AK8">
        <f t="shared" si="5"/>
        <v>0</v>
      </c>
    </row>
    <row r="9" spans="2:37" x14ac:dyDescent="0.2">
      <c r="B9">
        <v>7</v>
      </c>
      <c r="C9" t="s">
        <v>2</v>
      </c>
      <c r="E9">
        <v>0</v>
      </c>
      <c r="G9">
        <f t="shared" ref="G9:G47" si="8">+E9/B9</f>
        <v>0</v>
      </c>
      <c r="H9" t="s">
        <v>67</v>
      </c>
      <c r="I9">
        <v>2</v>
      </c>
      <c r="Q9">
        <v>8</v>
      </c>
      <c r="R9" s="3" t="s">
        <v>90</v>
      </c>
      <c r="S9" s="3">
        <v>0.29859999999999998</v>
      </c>
      <c r="T9" s="4">
        <v>5</v>
      </c>
      <c r="U9" s="4" t="s">
        <v>73</v>
      </c>
      <c r="W9">
        <f t="shared" si="0"/>
        <v>1.4929999999999999</v>
      </c>
      <c r="X9" s="8">
        <f t="shared" si="1"/>
        <v>1.9203562781823216E-3</v>
      </c>
      <c r="Y9">
        <f t="shared" si="2"/>
        <v>5.9510803896835815E-2</v>
      </c>
      <c r="Z9">
        <f t="shared" si="3"/>
        <v>1.1902160779367163E-2</v>
      </c>
      <c r="AF9">
        <v>6</v>
      </c>
      <c r="AG9">
        <v>0</v>
      </c>
      <c r="AH9">
        <f t="shared" si="4"/>
        <v>0</v>
      </c>
      <c r="AI9" s="9">
        <f t="shared" si="6"/>
        <v>0</v>
      </c>
      <c r="AJ9">
        <f t="shared" si="7"/>
        <v>0</v>
      </c>
      <c r="AK9">
        <f t="shared" si="5"/>
        <v>0</v>
      </c>
    </row>
    <row r="10" spans="2:37" x14ac:dyDescent="0.2">
      <c r="B10">
        <v>9</v>
      </c>
      <c r="C10" t="s">
        <v>3</v>
      </c>
      <c r="E10">
        <v>0.1859545584906285</v>
      </c>
      <c r="G10">
        <f t="shared" si="8"/>
        <v>2.0661617610069835E-2</v>
      </c>
      <c r="H10" t="s">
        <v>67</v>
      </c>
      <c r="I10">
        <v>3</v>
      </c>
      <c r="Q10">
        <v>9</v>
      </c>
      <c r="R10" s="3" t="s">
        <v>56</v>
      </c>
      <c r="S10" s="3">
        <v>9.5949000000000009</v>
      </c>
      <c r="T10" s="4">
        <v>6</v>
      </c>
      <c r="U10" s="4" t="s">
        <v>57</v>
      </c>
      <c r="W10">
        <f t="shared" si="0"/>
        <v>57.569400000000002</v>
      </c>
      <c r="X10" s="8">
        <f t="shared" si="1"/>
        <v>7.4048063443529377E-2</v>
      </c>
      <c r="Y10">
        <f t="shared" si="2"/>
        <v>2.294709493542197</v>
      </c>
      <c r="Z10">
        <f t="shared" si="3"/>
        <v>0.38245158225703285</v>
      </c>
      <c r="AF10">
        <v>7</v>
      </c>
      <c r="AG10">
        <v>0</v>
      </c>
      <c r="AH10">
        <f t="shared" si="4"/>
        <v>0</v>
      </c>
      <c r="AI10" s="9">
        <f t="shared" si="6"/>
        <v>0</v>
      </c>
      <c r="AJ10">
        <f t="shared" si="7"/>
        <v>0</v>
      </c>
      <c r="AK10">
        <f t="shared" si="5"/>
        <v>0</v>
      </c>
    </row>
    <row r="11" spans="2:37" x14ac:dyDescent="0.2">
      <c r="B11">
        <v>8</v>
      </c>
      <c r="C11" t="s">
        <v>4</v>
      </c>
      <c r="E11">
        <v>0</v>
      </c>
      <c r="G11">
        <f t="shared" si="8"/>
        <v>0</v>
      </c>
      <c r="H11" t="s">
        <v>67</v>
      </c>
      <c r="I11">
        <v>4</v>
      </c>
      <c r="Q11">
        <v>10</v>
      </c>
      <c r="R11" s="5" t="s">
        <v>69</v>
      </c>
      <c r="S11" s="5">
        <v>3.8918999999999997</v>
      </c>
      <c r="T11" s="6">
        <v>6</v>
      </c>
      <c r="U11" s="6" t="s">
        <v>60</v>
      </c>
      <c r="W11">
        <f t="shared" si="0"/>
        <v>23.351399999999998</v>
      </c>
      <c r="X11" s="8">
        <f t="shared" si="1"/>
        <v>3.0035504081946864E-2</v>
      </c>
      <c r="Y11">
        <f t="shared" si="2"/>
        <v>0.930784049642714</v>
      </c>
      <c r="Z11">
        <f t="shared" si="3"/>
        <v>0.15513067494045232</v>
      </c>
      <c r="AF11">
        <v>8</v>
      </c>
      <c r="AG11">
        <v>2.5</v>
      </c>
      <c r="AH11">
        <f t="shared" si="4"/>
        <v>20</v>
      </c>
      <c r="AI11" s="9">
        <f t="shared" si="6"/>
        <v>1.3580498404291439E-2</v>
      </c>
      <c r="AJ11">
        <f t="shared" si="7"/>
        <v>0.1780709816699716</v>
      </c>
      <c r="AK11">
        <f t="shared" si="5"/>
        <v>2.2258872708746449E-2</v>
      </c>
    </row>
    <row r="12" spans="2:37" x14ac:dyDescent="0.2">
      <c r="B12">
        <v>8</v>
      </c>
      <c r="C12" t="s">
        <v>5</v>
      </c>
      <c r="E12">
        <v>0.23707881336147504</v>
      </c>
      <c r="G12">
        <f t="shared" si="8"/>
        <v>2.963485167018438E-2</v>
      </c>
      <c r="H12" t="s">
        <v>67</v>
      </c>
      <c r="I12">
        <v>5</v>
      </c>
      <c r="Q12">
        <v>11</v>
      </c>
      <c r="R12" s="3" t="s">
        <v>72</v>
      </c>
      <c r="S12" s="3">
        <v>0.96410000000000007</v>
      </c>
      <c r="T12" s="4">
        <v>6</v>
      </c>
      <c r="U12" s="4" t="s">
        <v>73</v>
      </c>
      <c r="W12">
        <f t="shared" si="0"/>
        <v>5.7846000000000002</v>
      </c>
      <c r="X12" s="8">
        <f t="shared" si="1"/>
        <v>7.4403837419782046E-3</v>
      </c>
      <c r="Y12">
        <f t="shared" si="2"/>
        <v>0.23057347369165204</v>
      </c>
      <c r="Z12">
        <f t="shared" si="3"/>
        <v>3.8428912281942007E-2</v>
      </c>
      <c r="AF12">
        <v>9</v>
      </c>
      <c r="AG12">
        <v>3.0999999999999996</v>
      </c>
      <c r="AH12">
        <f t="shared" si="4"/>
        <v>27.9</v>
      </c>
      <c r="AI12" s="9">
        <f t="shared" si="6"/>
        <v>1.8944795273986556E-2</v>
      </c>
      <c r="AJ12">
        <f t="shared" si="7"/>
        <v>0.24840901942961036</v>
      </c>
      <c r="AK12">
        <f t="shared" si="5"/>
        <v>2.7601002158845596E-2</v>
      </c>
    </row>
    <row r="13" spans="2:37" x14ac:dyDescent="0.2">
      <c r="B13">
        <v>8</v>
      </c>
      <c r="C13" t="s">
        <v>6</v>
      </c>
      <c r="E13">
        <v>0</v>
      </c>
      <c r="G13">
        <f t="shared" si="8"/>
        <v>0</v>
      </c>
      <c r="H13" t="s">
        <v>67</v>
      </c>
      <c r="I13">
        <v>6</v>
      </c>
      <c r="Q13">
        <v>12</v>
      </c>
      <c r="R13" s="5" t="s">
        <v>96</v>
      </c>
      <c r="S13" s="5">
        <v>0.109</v>
      </c>
      <c r="T13" s="6">
        <v>6</v>
      </c>
      <c r="U13" s="6" t="s">
        <v>76</v>
      </c>
      <c r="W13">
        <f t="shared" si="0"/>
        <v>0.65400000000000003</v>
      </c>
      <c r="X13" s="8">
        <f t="shared" si="1"/>
        <v>8.4120094168200837E-4</v>
      </c>
      <c r="Y13">
        <f t="shared" si="2"/>
        <v>2.606836285902922E-2</v>
      </c>
      <c r="Z13">
        <f t="shared" si="3"/>
        <v>4.3447271431715367E-3</v>
      </c>
      <c r="AF13">
        <v>10</v>
      </c>
      <c r="AG13">
        <v>7.9</v>
      </c>
      <c r="AH13">
        <f t="shared" si="4"/>
        <v>79</v>
      </c>
      <c r="AI13" s="9">
        <f t="shared" si="6"/>
        <v>5.3642968696951183E-2</v>
      </c>
      <c r="AJ13">
        <f t="shared" si="7"/>
        <v>0.70338037759638783</v>
      </c>
      <c r="AK13">
        <f t="shared" si="5"/>
        <v>7.0338037759638788E-2</v>
      </c>
    </row>
    <row r="14" spans="2:37" x14ac:dyDescent="0.2">
      <c r="B14">
        <v>8</v>
      </c>
      <c r="C14" t="s">
        <v>7</v>
      </c>
      <c r="E14">
        <v>0</v>
      </c>
      <c r="G14">
        <f t="shared" si="8"/>
        <v>0</v>
      </c>
      <c r="H14" t="s">
        <v>67</v>
      </c>
      <c r="I14">
        <v>7</v>
      </c>
      <c r="Q14">
        <v>13</v>
      </c>
      <c r="R14" s="3" t="s">
        <v>98</v>
      </c>
      <c r="S14" s="3">
        <v>0.08</v>
      </c>
      <c r="T14" s="4">
        <v>6</v>
      </c>
      <c r="U14" s="4" t="s">
        <v>67</v>
      </c>
      <c r="W14">
        <f t="shared" si="0"/>
        <v>0.48</v>
      </c>
      <c r="X14" s="8">
        <f t="shared" si="1"/>
        <v>6.1739518655560242E-4</v>
      </c>
      <c r="Y14">
        <f t="shared" si="2"/>
        <v>1.913274338277374E-2</v>
      </c>
      <c r="Z14">
        <f t="shared" si="3"/>
        <v>3.1887905637956234E-3</v>
      </c>
      <c r="AF14">
        <v>11</v>
      </c>
      <c r="AG14">
        <v>9.1000000000000014</v>
      </c>
      <c r="AH14">
        <f t="shared" si="4"/>
        <v>100.10000000000002</v>
      </c>
      <c r="AI14" s="9">
        <f t="shared" si="6"/>
        <v>6.7970394513478666E-2</v>
      </c>
      <c r="AJ14">
        <f t="shared" si="7"/>
        <v>0.89124526325820796</v>
      </c>
      <c r="AK14">
        <f t="shared" si="5"/>
        <v>8.1022296659837081E-2</v>
      </c>
    </row>
    <row r="15" spans="2:37" x14ac:dyDescent="0.2">
      <c r="B15">
        <v>9</v>
      </c>
      <c r="C15" t="s">
        <v>8</v>
      </c>
      <c r="E15">
        <v>0</v>
      </c>
      <c r="G15">
        <f t="shared" si="8"/>
        <v>0</v>
      </c>
      <c r="H15" t="s">
        <v>67</v>
      </c>
      <c r="I15">
        <v>8</v>
      </c>
      <c r="Q15">
        <v>14</v>
      </c>
      <c r="R15" s="5" t="s">
        <v>58</v>
      </c>
      <c r="S15" s="5">
        <v>8.1823999999999995</v>
      </c>
      <c r="T15" s="6">
        <v>7</v>
      </c>
      <c r="U15" s="6" t="s">
        <v>57</v>
      </c>
      <c r="W15">
        <f t="shared" si="0"/>
        <v>57.276799999999994</v>
      </c>
      <c r="X15" s="8">
        <f t="shared" si="1"/>
        <v>7.3671709627724846E-2</v>
      </c>
      <c r="Y15">
        <f t="shared" si="2"/>
        <v>2.2830464920551141</v>
      </c>
      <c r="Z15">
        <f t="shared" si="3"/>
        <v>0.32614949886501632</v>
      </c>
      <c r="AF15">
        <v>12</v>
      </c>
      <c r="AG15">
        <v>10.5</v>
      </c>
      <c r="AH15">
        <f t="shared" si="4"/>
        <v>126</v>
      </c>
      <c r="AI15" s="9">
        <f t="shared" si="6"/>
        <v>8.5557139947036065E-2</v>
      </c>
      <c r="AJ15">
        <f t="shared" si="7"/>
        <v>1.1218471845208211</v>
      </c>
      <c r="AK15">
        <f t="shared" si="5"/>
        <v>9.3487265376735088E-2</v>
      </c>
    </row>
    <row r="16" spans="2:37" x14ac:dyDescent="0.2">
      <c r="B16">
        <v>10</v>
      </c>
      <c r="C16" t="s">
        <v>9</v>
      </c>
      <c r="E16">
        <v>0</v>
      </c>
      <c r="G16">
        <f t="shared" si="8"/>
        <v>0</v>
      </c>
      <c r="H16" t="s">
        <v>60</v>
      </c>
      <c r="I16">
        <v>9</v>
      </c>
      <c r="Q16">
        <v>15</v>
      </c>
      <c r="R16" s="3" t="s">
        <v>70</v>
      </c>
      <c r="S16" s="3">
        <v>5.7110999999999992</v>
      </c>
      <c r="T16" s="4">
        <v>7</v>
      </c>
      <c r="U16" s="4" t="s">
        <v>60</v>
      </c>
      <c r="W16">
        <f t="shared" si="0"/>
        <v>39.977699999999992</v>
      </c>
      <c r="X16" s="8">
        <f t="shared" si="1"/>
        <v>5.1420915728258132E-2</v>
      </c>
      <c r="Y16">
        <f t="shared" si="2"/>
        <v>1.5935064065281532</v>
      </c>
      <c r="Z16">
        <f t="shared" si="3"/>
        <v>0.22764377236116476</v>
      </c>
      <c r="AF16">
        <v>13</v>
      </c>
      <c r="AG16">
        <v>10.899999999999999</v>
      </c>
      <c r="AH16">
        <f t="shared" si="4"/>
        <v>141.69999999999999</v>
      </c>
      <c r="AI16" s="9">
        <f t="shared" si="6"/>
        <v>9.6217831194404843E-2</v>
      </c>
      <c r="AJ16">
        <f t="shared" si="7"/>
        <v>1.2616329051317487</v>
      </c>
      <c r="AK16">
        <f t="shared" si="5"/>
        <v>9.7048685010134514E-2</v>
      </c>
    </row>
    <row r="17" spans="2:37" x14ac:dyDescent="0.2">
      <c r="B17">
        <v>10</v>
      </c>
      <c r="C17" t="s">
        <v>10</v>
      </c>
      <c r="E17">
        <v>4.237325706173338E-2</v>
      </c>
      <c r="G17">
        <f t="shared" si="8"/>
        <v>4.2373257061733378E-3</v>
      </c>
      <c r="H17" t="s">
        <v>76</v>
      </c>
      <c r="I17">
        <v>10</v>
      </c>
      <c r="Q17">
        <v>16</v>
      </c>
      <c r="R17" s="3" t="s">
        <v>83</v>
      </c>
      <c r="S17" s="3">
        <v>0.87059999999999993</v>
      </c>
      <c r="T17" s="4">
        <v>7</v>
      </c>
      <c r="U17" s="4" t="s">
        <v>73</v>
      </c>
      <c r="W17">
        <f t="shared" si="0"/>
        <v>6.0941999999999998</v>
      </c>
      <c r="X17" s="8">
        <f t="shared" si="1"/>
        <v>7.8386036373065682E-3</v>
      </c>
      <c r="Y17">
        <f t="shared" si="2"/>
        <v>0.24291409317354112</v>
      </c>
      <c r="Z17">
        <f t="shared" si="3"/>
        <v>3.4702013310505875E-2</v>
      </c>
      <c r="AF17">
        <v>14</v>
      </c>
      <c r="AG17">
        <v>10.700000000000003</v>
      </c>
      <c r="AH17">
        <f t="shared" si="4"/>
        <v>149.80000000000004</v>
      </c>
      <c r="AI17" s="9">
        <f t="shared" si="6"/>
        <v>0.1017179330481429</v>
      </c>
      <c r="AJ17">
        <f t="shared" si="7"/>
        <v>1.3337516527080875</v>
      </c>
      <c r="AK17">
        <f t="shared" si="5"/>
        <v>9.5267975193434815E-2</v>
      </c>
    </row>
    <row r="18" spans="2:37" x14ac:dyDescent="0.2">
      <c r="B18">
        <v>1</v>
      </c>
      <c r="C18" t="s">
        <v>11</v>
      </c>
      <c r="E18">
        <v>10.675347629281321</v>
      </c>
      <c r="G18">
        <f t="shared" si="8"/>
        <v>10.675347629281321</v>
      </c>
      <c r="H18" t="s">
        <v>76</v>
      </c>
      <c r="I18">
        <v>11</v>
      </c>
      <c r="Q18">
        <v>17</v>
      </c>
      <c r="R18" s="3" t="s">
        <v>2</v>
      </c>
      <c r="S18" s="3">
        <v>0.21390000000000001</v>
      </c>
      <c r="T18" s="4">
        <v>7</v>
      </c>
      <c r="U18" s="4" t="s">
        <v>67</v>
      </c>
      <c r="W18">
        <f t="shared" si="0"/>
        <v>1.4973000000000001</v>
      </c>
      <c r="X18" s="8">
        <f t="shared" si="1"/>
        <v>1.9258871100618826E-3</v>
      </c>
      <c r="Y18">
        <f t="shared" si="2"/>
        <v>5.9682201389639838E-2</v>
      </c>
      <c r="Z18">
        <f t="shared" si="3"/>
        <v>8.5260287699485491E-3</v>
      </c>
      <c r="AF18">
        <v>15</v>
      </c>
      <c r="AG18">
        <v>9.5</v>
      </c>
      <c r="AH18">
        <f t="shared" si="4"/>
        <v>142.5</v>
      </c>
      <c r="AI18" s="9">
        <f t="shared" si="6"/>
        <v>9.6761051130576509E-2</v>
      </c>
      <c r="AJ18">
        <f t="shared" si="7"/>
        <v>1.2687557443985478</v>
      </c>
      <c r="AK18">
        <f t="shared" si="5"/>
        <v>8.4583716293236522E-2</v>
      </c>
    </row>
    <row r="19" spans="2:37" x14ac:dyDescent="0.2">
      <c r="B19">
        <v>2</v>
      </c>
      <c r="C19" t="s">
        <v>12</v>
      </c>
      <c r="E19">
        <v>6.2719479811499799</v>
      </c>
      <c r="G19">
        <f t="shared" si="8"/>
        <v>3.1359739905749899</v>
      </c>
      <c r="H19" t="s">
        <v>60</v>
      </c>
      <c r="I19">
        <v>12</v>
      </c>
      <c r="Q19">
        <v>18</v>
      </c>
      <c r="R19" s="3" t="s">
        <v>59</v>
      </c>
      <c r="S19" s="3">
        <v>9.3793000000000024</v>
      </c>
      <c r="T19" s="4">
        <v>8</v>
      </c>
      <c r="U19" s="4" t="s">
        <v>60</v>
      </c>
      <c r="W19">
        <f t="shared" si="0"/>
        <v>75.034400000000019</v>
      </c>
      <c r="X19" s="8">
        <f t="shared" si="1"/>
        <v>9.6512244554349397E-2</v>
      </c>
      <c r="Y19">
        <f t="shared" si="2"/>
        <v>2.99086233350083</v>
      </c>
      <c r="Z19">
        <f t="shared" si="3"/>
        <v>0.37385779168760375</v>
      </c>
      <c r="AF19">
        <v>16</v>
      </c>
      <c r="AG19">
        <v>7.7000000000000028</v>
      </c>
      <c r="AH19">
        <f t="shared" si="4"/>
        <v>123.20000000000005</v>
      </c>
      <c r="AI19" s="9">
        <f t="shared" si="6"/>
        <v>8.3655870170435298E-2</v>
      </c>
      <c r="AJ19">
        <f t="shared" si="7"/>
        <v>1.0969172470870254</v>
      </c>
      <c r="AK19">
        <f t="shared" si="5"/>
        <v>6.8557327942939089E-2</v>
      </c>
    </row>
    <row r="20" spans="2:37" x14ac:dyDescent="0.2">
      <c r="B20">
        <v>2</v>
      </c>
      <c r="C20" t="s">
        <v>13</v>
      </c>
      <c r="E20">
        <v>0</v>
      </c>
      <c r="G20">
        <f t="shared" si="8"/>
        <v>0</v>
      </c>
      <c r="H20" t="s">
        <v>60</v>
      </c>
      <c r="I20">
        <v>13</v>
      </c>
      <c r="Q20">
        <v>19</v>
      </c>
      <c r="R20" s="5" t="s">
        <v>66</v>
      </c>
      <c r="S20" s="5">
        <v>1.7669999999999999</v>
      </c>
      <c r="T20" s="6">
        <v>8</v>
      </c>
      <c r="U20" s="6" t="s">
        <v>67</v>
      </c>
      <c r="W20">
        <f t="shared" si="0"/>
        <v>14.135999999999999</v>
      </c>
      <c r="X20" s="8">
        <f t="shared" si="1"/>
        <v>1.818228824406249E-2</v>
      </c>
      <c r="Y20">
        <f t="shared" si="2"/>
        <v>0.56345929262268657</v>
      </c>
      <c r="Z20">
        <f t="shared" si="3"/>
        <v>7.0432411577835821E-2</v>
      </c>
      <c r="AF20">
        <v>17</v>
      </c>
      <c r="AG20">
        <v>6.6999999999999886</v>
      </c>
      <c r="AH20">
        <f t="shared" si="4"/>
        <v>113.89999999999981</v>
      </c>
      <c r="AI20" s="9">
        <f t="shared" si="6"/>
        <v>7.7340938412439608E-2</v>
      </c>
      <c r="AJ20">
        <f t="shared" si="7"/>
        <v>1.0141142406104864</v>
      </c>
      <c r="AK20">
        <f t="shared" si="5"/>
        <v>5.9653778859440378E-2</v>
      </c>
    </row>
    <row r="21" spans="2:37" x14ac:dyDescent="0.2">
      <c r="B21">
        <v>2</v>
      </c>
      <c r="C21" t="s">
        <v>14</v>
      </c>
      <c r="E21">
        <v>1.4764743214745784</v>
      </c>
      <c r="G21">
        <f t="shared" si="8"/>
        <v>0.73823716073728918</v>
      </c>
      <c r="H21" t="s">
        <v>76</v>
      </c>
      <c r="I21">
        <v>14</v>
      </c>
      <c r="Q21">
        <v>20</v>
      </c>
      <c r="R21" s="3" t="s">
        <v>68</v>
      </c>
      <c r="S21" s="3">
        <v>3.4165000000000005</v>
      </c>
      <c r="T21" s="4">
        <v>8</v>
      </c>
      <c r="U21" s="4" t="s">
        <v>57</v>
      </c>
      <c r="W21">
        <f t="shared" si="0"/>
        <v>27.332000000000004</v>
      </c>
      <c r="X21" s="8">
        <f t="shared" si="1"/>
        <v>3.5155510914453604E-2</v>
      </c>
      <c r="Y21">
        <f t="shared" si="2"/>
        <v>1.089450296120775</v>
      </c>
      <c r="Z21">
        <f t="shared" si="3"/>
        <v>0.13618128701509688</v>
      </c>
      <c r="AF21">
        <v>18</v>
      </c>
      <c r="AG21">
        <v>6.2000000000000028</v>
      </c>
      <c r="AH21">
        <f t="shared" si="4"/>
        <v>111.60000000000005</v>
      </c>
      <c r="AI21" s="9">
        <f t="shared" si="6"/>
        <v>7.5779181095946266E-2</v>
      </c>
      <c r="AJ21">
        <f t="shared" si="7"/>
        <v>0.99363607771844198</v>
      </c>
      <c r="AK21">
        <f t="shared" si="5"/>
        <v>5.520200431769122E-2</v>
      </c>
    </row>
    <row r="22" spans="2:37" x14ac:dyDescent="0.2">
      <c r="B22">
        <v>3</v>
      </c>
      <c r="C22" t="s">
        <v>15</v>
      </c>
      <c r="E22">
        <v>9.4890646906416247</v>
      </c>
      <c r="G22">
        <f t="shared" si="8"/>
        <v>3.1630215635472081</v>
      </c>
      <c r="H22" t="s">
        <v>60</v>
      </c>
      <c r="I22">
        <v>15</v>
      </c>
      <c r="Q22">
        <v>21</v>
      </c>
      <c r="R22" s="5" t="s">
        <v>80</v>
      </c>
      <c r="S22" s="5">
        <v>1.5335999999999999</v>
      </c>
      <c r="T22" s="6">
        <v>8</v>
      </c>
      <c r="U22" s="6" t="s">
        <v>73</v>
      </c>
      <c r="W22">
        <f t="shared" si="0"/>
        <v>12.268799999999999</v>
      </c>
      <c r="X22" s="8">
        <f t="shared" si="1"/>
        <v>1.5780620968361199E-2</v>
      </c>
      <c r="Y22">
        <f t="shared" si="2"/>
        <v>0.48903292086369682</v>
      </c>
      <c r="Z22">
        <f t="shared" si="3"/>
        <v>6.1129115107962102E-2</v>
      </c>
      <c r="AF22">
        <v>19</v>
      </c>
      <c r="AG22">
        <v>2.8</v>
      </c>
      <c r="AH22">
        <f t="shared" si="4"/>
        <v>53.199999999999996</v>
      </c>
      <c r="AI22" s="9">
        <f t="shared" si="6"/>
        <v>3.6124125755415223E-2</v>
      </c>
      <c r="AJ22">
        <f t="shared" si="7"/>
        <v>0.4736688112421244</v>
      </c>
      <c r="AK22">
        <f t="shared" si="5"/>
        <v>2.4929937433796023E-2</v>
      </c>
    </row>
    <row r="23" spans="2:37" x14ac:dyDescent="0.2">
      <c r="B23">
        <v>3</v>
      </c>
      <c r="C23" t="s">
        <v>16</v>
      </c>
      <c r="E23">
        <v>0.95002476699031513</v>
      </c>
      <c r="G23">
        <f t="shared" si="8"/>
        <v>0.31667492233010502</v>
      </c>
      <c r="H23" t="s">
        <v>76</v>
      </c>
      <c r="I23">
        <v>16</v>
      </c>
      <c r="Q23">
        <v>22</v>
      </c>
      <c r="R23" s="5" t="s">
        <v>104</v>
      </c>
      <c r="S23" s="5">
        <v>3.3300000000000003E-2</v>
      </c>
      <c r="T23" s="6">
        <v>8</v>
      </c>
      <c r="U23" s="6" t="s">
        <v>76</v>
      </c>
      <c r="W23">
        <f t="shared" si="0"/>
        <v>0.26640000000000003</v>
      </c>
      <c r="X23" s="8">
        <f t="shared" si="1"/>
        <v>3.426543285383594E-4</v>
      </c>
      <c r="Y23">
        <f t="shared" si="2"/>
        <v>1.0618672577439427E-2</v>
      </c>
      <c r="Z23">
        <f t="shared" si="3"/>
        <v>1.3273340721799284E-3</v>
      </c>
      <c r="AF23">
        <v>20</v>
      </c>
      <c r="AG23">
        <v>2.2000000000000002</v>
      </c>
      <c r="AH23">
        <f t="shared" si="4"/>
        <v>44</v>
      </c>
      <c r="AI23" s="9">
        <f t="shared" si="6"/>
        <v>2.9877096489441167E-2</v>
      </c>
      <c r="AJ23">
        <f t="shared" si="7"/>
        <v>0.39175615967393751</v>
      </c>
      <c r="AK23">
        <f t="shared" si="5"/>
        <v>1.9587807983696876E-2</v>
      </c>
    </row>
    <row r="24" spans="2:37" x14ac:dyDescent="0.2">
      <c r="B24">
        <v>2</v>
      </c>
      <c r="C24" t="s">
        <v>17</v>
      </c>
      <c r="E24">
        <v>0</v>
      </c>
      <c r="G24">
        <f t="shared" si="8"/>
        <v>0</v>
      </c>
      <c r="H24" t="s">
        <v>337</v>
      </c>
      <c r="I24">
        <v>17</v>
      </c>
      <c r="Q24">
        <v>23</v>
      </c>
      <c r="R24" s="3" t="s">
        <v>62</v>
      </c>
      <c r="S24" s="3">
        <v>8.9827999999999992</v>
      </c>
      <c r="T24" s="4">
        <v>9</v>
      </c>
      <c r="U24" s="4" t="s">
        <v>57</v>
      </c>
      <c r="W24">
        <f t="shared" si="0"/>
        <v>80.845199999999991</v>
      </c>
      <c r="X24" s="8">
        <f t="shared" si="1"/>
        <v>0.10398632778359372</v>
      </c>
      <c r="Y24">
        <f t="shared" si="2"/>
        <v>3.2224801361021238</v>
      </c>
      <c r="Z24">
        <f t="shared" si="3"/>
        <v>0.35805334845579151</v>
      </c>
      <c r="AF24">
        <v>21</v>
      </c>
      <c r="AG24">
        <v>2</v>
      </c>
      <c r="AH24">
        <f t="shared" si="4"/>
        <v>42</v>
      </c>
      <c r="AI24" s="9">
        <f t="shared" si="6"/>
        <v>2.8519046649012024E-2</v>
      </c>
      <c r="AJ24">
        <f t="shared" si="7"/>
        <v>0.37394906150694035</v>
      </c>
      <c r="AK24">
        <f t="shared" si="5"/>
        <v>1.780709816699716E-2</v>
      </c>
    </row>
    <row r="25" spans="2:37" x14ac:dyDescent="0.2">
      <c r="B25">
        <v>1</v>
      </c>
      <c r="C25" t="s">
        <v>18</v>
      </c>
      <c r="E25">
        <v>0.80481481478060724</v>
      </c>
      <c r="G25">
        <f t="shared" si="8"/>
        <v>0.80481481478060724</v>
      </c>
      <c r="H25" t="s">
        <v>337</v>
      </c>
      <c r="I25">
        <v>18</v>
      </c>
      <c r="Q25">
        <v>24</v>
      </c>
      <c r="R25" s="5" t="s">
        <v>74</v>
      </c>
      <c r="S25" s="5">
        <v>1.6554000000000002</v>
      </c>
      <c r="T25" s="6">
        <v>9</v>
      </c>
      <c r="U25" s="6" t="s">
        <v>60</v>
      </c>
      <c r="W25">
        <f t="shared" si="0"/>
        <v>14.898600000000002</v>
      </c>
      <c r="X25" s="8">
        <f t="shared" si="1"/>
        <v>1.916317484670271E-2</v>
      </c>
      <c r="Y25">
        <f t="shared" si="2"/>
        <v>0.5938564386720685</v>
      </c>
      <c r="Z25">
        <f t="shared" si="3"/>
        <v>6.598404874134095E-2</v>
      </c>
      <c r="AF25">
        <v>22</v>
      </c>
      <c r="AG25">
        <v>1.8</v>
      </c>
      <c r="AH25">
        <f t="shared" si="4"/>
        <v>39.6</v>
      </c>
      <c r="AI25" s="9">
        <f t="shared" si="6"/>
        <v>2.6889386840497052E-2</v>
      </c>
      <c r="AJ25">
        <f t="shared" si="7"/>
        <v>0.35258054370654379</v>
      </c>
      <c r="AK25">
        <f t="shared" si="5"/>
        <v>1.6026388350297446E-2</v>
      </c>
    </row>
    <row r="26" spans="2:37" x14ac:dyDescent="0.2">
      <c r="B26">
        <v>4</v>
      </c>
      <c r="C26" t="s">
        <v>19</v>
      </c>
      <c r="E26">
        <v>9.5241106737228534E-2</v>
      </c>
      <c r="G26">
        <f t="shared" si="8"/>
        <v>2.3810276684307134E-2</v>
      </c>
      <c r="H26" t="s">
        <v>60</v>
      </c>
      <c r="I26">
        <v>19</v>
      </c>
      <c r="Q26">
        <v>25</v>
      </c>
      <c r="R26" s="3" t="s">
        <v>77</v>
      </c>
      <c r="S26" s="5">
        <v>2.3319999999999999</v>
      </c>
      <c r="T26" s="4">
        <v>9</v>
      </c>
      <c r="U26" s="4" t="s">
        <v>67</v>
      </c>
      <c r="W26">
        <f t="shared" si="0"/>
        <v>20.988</v>
      </c>
      <c r="X26" s="8">
        <f t="shared" si="1"/>
        <v>2.6995604532143717E-2</v>
      </c>
      <c r="Y26">
        <f t="shared" si="2"/>
        <v>0.8365792044117818</v>
      </c>
      <c r="Z26">
        <f t="shared" si="3"/>
        <v>9.2953244934642423E-2</v>
      </c>
      <c r="AF26">
        <v>23</v>
      </c>
      <c r="AG26">
        <v>1.6</v>
      </c>
      <c r="AH26">
        <f t="shared" si="4"/>
        <v>36.800000000000004</v>
      </c>
      <c r="AI26" s="9">
        <f t="shared" si="6"/>
        <v>2.498811706389625E-2</v>
      </c>
      <c r="AJ26">
        <f t="shared" si="7"/>
        <v>0.32765060627274778</v>
      </c>
      <c r="AK26">
        <f t="shared" si="5"/>
        <v>1.424567853359773E-2</v>
      </c>
    </row>
    <row r="27" spans="2:37" x14ac:dyDescent="0.2">
      <c r="B27">
        <v>4</v>
      </c>
      <c r="C27" t="s">
        <v>20</v>
      </c>
      <c r="E27">
        <v>6.797763476842225</v>
      </c>
      <c r="G27">
        <f t="shared" si="8"/>
        <v>1.6994408692105563</v>
      </c>
      <c r="H27" t="s">
        <v>60</v>
      </c>
      <c r="I27">
        <v>20</v>
      </c>
      <c r="Q27">
        <v>26</v>
      </c>
      <c r="R27" s="5" t="s">
        <v>78</v>
      </c>
      <c r="S27" s="5">
        <v>0.71689999999999998</v>
      </c>
      <c r="T27" s="6">
        <v>9</v>
      </c>
      <c r="U27" s="6" t="s">
        <v>76</v>
      </c>
      <c r="W27">
        <f t="shared" si="0"/>
        <v>6.4520999999999997</v>
      </c>
      <c r="X27" s="8">
        <f t="shared" si="1"/>
        <v>8.2989489232820884E-3</v>
      </c>
      <c r="Y27">
        <f t="shared" si="2"/>
        <v>0.25717994495832175</v>
      </c>
      <c r="Z27">
        <f t="shared" si="3"/>
        <v>2.8575549439813528E-2</v>
      </c>
      <c r="AF27">
        <v>24</v>
      </c>
      <c r="AG27">
        <v>1.5</v>
      </c>
      <c r="AH27">
        <f t="shared" si="4"/>
        <v>36</v>
      </c>
      <c r="AI27" s="9">
        <f t="shared" si="6"/>
        <v>2.4444897127724591E-2</v>
      </c>
      <c r="AJ27">
        <f t="shared" si="7"/>
        <v>0.32052776700594887</v>
      </c>
      <c r="AK27">
        <f t="shared" si="5"/>
        <v>1.335532362524787E-2</v>
      </c>
    </row>
    <row r="28" spans="2:37" x14ac:dyDescent="0.2">
      <c r="B28">
        <v>4</v>
      </c>
      <c r="C28" t="s">
        <v>21</v>
      </c>
      <c r="E28">
        <v>0.94263751239641103</v>
      </c>
      <c r="G28">
        <f t="shared" si="8"/>
        <v>0.23565937809910276</v>
      </c>
      <c r="H28" t="s">
        <v>76</v>
      </c>
      <c r="I28">
        <v>21</v>
      </c>
      <c r="Q28">
        <v>27</v>
      </c>
      <c r="R28" s="5" t="s">
        <v>86</v>
      </c>
      <c r="S28" s="5">
        <v>0.93319999999999992</v>
      </c>
      <c r="T28" s="6">
        <v>9</v>
      </c>
      <c r="U28" s="6" t="s">
        <v>73</v>
      </c>
      <c r="W28">
        <f t="shared" si="0"/>
        <v>8.3987999999999996</v>
      </c>
      <c r="X28" s="8">
        <f t="shared" si="1"/>
        <v>1.0802872276756654E-2</v>
      </c>
      <c r="Y28">
        <f t="shared" si="2"/>
        <v>0.3347751773400835</v>
      </c>
      <c r="Z28">
        <f t="shared" si="3"/>
        <v>3.7197241926675943E-2</v>
      </c>
      <c r="AF28">
        <v>25</v>
      </c>
      <c r="AG28">
        <v>1.3</v>
      </c>
      <c r="AH28">
        <f t="shared" si="4"/>
        <v>32.5</v>
      </c>
      <c r="AI28" s="9">
        <f t="shared" si="6"/>
        <v>2.2068309906973588E-2</v>
      </c>
      <c r="AJ28">
        <f t="shared" si="7"/>
        <v>0.28936534521370383</v>
      </c>
      <c r="AK28">
        <f t="shared" si="5"/>
        <v>1.1574613808548153E-2</v>
      </c>
    </row>
    <row r="29" spans="2:37" x14ac:dyDescent="0.2">
      <c r="B29">
        <v>4</v>
      </c>
      <c r="C29" t="s">
        <v>22</v>
      </c>
      <c r="E29">
        <v>0.10482259240399017</v>
      </c>
      <c r="G29">
        <f t="shared" si="8"/>
        <v>2.6205648100997542E-2</v>
      </c>
      <c r="H29" t="s">
        <v>60</v>
      </c>
      <c r="I29">
        <v>22</v>
      </c>
      <c r="Q29">
        <v>28</v>
      </c>
      <c r="R29" s="5" t="s">
        <v>63</v>
      </c>
      <c r="S29" s="5">
        <v>3.3315000000000001</v>
      </c>
      <c r="T29" s="6">
        <v>10</v>
      </c>
      <c r="U29" s="6" t="s">
        <v>60</v>
      </c>
      <c r="W29">
        <f t="shared" si="0"/>
        <v>33.314999999999998</v>
      </c>
      <c r="X29" s="8">
        <f t="shared" si="1"/>
        <v>4.2851084666874782E-2</v>
      </c>
      <c r="Y29">
        <f t="shared" si="2"/>
        <v>1.3279319704106398</v>
      </c>
      <c r="Z29">
        <f t="shared" si="3"/>
        <v>0.13279319704106399</v>
      </c>
      <c r="AF29">
        <v>26</v>
      </c>
      <c r="AG29">
        <v>1.1000000000000001</v>
      </c>
      <c r="AH29">
        <f t="shared" si="4"/>
        <v>28.6</v>
      </c>
      <c r="AI29" s="9">
        <f t="shared" si="6"/>
        <v>1.9420112718136758E-2</v>
      </c>
      <c r="AJ29">
        <f t="shared" si="7"/>
        <v>0.25464150378805939</v>
      </c>
      <c r="AK29">
        <f t="shared" si="5"/>
        <v>9.7939039918484381E-3</v>
      </c>
    </row>
    <row r="30" spans="2:37" x14ac:dyDescent="0.2">
      <c r="B30">
        <v>5</v>
      </c>
      <c r="C30" t="s">
        <v>23</v>
      </c>
      <c r="E30">
        <v>1.0492923814001394</v>
      </c>
      <c r="G30">
        <f t="shared" si="8"/>
        <v>0.20985847628002788</v>
      </c>
      <c r="H30" t="s">
        <v>60</v>
      </c>
      <c r="I30">
        <v>23</v>
      </c>
      <c r="Q30">
        <v>29</v>
      </c>
      <c r="R30" s="5" t="s">
        <v>84</v>
      </c>
      <c r="S30" s="5">
        <v>3.0536000000000003</v>
      </c>
      <c r="T30" s="6">
        <v>10</v>
      </c>
      <c r="U30" s="6" t="s">
        <v>57</v>
      </c>
      <c r="W30">
        <f t="shared" si="0"/>
        <v>30.536000000000001</v>
      </c>
      <c r="X30" s="8">
        <f t="shared" si="1"/>
        <v>3.9276623784712243E-2</v>
      </c>
      <c r="Y30">
        <f t="shared" si="2"/>
        <v>1.2171613582007894</v>
      </c>
      <c r="Z30">
        <f t="shared" si="3"/>
        <v>0.12171613582007894</v>
      </c>
      <c r="AF30">
        <v>27</v>
      </c>
      <c r="AG30">
        <v>0.9</v>
      </c>
      <c r="AH30">
        <f t="shared" si="4"/>
        <v>24.3</v>
      </c>
      <c r="AI30" s="9">
        <f t="shared" si="6"/>
        <v>1.6500305561214099E-2</v>
      </c>
      <c r="AJ30">
        <f t="shared" si="7"/>
        <v>0.21635624272901549</v>
      </c>
      <c r="AK30">
        <f t="shared" si="5"/>
        <v>8.0131941751487214E-3</v>
      </c>
    </row>
    <row r="31" spans="2:37" x14ac:dyDescent="0.2">
      <c r="B31">
        <v>5</v>
      </c>
      <c r="C31" t="s">
        <v>24</v>
      </c>
      <c r="E31">
        <v>0</v>
      </c>
      <c r="G31">
        <f t="shared" si="8"/>
        <v>0</v>
      </c>
      <c r="H31" t="s">
        <v>57</v>
      </c>
      <c r="I31">
        <v>24</v>
      </c>
      <c r="Q31">
        <v>30</v>
      </c>
      <c r="R31" s="3" t="s">
        <v>85</v>
      </c>
      <c r="S31" s="3">
        <v>2.3726000000000003</v>
      </c>
      <c r="T31" s="4">
        <v>10</v>
      </c>
      <c r="U31" s="4" t="s">
        <v>67</v>
      </c>
      <c r="W31">
        <f t="shared" si="0"/>
        <v>23.726000000000003</v>
      </c>
      <c r="X31" s="8">
        <f t="shared" si="1"/>
        <v>3.0517329575454638E-2</v>
      </c>
      <c r="Y31">
        <f t="shared" si="2"/>
        <v>0.9457155614576872</v>
      </c>
      <c r="Z31">
        <f t="shared" si="3"/>
        <v>9.4571556145768718E-2</v>
      </c>
      <c r="AF31">
        <v>28</v>
      </c>
      <c r="AG31">
        <v>0</v>
      </c>
      <c r="AH31">
        <f t="shared" si="4"/>
        <v>0</v>
      </c>
      <c r="AI31" s="9">
        <f t="shared" si="6"/>
        <v>0</v>
      </c>
      <c r="AJ31">
        <f t="shared" si="7"/>
        <v>0</v>
      </c>
      <c r="AK31">
        <f t="shared" si="5"/>
        <v>0</v>
      </c>
    </row>
    <row r="32" spans="2:37" x14ac:dyDescent="0.2">
      <c r="B32">
        <v>5</v>
      </c>
      <c r="C32" t="s">
        <v>25</v>
      </c>
      <c r="E32">
        <v>0</v>
      </c>
      <c r="G32">
        <f t="shared" si="8"/>
        <v>0</v>
      </c>
      <c r="H32" t="s">
        <v>60</v>
      </c>
      <c r="I32">
        <v>25</v>
      </c>
      <c r="Q32">
        <v>31</v>
      </c>
      <c r="R32" s="5" t="s">
        <v>88</v>
      </c>
      <c r="S32" s="5">
        <v>1.9381999999999999</v>
      </c>
      <c r="T32" s="6">
        <v>10</v>
      </c>
      <c r="U32" s="6" t="s">
        <v>73</v>
      </c>
      <c r="W32">
        <f t="shared" si="0"/>
        <v>19.381999999999998</v>
      </c>
      <c r="X32" s="8">
        <f t="shared" si="1"/>
        <v>2.4929903137126428E-2</v>
      </c>
      <c r="Y32">
        <f t="shared" si="2"/>
        <v>0.77256423384358452</v>
      </c>
      <c r="Z32">
        <f t="shared" si="3"/>
        <v>7.7256423384358452E-2</v>
      </c>
      <c r="AF32">
        <v>29</v>
      </c>
      <c r="AG32">
        <v>0</v>
      </c>
      <c r="AH32">
        <f t="shared" si="4"/>
        <v>0</v>
      </c>
      <c r="AI32" s="9">
        <f t="shared" si="6"/>
        <v>0</v>
      </c>
      <c r="AJ32">
        <f t="shared" si="7"/>
        <v>0</v>
      </c>
      <c r="AK32">
        <f t="shared" si="5"/>
        <v>0</v>
      </c>
    </row>
    <row r="33" spans="2:37" x14ac:dyDescent="0.2">
      <c r="B33">
        <v>5</v>
      </c>
      <c r="C33" t="s">
        <v>26</v>
      </c>
      <c r="E33">
        <v>4.2067971119334739</v>
      </c>
      <c r="G33">
        <f t="shared" si="8"/>
        <v>0.84135942238669481</v>
      </c>
      <c r="H33" t="s">
        <v>60</v>
      </c>
      <c r="I33">
        <v>26</v>
      </c>
      <c r="Q33">
        <v>32</v>
      </c>
      <c r="R33" s="5" t="s">
        <v>65</v>
      </c>
      <c r="S33" s="5">
        <v>2.0365000000000002</v>
      </c>
      <c r="T33" s="6">
        <v>11</v>
      </c>
      <c r="U33" s="6" t="s">
        <v>60</v>
      </c>
      <c r="W33">
        <f t="shared" si="0"/>
        <v>22.401500000000002</v>
      </c>
      <c r="X33" s="8">
        <f t="shared" si="1"/>
        <v>2.8813704732552771E-2</v>
      </c>
      <c r="Y33">
        <f t="shared" si="2"/>
        <v>0.89292114768584585</v>
      </c>
      <c r="Z33">
        <f t="shared" si="3"/>
        <v>8.1174649789622355E-2</v>
      </c>
      <c r="AF33">
        <v>30</v>
      </c>
      <c r="AG33">
        <v>0</v>
      </c>
      <c r="AH33">
        <f t="shared" si="4"/>
        <v>0</v>
      </c>
      <c r="AI33" s="9">
        <f t="shared" si="6"/>
        <v>0</v>
      </c>
      <c r="AJ33">
        <f t="shared" si="7"/>
        <v>0</v>
      </c>
      <c r="AK33">
        <f t="shared" si="5"/>
        <v>0</v>
      </c>
    </row>
    <row r="34" spans="2:37" x14ac:dyDescent="0.2">
      <c r="B34">
        <v>5</v>
      </c>
      <c r="C34" t="s">
        <v>27</v>
      </c>
      <c r="E34">
        <v>0.61706152285223359</v>
      </c>
      <c r="G34">
        <f t="shared" si="8"/>
        <v>0.12341230457044672</v>
      </c>
      <c r="H34" t="s">
        <v>60</v>
      </c>
      <c r="I34">
        <v>27</v>
      </c>
      <c r="Q34">
        <v>33</v>
      </c>
      <c r="R34" s="5" t="s">
        <v>82</v>
      </c>
      <c r="S34" s="5">
        <v>3.1631000000000009</v>
      </c>
      <c r="T34" s="6">
        <v>11</v>
      </c>
      <c r="U34" s="6" t="s">
        <v>57</v>
      </c>
      <c r="W34">
        <f t="shared" si="0"/>
        <v>34.794100000000007</v>
      </c>
      <c r="X34" s="8">
        <f t="shared" si="1"/>
        <v>4.4753562209446443E-2</v>
      </c>
      <c r="Y34">
        <f t="shared" si="2"/>
        <v>1.3868887219470165</v>
      </c>
      <c r="Z34">
        <f t="shared" si="3"/>
        <v>0.12608079290427424</v>
      </c>
      <c r="AF34">
        <v>31</v>
      </c>
      <c r="AG34">
        <v>0</v>
      </c>
      <c r="AH34">
        <f t="shared" si="4"/>
        <v>0</v>
      </c>
      <c r="AI34" s="9">
        <f t="shared" si="6"/>
        <v>0</v>
      </c>
      <c r="AJ34">
        <f t="shared" si="7"/>
        <v>0</v>
      </c>
      <c r="AK34">
        <f t="shared" si="5"/>
        <v>0</v>
      </c>
    </row>
    <row r="35" spans="2:37" x14ac:dyDescent="0.2">
      <c r="B35">
        <v>5</v>
      </c>
      <c r="C35" t="s">
        <v>28</v>
      </c>
      <c r="E35">
        <v>0</v>
      </c>
      <c r="G35">
        <f t="shared" si="8"/>
        <v>0</v>
      </c>
      <c r="H35" t="s">
        <v>76</v>
      </c>
      <c r="I35">
        <v>28</v>
      </c>
      <c r="Q35">
        <v>34</v>
      </c>
      <c r="R35" s="5" t="s">
        <v>89</v>
      </c>
      <c r="S35" s="5">
        <v>1.2678999999999996</v>
      </c>
      <c r="T35" s="6">
        <v>11</v>
      </c>
      <c r="U35" s="6" t="s">
        <v>67</v>
      </c>
      <c r="W35">
        <f t="shared" si="0"/>
        <v>13.946899999999996</v>
      </c>
      <c r="X35" s="8">
        <f t="shared" si="1"/>
        <v>1.7939060265359019E-2</v>
      </c>
      <c r="Y35">
        <f t="shared" si="2"/>
        <v>0.55592178892751454</v>
      </c>
      <c r="Z35">
        <f t="shared" si="3"/>
        <v>5.0538344447955866E-2</v>
      </c>
      <c r="AF35">
        <v>32</v>
      </c>
      <c r="AG35">
        <v>0</v>
      </c>
      <c r="AH35">
        <f t="shared" si="4"/>
        <v>0</v>
      </c>
      <c r="AI35" s="9">
        <f t="shared" si="6"/>
        <v>0</v>
      </c>
      <c r="AJ35">
        <f t="shared" si="7"/>
        <v>0</v>
      </c>
      <c r="AK35">
        <f t="shared" si="5"/>
        <v>0</v>
      </c>
    </row>
    <row r="36" spans="2:37" x14ac:dyDescent="0.2">
      <c r="B36">
        <v>6</v>
      </c>
      <c r="C36" t="s">
        <v>29</v>
      </c>
      <c r="E36">
        <v>5.7142603683641283E-2</v>
      </c>
      <c r="G36">
        <f t="shared" si="8"/>
        <v>9.5237672806068804E-3</v>
      </c>
      <c r="H36" t="s">
        <v>60</v>
      </c>
      <c r="I36">
        <v>29</v>
      </c>
      <c r="Q36">
        <v>35</v>
      </c>
      <c r="R36" s="3" t="s">
        <v>97</v>
      </c>
      <c r="S36" s="3">
        <v>8.2199999999999995E-2</v>
      </c>
      <c r="T36" s="4">
        <v>11</v>
      </c>
      <c r="U36" s="4" t="s">
        <v>76</v>
      </c>
      <c r="W36">
        <f t="shared" si="0"/>
        <v>0.90419999999999989</v>
      </c>
      <c r="X36" s="8">
        <f t="shared" si="1"/>
        <v>1.1630181826741159E-3</v>
      </c>
      <c r="Y36">
        <f t="shared" si="2"/>
        <v>3.6041305347300025E-2</v>
      </c>
      <c r="Z36">
        <f t="shared" si="3"/>
        <v>3.2764823043000021E-3</v>
      </c>
      <c r="AF36">
        <v>33</v>
      </c>
      <c r="AG36">
        <v>0</v>
      </c>
      <c r="AH36">
        <f t="shared" si="4"/>
        <v>0</v>
      </c>
      <c r="AI36" s="9">
        <f t="shared" si="6"/>
        <v>0</v>
      </c>
      <c r="AJ36">
        <f t="shared" si="7"/>
        <v>0</v>
      </c>
      <c r="AK36">
        <f t="shared" si="5"/>
        <v>0</v>
      </c>
    </row>
    <row r="37" spans="2:37" x14ac:dyDescent="0.2">
      <c r="B37">
        <v>6</v>
      </c>
      <c r="C37" t="s">
        <v>30</v>
      </c>
      <c r="E37">
        <v>0.713697202686008</v>
      </c>
      <c r="G37">
        <f t="shared" si="8"/>
        <v>0.11894953378100133</v>
      </c>
      <c r="H37" t="s">
        <v>57</v>
      </c>
      <c r="I37">
        <v>30</v>
      </c>
      <c r="Q37">
        <v>36</v>
      </c>
      <c r="R37" s="5" t="s">
        <v>71</v>
      </c>
      <c r="S37" s="5">
        <v>2.2295999999999996</v>
      </c>
      <c r="T37" s="6">
        <v>12</v>
      </c>
      <c r="U37" s="6" t="s">
        <v>57</v>
      </c>
      <c r="W37">
        <f t="shared" si="0"/>
        <v>26.755199999999995</v>
      </c>
      <c r="X37" s="8">
        <f t="shared" si="1"/>
        <v>3.4413607698609273E-2</v>
      </c>
      <c r="Y37">
        <f t="shared" si="2"/>
        <v>1.0664591161558081</v>
      </c>
      <c r="Z37">
        <f t="shared" si="3"/>
        <v>8.8871593012984015E-2</v>
      </c>
      <c r="AF37">
        <v>34</v>
      </c>
      <c r="AG37">
        <v>0</v>
      </c>
      <c r="AH37">
        <f t="shared" si="4"/>
        <v>0</v>
      </c>
      <c r="AI37" s="9">
        <f t="shared" si="6"/>
        <v>0</v>
      </c>
      <c r="AJ37">
        <f t="shared" si="7"/>
        <v>0</v>
      </c>
      <c r="AK37">
        <f t="shared" si="5"/>
        <v>0</v>
      </c>
    </row>
    <row r="38" spans="2:37" x14ac:dyDescent="0.2">
      <c r="B38">
        <v>6</v>
      </c>
      <c r="C38" t="s">
        <v>31</v>
      </c>
      <c r="E38">
        <v>0</v>
      </c>
      <c r="G38">
        <f t="shared" si="8"/>
        <v>0</v>
      </c>
      <c r="H38" t="s">
        <v>60</v>
      </c>
      <c r="I38">
        <v>31</v>
      </c>
      <c r="Q38">
        <v>37</v>
      </c>
      <c r="R38" s="5" t="s">
        <v>92</v>
      </c>
      <c r="S38" s="5">
        <v>0.219</v>
      </c>
      <c r="T38" s="6">
        <v>12</v>
      </c>
      <c r="U38" s="6" t="s">
        <v>60</v>
      </c>
      <c r="W38">
        <f t="shared" si="0"/>
        <v>2.6280000000000001</v>
      </c>
      <c r="X38" s="8">
        <f t="shared" si="1"/>
        <v>3.3802386463919237E-3</v>
      </c>
      <c r="Y38">
        <f t="shared" si="2"/>
        <v>0.10475177002068624</v>
      </c>
      <c r="Z38">
        <f t="shared" si="3"/>
        <v>8.7293141683905204E-3</v>
      </c>
      <c r="AF38">
        <v>35</v>
      </c>
      <c r="AG38">
        <v>0</v>
      </c>
      <c r="AH38">
        <f t="shared" si="4"/>
        <v>0</v>
      </c>
      <c r="AI38" s="9">
        <f t="shared" si="6"/>
        <v>0</v>
      </c>
      <c r="AJ38">
        <f t="shared" si="7"/>
        <v>0</v>
      </c>
      <c r="AK38">
        <f t="shared" si="5"/>
        <v>0</v>
      </c>
    </row>
    <row r="39" spans="2:37" x14ac:dyDescent="0.2">
      <c r="B39">
        <v>6</v>
      </c>
      <c r="C39" t="s">
        <v>32</v>
      </c>
      <c r="E39">
        <v>1.6828534763962264</v>
      </c>
      <c r="G39">
        <f t="shared" si="8"/>
        <v>0.28047557939937107</v>
      </c>
      <c r="H39" t="s">
        <v>60</v>
      </c>
      <c r="I39">
        <v>32</v>
      </c>
      <c r="Q39">
        <v>38</v>
      </c>
      <c r="R39" s="3" t="s">
        <v>93</v>
      </c>
      <c r="S39" s="3">
        <v>0.2006</v>
      </c>
      <c r="T39" s="4">
        <v>12</v>
      </c>
      <c r="U39" s="4" t="s">
        <v>73</v>
      </c>
      <c r="W39">
        <f t="shared" si="0"/>
        <v>2.4072</v>
      </c>
      <c r="X39" s="8">
        <f t="shared" si="1"/>
        <v>3.0962368605763463E-3</v>
      </c>
      <c r="Y39">
        <f t="shared" si="2"/>
        <v>9.5950708064610313E-2</v>
      </c>
      <c r="Z39">
        <f t="shared" si="3"/>
        <v>7.9958923387175255E-3</v>
      </c>
      <c r="AF39">
        <v>36</v>
      </c>
      <c r="AG39">
        <v>0</v>
      </c>
      <c r="AH39">
        <f t="shared" si="4"/>
        <v>0</v>
      </c>
      <c r="AI39" s="9">
        <f t="shared" si="6"/>
        <v>0</v>
      </c>
      <c r="AJ39">
        <f t="shared" si="7"/>
        <v>0</v>
      </c>
      <c r="AK39">
        <f t="shared" si="5"/>
        <v>0</v>
      </c>
    </row>
    <row r="40" spans="2:37" x14ac:dyDescent="0.2">
      <c r="B40">
        <v>6</v>
      </c>
      <c r="C40" t="s">
        <v>33</v>
      </c>
      <c r="E40">
        <v>1.3582680831758547E-4</v>
      </c>
      <c r="G40">
        <f t="shared" si="8"/>
        <v>2.2637801386264244E-5</v>
      </c>
      <c r="H40" t="s">
        <v>60</v>
      </c>
      <c r="I40">
        <v>33</v>
      </c>
      <c r="Q40">
        <v>39</v>
      </c>
      <c r="R40" s="5" t="s">
        <v>94</v>
      </c>
      <c r="S40" s="5">
        <v>0.77190000000000003</v>
      </c>
      <c r="T40" s="6">
        <v>12</v>
      </c>
      <c r="U40" s="6" t="s">
        <v>67</v>
      </c>
      <c r="W40">
        <f t="shared" si="0"/>
        <v>9.2628000000000004</v>
      </c>
      <c r="X40" s="8">
        <f t="shared" si="1"/>
        <v>1.191418361255674E-2</v>
      </c>
      <c r="Y40">
        <f t="shared" si="2"/>
        <v>0.36921411542907628</v>
      </c>
      <c r="Z40">
        <f t="shared" si="3"/>
        <v>3.0767842952423023E-2</v>
      </c>
      <c r="AF40">
        <v>37</v>
      </c>
      <c r="AG40">
        <v>0</v>
      </c>
      <c r="AH40">
        <f t="shared" si="4"/>
        <v>0</v>
      </c>
      <c r="AI40" s="9">
        <f t="shared" si="6"/>
        <v>0</v>
      </c>
      <c r="AJ40">
        <f t="shared" si="7"/>
        <v>0</v>
      </c>
      <c r="AK40">
        <f t="shared" si="5"/>
        <v>0</v>
      </c>
    </row>
    <row r="41" spans="2:37" x14ac:dyDescent="0.2">
      <c r="B41">
        <v>6</v>
      </c>
      <c r="C41" t="s">
        <v>34</v>
      </c>
      <c r="E41">
        <v>1.0260710783712797E-2</v>
      </c>
      <c r="G41">
        <f t="shared" si="8"/>
        <v>1.7101184639521328E-3</v>
      </c>
      <c r="H41" t="s">
        <v>76</v>
      </c>
      <c r="I41">
        <v>34</v>
      </c>
      <c r="Q41">
        <v>40</v>
      </c>
      <c r="R41" s="3" t="s">
        <v>95</v>
      </c>
      <c r="S41" s="3">
        <v>0.80540000000000012</v>
      </c>
      <c r="T41" s="4">
        <v>13</v>
      </c>
      <c r="U41" s="4" t="s">
        <v>57</v>
      </c>
      <c r="W41">
        <f t="shared" si="0"/>
        <v>10.470200000000002</v>
      </c>
      <c r="X41" s="8">
        <f t="shared" si="1"/>
        <v>1.3467189754738479E-2</v>
      </c>
      <c r="Y41">
        <f t="shared" si="2"/>
        <v>0.41734093701316177</v>
      </c>
      <c r="Z41">
        <f t="shared" si="3"/>
        <v>3.2103149001012445E-2</v>
      </c>
      <c r="AF41">
        <v>38</v>
      </c>
      <c r="AG41">
        <v>0</v>
      </c>
      <c r="AH41">
        <f t="shared" si="4"/>
        <v>0</v>
      </c>
      <c r="AI41" s="9">
        <f t="shared" si="6"/>
        <v>0</v>
      </c>
      <c r="AJ41">
        <f t="shared" si="7"/>
        <v>0</v>
      </c>
      <c r="AK41">
        <f t="shared" si="5"/>
        <v>0</v>
      </c>
    </row>
    <row r="42" spans="2:37" x14ac:dyDescent="0.2">
      <c r="B42">
        <v>6</v>
      </c>
      <c r="C42" t="s">
        <v>35</v>
      </c>
      <c r="E42">
        <v>2.8853364570846229E-5</v>
      </c>
      <c r="G42">
        <f t="shared" si="8"/>
        <v>4.8088940951410379E-6</v>
      </c>
      <c r="H42" t="s">
        <v>60</v>
      </c>
      <c r="I42">
        <v>35</v>
      </c>
      <c r="Q42">
        <v>41</v>
      </c>
      <c r="R42" s="5" t="s">
        <v>100</v>
      </c>
      <c r="S42" s="5">
        <v>6.9599999999999995E-2</v>
      </c>
      <c r="T42" s="6">
        <v>13</v>
      </c>
      <c r="U42" s="6" t="s">
        <v>60</v>
      </c>
      <c r="W42">
        <f t="shared" si="0"/>
        <v>0.90479999999999994</v>
      </c>
      <c r="X42" s="8">
        <f t="shared" si="1"/>
        <v>1.1637899266573105E-3</v>
      </c>
      <c r="Y42">
        <f t="shared" si="2"/>
        <v>3.6065221276528496E-2</v>
      </c>
      <c r="Z42">
        <f t="shared" si="3"/>
        <v>2.774247790502192E-3</v>
      </c>
      <c r="AF42">
        <v>39</v>
      </c>
      <c r="AG42">
        <v>0</v>
      </c>
      <c r="AH42">
        <f t="shared" si="4"/>
        <v>0</v>
      </c>
      <c r="AI42" s="9">
        <f t="shared" si="6"/>
        <v>0</v>
      </c>
      <c r="AJ42">
        <f t="shared" si="7"/>
        <v>0</v>
      </c>
      <c r="AK42">
        <f t="shared" si="5"/>
        <v>0</v>
      </c>
    </row>
    <row r="43" spans="2:37" x14ac:dyDescent="0.2">
      <c r="B43">
        <v>7</v>
      </c>
      <c r="C43" t="s">
        <v>36</v>
      </c>
      <c r="E43">
        <v>1.2955173961717785E-4</v>
      </c>
      <c r="G43">
        <f t="shared" si="8"/>
        <v>1.8507391373882549E-5</v>
      </c>
      <c r="H43" t="s">
        <v>57</v>
      </c>
      <c r="I43">
        <v>36</v>
      </c>
      <c r="Q43">
        <v>42</v>
      </c>
      <c r="R43" s="3" t="s">
        <v>103</v>
      </c>
      <c r="S43" s="3">
        <v>0.18319999999999995</v>
      </c>
      <c r="T43" s="4">
        <v>14</v>
      </c>
      <c r="U43" s="4" t="s">
        <v>57</v>
      </c>
      <c r="W43">
        <f t="shared" si="0"/>
        <v>2.5647999999999991</v>
      </c>
      <c r="X43" s="8">
        <f t="shared" si="1"/>
        <v>3.2989482801621013E-3</v>
      </c>
      <c r="Y43">
        <f t="shared" si="2"/>
        <v>0.10223262547528765</v>
      </c>
      <c r="Z43">
        <f t="shared" si="3"/>
        <v>7.3023303910919749E-3</v>
      </c>
      <c r="AF43">
        <v>40</v>
      </c>
      <c r="AG43">
        <v>0</v>
      </c>
      <c r="AH43">
        <f t="shared" si="4"/>
        <v>0</v>
      </c>
      <c r="AI43" s="9">
        <f t="shared" si="6"/>
        <v>0</v>
      </c>
      <c r="AJ43">
        <f t="shared" si="7"/>
        <v>0</v>
      </c>
      <c r="AK43">
        <f t="shared" si="5"/>
        <v>0</v>
      </c>
    </row>
    <row r="44" spans="2:37" x14ac:dyDescent="0.2">
      <c r="B44">
        <v>7</v>
      </c>
      <c r="C44" t="s">
        <v>37</v>
      </c>
      <c r="E44">
        <v>4.2533781759719884E-4</v>
      </c>
      <c r="G44">
        <f t="shared" si="8"/>
        <v>6.0762545371028406E-5</v>
      </c>
      <c r="H44" t="s">
        <v>60</v>
      </c>
      <c r="I44">
        <v>37</v>
      </c>
      <c r="Q44">
        <v>43</v>
      </c>
      <c r="R44" s="5" t="s">
        <v>99</v>
      </c>
      <c r="S44" s="5">
        <v>0.14449999999999999</v>
      </c>
      <c r="T44" s="6">
        <v>15</v>
      </c>
      <c r="U44" s="6" t="s">
        <v>57</v>
      </c>
      <c r="W44">
        <f t="shared" si="0"/>
        <v>2.1675</v>
      </c>
      <c r="X44" s="8">
        <f t="shared" si="1"/>
        <v>2.7879251392901425E-3</v>
      </c>
      <c r="Y44">
        <f t="shared" si="2"/>
        <v>8.6396294337837673E-2</v>
      </c>
      <c r="Z44">
        <f t="shared" si="3"/>
        <v>5.7597529558558449E-3</v>
      </c>
      <c r="AF44">
        <v>48</v>
      </c>
      <c r="AH44">
        <f t="shared" si="4"/>
        <v>0</v>
      </c>
      <c r="AI44" s="9">
        <f t="shared" si="6"/>
        <v>0</v>
      </c>
      <c r="AJ44">
        <f t="shared" si="7"/>
        <v>0</v>
      </c>
      <c r="AK44">
        <f t="shared" si="5"/>
        <v>0</v>
      </c>
    </row>
    <row r="45" spans="2:37" x14ac:dyDescent="0.2">
      <c r="B45">
        <v>7</v>
      </c>
      <c r="C45" t="s">
        <v>38</v>
      </c>
      <c r="E45">
        <v>1.6481284452615967E-3</v>
      </c>
      <c r="G45">
        <f t="shared" si="8"/>
        <v>2.3544692075165666E-4</v>
      </c>
      <c r="H45" t="s">
        <v>60</v>
      </c>
      <c r="I45">
        <v>38</v>
      </c>
      <c r="Q45">
        <v>44</v>
      </c>
      <c r="R45" s="5" t="s">
        <v>101</v>
      </c>
      <c r="S45" s="5">
        <v>0.36849999999999994</v>
      </c>
      <c r="T45" s="6">
        <v>16</v>
      </c>
      <c r="U45" s="6" t="s">
        <v>57</v>
      </c>
      <c r="W45">
        <f t="shared" si="0"/>
        <v>5.895999999999999</v>
      </c>
      <c r="X45" s="8">
        <f t="shared" si="1"/>
        <v>7.5836708748579819E-3</v>
      </c>
      <c r="Y45">
        <f t="shared" si="2"/>
        <v>0.23501386455173739</v>
      </c>
      <c r="Z45">
        <f t="shared" si="3"/>
        <v>1.4688366534483587E-2</v>
      </c>
      <c r="AF45">
        <v>49</v>
      </c>
      <c r="AH45">
        <f t="shared" si="4"/>
        <v>0</v>
      </c>
      <c r="AI45" s="9">
        <f t="shared" si="6"/>
        <v>0</v>
      </c>
      <c r="AJ45">
        <f t="shared" si="7"/>
        <v>0</v>
      </c>
      <c r="AK45">
        <f t="shared" si="5"/>
        <v>0</v>
      </c>
    </row>
    <row r="46" spans="2:37" x14ac:dyDescent="0.2">
      <c r="B46">
        <v>7</v>
      </c>
      <c r="C46" t="s">
        <v>39</v>
      </c>
      <c r="E46">
        <v>3.7961470066785014E-4</v>
      </c>
      <c r="G46">
        <f t="shared" si="8"/>
        <v>5.4230671523978589E-5</v>
      </c>
      <c r="H46" t="s">
        <v>76</v>
      </c>
      <c r="I46">
        <v>39</v>
      </c>
      <c r="Q46">
        <v>45</v>
      </c>
      <c r="R46" s="5" t="s">
        <v>102</v>
      </c>
      <c r="S46" s="5">
        <v>0.13650000000000001</v>
      </c>
      <c r="T46" s="6">
        <v>17</v>
      </c>
      <c r="U46" s="6" t="s">
        <v>57</v>
      </c>
      <c r="W46">
        <f t="shared" ref="W46" si="9">S46*T46</f>
        <v>2.3205</v>
      </c>
      <c r="X46" s="8">
        <f t="shared" si="1"/>
        <v>2.9847198550047404E-3</v>
      </c>
      <c r="Y46">
        <f t="shared" si="2"/>
        <v>9.24948562910968E-2</v>
      </c>
      <c r="Z46">
        <f t="shared" si="3"/>
        <v>5.4408738994762822E-3</v>
      </c>
      <c r="AF46">
        <v>50</v>
      </c>
      <c r="AH46">
        <f t="shared" si="4"/>
        <v>0</v>
      </c>
      <c r="AI46" s="9">
        <f t="shared" si="6"/>
        <v>0</v>
      </c>
      <c r="AJ46">
        <f t="shared" si="7"/>
        <v>0</v>
      </c>
      <c r="AK46">
        <f t="shared" si="5"/>
        <v>0</v>
      </c>
    </row>
    <row r="47" spans="2:37" x14ac:dyDescent="0.2">
      <c r="B47">
        <v>7</v>
      </c>
      <c r="C47" t="s">
        <v>40</v>
      </c>
      <c r="E47">
        <v>8.5122430986704498E-5</v>
      </c>
      <c r="G47">
        <f t="shared" si="8"/>
        <v>1.2160347283814928E-5</v>
      </c>
      <c r="H47" t="s">
        <v>60</v>
      </c>
      <c r="I47">
        <v>40</v>
      </c>
      <c r="AF47">
        <v>51</v>
      </c>
      <c r="AH47">
        <f t="shared" si="4"/>
        <v>0</v>
      </c>
      <c r="AI47" s="9">
        <f t="shared" si="6"/>
        <v>0</v>
      </c>
      <c r="AJ47">
        <f t="shared" si="7"/>
        <v>0</v>
      </c>
      <c r="AK47">
        <f t="shared" si="5"/>
        <v>0</v>
      </c>
    </row>
    <row r="48" spans="2:37" x14ac:dyDescent="0.2">
      <c r="B48">
        <v>1</v>
      </c>
      <c r="I48">
        <v>41</v>
      </c>
      <c r="W48">
        <f>SUM(W2:W46)</f>
        <v>777.45989999999995</v>
      </c>
      <c r="AF48">
        <v>52</v>
      </c>
      <c r="AH48">
        <f t="shared" si="4"/>
        <v>0</v>
      </c>
      <c r="AI48" s="9">
        <f t="shared" si="6"/>
        <v>0</v>
      </c>
      <c r="AJ48">
        <f t="shared" si="7"/>
        <v>0</v>
      </c>
      <c r="AK48">
        <f t="shared" si="5"/>
        <v>0</v>
      </c>
    </row>
    <row r="49" spans="2:37" x14ac:dyDescent="0.2">
      <c r="B49">
        <v>1</v>
      </c>
      <c r="I49">
        <v>42</v>
      </c>
      <c r="AF49">
        <v>53</v>
      </c>
      <c r="AH49">
        <f t="shared" si="4"/>
        <v>0</v>
      </c>
      <c r="AI49" s="9">
        <f t="shared" si="6"/>
        <v>0</v>
      </c>
      <c r="AJ49">
        <f t="shared" si="7"/>
        <v>0</v>
      </c>
      <c r="AK49">
        <f t="shared" si="5"/>
        <v>0</v>
      </c>
    </row>
    <row r="50" spans="2:37" x14ac:dyDescent="0.2">
      <c r="AF50">
        <v>54</v>
      </c>
      <c r="AH50">
        <f t="shared" si="4"/>
        <v>0</v>
      </c>
      <c r="AI50" s="9">
        <f t="shared" si="6"/>
        <v>0</v>
      </c>
      <c r="AJ50">
        <f t="shared" si="7"/>
        <v>0</v>
      </c>
      <c r="AK50">
        <f t="shared" si="5"/>
        <v>0</v>
      </c>
    </row>
    <row r="51" spans="2:37" x14ac:dyDescent="0.2">
      <c r="AF51">
        <v>55</v>
      </c>
      <c r="AH51">
        <f t="shared" si="4"/>
        <v>0</v>
      </c>
      <c r="AI51" s="9">
        <f t="shared" si="6"/>
        <v>0</v>
      </c>
      <c r="AJ51">
        <f t="shared" si="7"/>
        <v>0</v>
      </c>
      <c r="AK51">
        <f t="shared" si="5"/>
        <v>0</v>
      </c>
    </row>
    <row r="54" spans="2:37" x14ac:dyDescent="0.2">
      <c r="E54">
        <f>+SUM(E8:E49)</f>
        <v>46.41348296665457</v>
      </c>
      <c r="G54">
        <f>SUM(G4:G51)</f>
        <v>22.459417805066803</v>
      </c>
      <c r="Y54">
        <f>+SUM(Y1:Y49)</f>
        <v>30.989459910618617</v>
      </c>
      <c r="Z54">
        <f>+SUM(Z1:Z49)</f>
        <v>3.9859762467799156</v>
      </c>
      <c r="AH54">
        <f>SUM(AH4:AH51)</f>
        <v>1472.6999999999998</v>
      </c>
      <c r="AJ54">
        <f>SUM(AJ4:AJ51)</f>
        <v>13.112256735268357</v>
      </c>
      <c r="AK54">
        <f>SUM(AK4:AK51)</f>
        <v>0.89035490834985775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56A9-42CD-BC42-951D-88DCD0AD5EC9}">
  <dimension ref="A2:AI127"/>
  <sheetViews>
    <sheetView topLeftCell="F39" zoomScale="75" workbookViewId="0">
      <selection activeCell="X6" sqref="X6:X73"/>
    </sheetView>
  </sheetViews>
  <sheetFormatPr baseColWidth="10" defaultRowHeight="16" x14ac:dyDescent="0.2"/>
  <cols>
    <col min="3" max="3" width="15.5" bestFit="1" customWidth="1"/>
    <col min="4" max="4" width="26.33203125" bestFit="1" customWidth="1"/>
    <col min="14" max="14" width="17.5" bestFit="1" customWidth="1"/>
    <col min="15" max="15" width="11" bestFit="1" customWidth="1"/>
    <col min="16" max="16" width="13.6640625" bestFit="1" customWidth="1"/>
    <col min="17" max="17" width="13" bestFit="1" customWidth="1"/>
    <col min="18" max="18" width="11.83203125" customWidth="1"/>
    <col min="20" max="20" width="32.1640625" bestFit="1" customWidth="1"/>
    <col min="21" max="22" width="11.83203125" customWidth="1"/>
    <col min="23" max="23" width="13.6640625" bestFit="1" customWidth="1"/>
    <col min="25" max="26" width="11.83203125" customWidth="1"/>
    <col min="28" max="28" width="13.33203125" customWidth="1"/>
    <col min="34" max="34" width="18" bestFit="1" customWidth="1"/>
    <col min="35" max="35" width="16.1640625" bestFit="1" customWidth="1"/>
  </cols>
  <sheetData>
    <row r="2" spans="2:35" x14ac:dyDescent="0.2">
      <c r="Y2" t="s">
        <v>359</v>
      </c>
      <c r="Z2" t="s">
        <v>360</v>
      </c>
      <c r="AA2" t="s">
        <v>363</v>
      </c>
      <c r="AB2" t="s">
        <v>362</v>
      </c>
    </row>
    <row r="3" spans="2:35" x14ac:dyDescent="0.2">
      <c r="B3" t="s">
        <v>335</v>
      </c>
      <c r="C3" t="s">
        <v>108</v>
      </c>
      <c r="D3" t="s">
        <v>336</v>
      </c>
      <c r="E3" t="s">
        <v>111</v>
      </c>
      <c r="F3" t="s">
        <v>342</v>
      </c>
      <c r="Y3" s="21">
        <f>'5% CO'!D6-'5% CO'!E6</f>
        <v>42.994687614601609</v>
      </c>
      <c r="Z3" s="21">
        <f>+'5% CO'!D7-'5% CO'!E7</f>
        <v>47.520511997939863</v>
      </c>
      <c r="AA3" s="21">
        <f>+'5% CO'!D6</f>
        <v>52.733113232800932</v>
      </c>
      <c r="AB3" s="21">
        <f>+'5% CO'!D7</f>
        <v>165.62584163871017</v>
      </c>
    </row>
    <row r="4" spans="2:35" x14ac:dyDescent="0.2">
      <c r="B4">
        <f>'5% CO'!B25</f>
        <v>1</v>
      </c>
      <c r="C4" t="str">
        <f>'5% CO'!H25</f>
        <v>oxygenated</v>
      </c>
      <c r="D4" t="str">
        <f>'5% CO'!C25</f>
        <v>Metanolo</v>
      </c>
      <c r="E4">
        <f>'5% CO'!G25</f>
        <v>0.80481481478060724</v>
      </c>
      <c r="F4" t="s">
        <v>375</v>
      </c>
      <c r="Y4">
        <f>Y3/(Y3+Z3)</f>
        <v>0.47499964424366597</v>
      </c>
      <c r="Z4">
        <f>1-Y4</f>
        <v>0.52500035575633408</v>
      </c>
    </row>
    <row r="5" spans="2:35" x14ac:dyDescent="0.2">
      <c r="B5">
        <f>'5% CO'!B18</f>
        <v>1</v>
      </c>
      <c r="C5" t="str">
        <f>'5% CO'!H18</f>
        <v>paraffin</v>
      </c>
      <c r="D5" t="str">
        <f>'5% CO'!C18</f>
        <v>*CH4</v>
      </c>
      <c r="E5">
        <f>'5% CO'!G18</f>
        <v>10.675347629281321</v>
      </c>
      <c r="F5" t="s">
        <v>375</v>
      </c>
      <c r="R5" t="s">
        <v>342</v>
      </c>
      <c r="S5" t="s">
        <v>366</v>
      </c>
      <c r="T5" t="s">
        <v>343</v>
      </c>
      <c r="U5" t="s">
        <v>344</v>
      </c>
      <c r="V5" t="s">
        <v>345</v>
      </c>
      <c r="W5" t="s">
        <v>55</v>
      </c>
      <c r="X5" t="s">
        <v>46</v>
      </c>
      <c r="Y5" t="s">
        <v>377</v>
      </c>
      <c r="Z5" t="s">
        <v>378</v>
      </c>
      <c r="AA5" t="s">
        <v>364</v>
      </c>
      <c r="AB5" t="s">
        <v>361</v>
      </c>
      <c r="AH5" s="14" t="s">
        <v>346</v>
      </c>
      <c r="AI5" t="s">
        <v>380</v>
      </c>
    </row>
    <row r="6" spans="2:35" x14ac:dyDescent="0.2">
      <c r="B6">
        <f>'5% CO'!B20</f>
        <v>2</v>
      </c>
      <c r="C6" t="str">
        <f>'5% CO'!H20</f>
        <v>Olefin</v>
      </c>
      <c r="D6" t="str">
        <f>'5% CO'!C20</f>
        <v>*Acetilene</v>
      </c>
      <c r="E6">
        <f>'5% CO'!G20</f>
        <v>0</v>
      </c>
      <c r="F6" t="s">
        <v>375</v>
      </c>
      <c r="R6">
        <v>1</v>
      </c>
      <c r="S6" s="12">
        <v>1</v>
      </c>
      <c r="T6" s="10" t="s">
        <v>113</v>
      </c>
      <c r="U6" s="10" t="s">
        <v>114</v>
      </c>
      <c r="V6" s="10" t="s">
        <v>114</v>
      </c>
      <c r="W6">
        <f>GETPIVOTDATA("mol",$N$17,"Cn",1,"Class","paraffin")</f>
        <v>10.675347629281321</v>
      </c>
      <c r="X6">
        <f>+W6*S6</f>
        <v>10.675347629281321</v>
      </c>
      <c r="Y6">
        <f>X6*$Y$4</f>
        <v>5.0707863260860906</v>
      </c>
      <c r="Z6">
        <f>+X6*$Z$4</f>
        <v>5.604561303195231</v>
      </c>
      <c r="AA6">
        <f>+Y6/$AA$3</f>
        <v>9.6159434086511925E-2</v>
      </c>
      <c r="AB6">
        <f>+Z6/$AB$3</f>
        <v>3.3838688744120049E-2</v>
      </c>
      <c r="AD6">
        <f>+$AB$3*Tabella11[[#This Row],[conv CO2]]</f>
        <v>5.6045613031952319</v>
      </c>
      <c r="AH6" s="15">
        <v>1</v>
      </c>
      <c r="AI6">
        <v>11.480162444061929</v>
      </c>
    </row>
    <row r="7" spans="2:35" x14ac:dyDescent="0.2">
      <c r="B7">
        <f>'5% CO'!B19</f>
        <v>2</v>
      </c>
      <c r="C7" t="str">
        <f>'5% CO'!H19</f>
        <v>Olefin</v>
      </c>
      <c r="D7" t="str">
        <f>'5% CO'!C19</f>
        <v>*Etilene</v>
      </c>
      <c r="E7">
        <f>'5% CO'!G19</f>
        <v>3.1359739905749899</v>
      </c>
      <c r="F7" t="s">
        <v>375</v>
      </c>
      <c r="R7">
        <v>2</v>
      </c>
      <c r="S7" s="12">
        <v>1</v>
      </c>
      <c r="T7" s="11" t="s">
        <v>115</v>
      </c>
      <c r="U7" s="11" t="s">
        <v>116</v>
      </c>
      <c r="V7" s="11" t="s">
        <v>117</v>
      </c>
      <c r="W7">
        <f>+GETPIVOTDATA("mol",$N$17,"Cn",1,"Class","oxygenated")</f>
        <v>0.80481481478060724</v>
      </c>
      <c r="X7">
        <f t="shared" ref="X7:X70" si="0">+W7*S7</f>
        <v>0.80481481478060724</v>
      </c>
      <c r="Y7">
        <f t="shared" ref="Y7:Y70" si="1">X7*$Y$4</f>
        <v>0.38228675070282037</v>
      </c>
      <c r="Z7">
        <f t="shared" ref="Z7:Z70" si="2">+X7*$Z$4</f>
        <v>0.42252806407778692</v>
      </c>
      <c r="AA7">
        <f t="shared" ref="AA7:AA70" si="3">+Y7/$AA$3</f>
        <v>7.2494629515829764E-3</v>
      </c>
      <c r="AB7">
        <f t="shared" ref="AB7:AB70" si="4">+Z7/$AB$3</f>
        <v>2.5510998760656768E-3</v>
      </c>
      <c r="AD7">
        <f>+$AB$3*Tabella11[[#This Row],[conv CO2]]</f>
        <v>0.42252806407778692</v>
      </c>
      <c r="AH7" s="15">
        <v>2</v>
      </c>
      <c r="AI7">
        <v>7.748422302624558</v>
      </c>
    </row>
    <row r="8" spans="2:35" x14ac:dyDescent="0.2">
      <c r="B8">
        <f>'5% CO'!B24</f>
        <v>2</v>
      </c>
      <c r="C8" t="str">
        <f>'5% CO'!H24</f>
        <v>oxygenated</v>
      </c>
      <c r="D8" t="str">
        <f>'5% CO'!C24</f>
        <v>*DME</v>
      </c>
      <c r="E8">
        <f>'5% CO'!G24</f>
        <v>0</v>
      </c>
      <c r="F8" t="s">
        <v>375</v>
      </c>
      <c r="R8">
        <v>3</v>
      </c>
      <c r="S8" s="12">
        <v>2</v>
      </c>
      <c r="T8" s="11" t="s">
        <v>118</v>
      </c>
      <c r="U8" s="11" t="s">
        <v>119</v>
      </c>
      <c r="V8" s="11" t="s">
        <v>120</v>
      </c>
      <c r="W8">
        <f>+GETPIVOTDATA("mol",$N$17,"Cn",2,"Class","paraffin")</f>
        <v>0.73823716073728918</v>
      </c>
      <c r="X8">
        <f t="shared" si="0"/>
        <v>1.4764743214745784</v>
      </c>
      <c r="Y8">
        <f>X8*$Y$4</f>
        <v>0.70132477743533284</v>
      </c>
      <c r="Z8">
        <f t="shared" si="2"/>
        <v>0.77514954403924563</v>
      </c>
      <c r="AA8">
        <f t="shared" si="3"/>
        <v>1.329951399491992E-2</v>
      </c>
      <c r="AB8">
        <f t="shared" si="4"/>
        <v>4.6801244079418894E-3</v>
      </c>
      <c r="AD8">
        <f>+$AB$3*Tabella11[[#This Row],[conv CO2]]</f>
        <v>0.77514954403924552</v>
      </c>
      <c r="AH8" s="15">
        <v>3</v>
      </c>
      <c r="AI8">
        <v>10.523417024091515</v>
      </c>
    </row>
    <row r="9" spans="2:35" x14ac:dyDescent="0.2">
      <c r="B9">
        <f>'5% CO'!B21</f>
        <v>2</v>
      </c>
      <c r="C9" t="str">
        <f>'5% CO'!H21</f>
        <v>paraffin</v>
      </c>
      <c r="D9" t="str">
        <f>'5% CO'!C21</f>
        <v>*Etano</v>
      </c>
      <c r="E9">
        <f>'5% CO'!G21</f>
        <v>0.73823716073728918</v>
      </c>
      <c r="F9" t="s">
        <v>375</v>
      </c>
      <c r="R9">
        <v>4</v>
      </c>
      <c r="S9" s="12">
        <v>2</v>
      </c>
      <c r="T9" s="10" t="s">
        <v>121</v>
      </c>
      <c r="U9" s="10" t="s">
        <v>122</v>
      </c>
      <c r="V9" s="10" t="s">
        <v>123</v>
      </c>
      <c r="W9">
        <f>+GETPIVOTDATA("mol",$N$17,"Cn",2,"Class","Olefin")</f>
        <v>3.1359739905749899</v>
      </c>
      <c r="X9">
        <f t="shared" si="0"/>
        <v>6.2719479811499799</v>
      </c>
      <c r="Y9">
        <f t="shared" si="1"/>
        <v>2.9791730597610195</v>
      </c>
      <c r="Z9">
        <f t="shared" si="2"/>
        <v>3.2927749213889608</v>
      </c>
      <c r="AA9">
        <f t="shared" si="3"/>
        <v>5.6495300146776103E-2</v>
      </c>
      <c r="AB9">
        <f t="shared" si="4"/>
        <v>1.9880804159605078E-2</v>
      </c>
      <c r="AH9" s="15">
        <v>4</v>
      </c>
      <c r="AI9">
        <v>8.7544194237415063</v>
      </c>
    </row>
    <row r="10" spans="2:35" x14ac:dyDescent="0.2">
      <c r="B10">
        <f>'5% CO'!B22</f>
        <v>3</v>
      </c>
      <c r="C10" t="str">
        <f>'5% CO'!H22</f>
        <v>Olefin</v>
      </c>
      <c r="D10" t="str">
        <f>'5% CO'!C22</f>
        <v>*Propilene</v>
      </c>
      <c r="E10">
        <f>'5% CO'!G22</f>
        <v>3.1630215635472081</v>
      </c>
      <c r="F10" t="s">
        <v>375</v>
      </c>
      <c r="R10">
        <v>5</v>
      </c>
      <c r="S10" s="12">
        <v>3</v>
      </c>
      <c r="T10" s="10" t="s">
        <v>124</v>
      </c>
      <c r="U10" s="10" t="s">
        <v>125</v>
      </c>
      <c r="V10" s="10" t="s">
        <v>126</v>
      </c>
      <c r="W10">
        <f>+GETPIVOTDATA("mol",$N$17,"Cn",3,"Class","paraffin")</f>
        <v>0.34478411114996343</v>
      </c>
      <c r="X10">
        <f t="shared" si="0"/>
        <v>1.0343523334498903</v>
      </c>
      <c r="Y10">
        <f t="shared" si="1"/>
        <v>0.49131699041130367</v>
      </c>
      <c r="Z10">
        <f t="shared" si="2"/>
        <v>0.54303534303858669</v>
      </c>
      <c r="AA10">
        <f t="shared" si="3"/>
        <v>9.3170488198238179E-3</v>
      </c>
      <c r="AB10">
        <f t="shared" si="4"/>
        <v>3.2786872970169902E-3</v>
      </c>
      <c r="AH10" s="15">
        <v>5</v>
      </c>
      <c r="AI10">
        <v>8.1545512951124035</v>
      </c>
    </row>
    <row r="11" spans="2:35" x14ac:dyDescent="0.2">
      <c r="B11">
        <f>'5% CO'!B23</f>
        <v>3</v>
      </c>
      <c r="C11" t="str">
        <f>'5% CO'!H23</f>
        <v>paraffin</v>
      </c>
      <c r="D11" t="str">
        <f>'5% CO'!C23</f>
        <v>*Propano</v>
      </c>
      <c r="E11">
        <f>'5% CO'!G23</f>
        <v>0.31667492233010502</v>
      </c>
      <c r="F11" t="s">
        <v>375</v>
      </c>
      <c r="R11">
        <v>6</v>
      </c>
      <c r="S11" s="12">
        <v>3</v>
      </c>
      <c r="T11" s="11" t="s">
        <v>127</v>
      </c>
      <c r="U11" s="11" t="s">
        <v>128</v>
      </c>
      <c r="V11" s="11" t="s">
        <v>129</v>
      </c>
      <c r="W11">
        <f>+GETPIVOTDATA("mol",$N$17,"Cn",3,"Class","Olefin")</f>
        <v>3.1630215635472081</v>
      </c>
      <c r="X11">
        <f t="shared" si="0"/>
        <v>9.4890646906416247</v>
      </c>
      <c r="Y11">
        <f t="shared" si="1"/>
        <v>4.5073023522599041</v>
      </c>
      <c r="Z11">
        <f t="shared" si="2"/>
        <v>4.9817623383817216</v>
      </c>
      <c r="AA11">
        <f t="shared" si="3"/>
        <v>8.5473852688376498E-2</v>
      </c>
      <c r="AB11">
        <f t="shared" si="4"/>
        <v>3.0078412215702101E-2</v>
      </c>
      <c r="AH11" s="15">
        <v>6</v>
      </c>
      <c r="AI11">
        <v>5.9653867968408427</v>
      </c>
    </row>
    <row r="12" spans="2:35" x14ac:dyDescent="0.2">
      <c r="B12">
        <f>'5% CO'!B27</f>
        <v>4</v>
      </c>
      <c r="C12" t="str">
        <f>'5% CO'!H27</f>
        <v>Olefin</v>
      </c>
      <c r="D12" t="str">
        <f>'5% CO'!C27</f>
        <v>*1-Butene</v>
      </c>
      <c r="E12">
        <f>'5% CO'!G27</f>
        <v>1.6994408692105563</v>
      </c>
      <c r="F12" t="s">
        <v>375</v>
      </c>
      <c r="R12">
        <v>7</v>
      </c>
      <c r="S12" s="12">
        <v>4</v>
      </c>
      <c r="T12" s="10" t="s">
        <v>130</v>
      </c>
      <c r="U12" s="10" t="s">
        <v>131</v>
      </c>
      <c r="V12" s="10" t="s">
        <v>132</v>
      </c>
      <c r="W12">
        <f>+GETPIVOTDATA("mol",$N$17,"Cn",4,"Class","paraffin")</f>
        <v>0.2525480101226053</v>
      </c>
      <c r="X12">
        <f t="shared" si="0"/>
        <v>1.0101920404904212</v>
      </c>
      <c r="Y12">
        <f t="shared" si="1"/>
        <v>0.4798408598507331</v>
      </c>
      <c r="Z12">
        <f t="shared" si="2"/>
        <v>0.53035118063968822</v>
      </c>
      <c r="AA12">
        <f t="shared" si="3"/>
        <v>9.0994221739266398E-3</v>
      </c>
      <c r="AB12">
        <f t="shared" si="4"/>
        <v>3.2021040641506647E-3</v>
      </c>
      <c r="AH12" s="15">
        <v>7</v>
      </c>
      <c r="AI12">
        <v>4.1818169482805789</v>
      </c>
    </row>
    <row r="13" spans="2:35" x14ac:dyDescent="0.2">
      <c r="B13">
        <f>'5% CO'!B29</f>
        <v>4</v>
      </c>
      <c r="C13" t="str">
        <f>'5% CO'!H29</f>
        <v>Olefin</v>
      </c>
      <c r="D13" t="str">
        <f>'5% CO'!C29</f>
        <v>2-Butene</v>
      </c>
      <c r="E13">
        <f>'5% CO'!G29</f>
        <v>2.6205648100997542E-2</v>
      </c>
      <c r="F13" t="s">
        <v>375</v>
      </c>
      <c r="R13">
        <v>8</v>
      </c>
      <c r="S13" s="12">
        <v>4</v>
      </c>
      <c r="T13" s="11" t="s">
        <v>133</v>
      </c>
      <c r="U13" s="11" t="s">
        <v>134</v>
      </c>
      <c r="V13" s="11" t="s">
        <v>135</v>
      </c>
      <c r="W13">
        <f>+GETPIVOTDATA("mol",$N$17,"Cn",4,"Class","iso-paraffin")</f>
        <v>9.861334818537966E-3</v>
      </c>
      <c r="X13">
        <f t="shared" si="0"/>
        <v>3.9445339274151864E-2</v>
      </c>
      <c r="Y13">
        <f t="shared" si="1"/>
        <v>1.8736522122292841E-2</v>
      </c>
      <c r="Z13">
        <f t="shared" si="2"/>
        <v>2.0708817151859026E-2</v>
      </c>
      <c r="AA13">
        <f t="shared" si="3"/>
        <v>3.5530847647049959E-4</v>
      </c>
      <c r="AB13">
        <f t="shared" si="4"/>
        <v>1.2503373233889697E-4</v>
      </c>
      <c r="AH13" s="15">
        <v>8</v>
      </c>
      <c r="AI13">
        <v>5.5572888564200777</v>
      </c>
    </row>
    <row r="14" spans="2:35" x14ac:dyDescent="0.2">
      <c r="B14">
        <f>'5% CO'!B26</f>
        <v>4</v>
      </c>
      <c r="C14" t="str">
        <f>'5% CO'!H26</f>
        <v>Olefin</v>
      </c>
      <c r="D14" t="str">
        <f>'5% CO'!C26</f>
        <v>2-Metilpropene</v>
      </c>
      <c r="E14">
        <f>'5% CO'!G26</f>
        <v>2.3810276684307134E-2</v>
      </c>
      <c r="F14" t="s">
        <v>375</v>
      </c>
      <c r="R14">
        <v>9</v>
      </c>
      <c r="S14" s="12">
        <v>4</v>
      </c>
      <c r="T14" s="11" t="s">
        <v>136</v>
      </c>
      <c r="U14" s="11" t="s">
        <v>137</v>
      </c>
      <c r="V14" s="11" t="s">
        <v>138</v>
      </c>
      <c r="W14">
        <f>+GETPIVOTDATA("mol",$N$17,"Cn",4,"Class","Olefin")</f>
        <v>1.9261955109942335</v>
      </c>
      <c r="X14">
        <f t="shared" si="0"/>
        <v>7.7047820439769339</v>
      </c>
      <c r="Y14">
        <f t="shared" si="1"/>
        <v>3.6597687298640293</v>
      </c>
      <c r="Z14">
        <f t="shared" si="2"/>
        <v>4.0450133141129054</v>
      </c>
      <c r="AA14">
        <f t="shared" si="3"/>
        <v>6.9401719441582077E-2</v>
      </c>
      <c r="AB14">
        <f t="shared" si="4"/>
        <v>2.4422597790848009E-2</v>
      </c>
      <c r="AH14" s="15">
        <v>9</v>
      </c>
      <c r="AI14">
        <v>5.6774426656605854</v>
      </c>
    </row>
    <row r="15" spans="2:35" x14ac:dyDescent="0.2">
      <c r="B15">
        <f>'5% CO'!B28</f>
        <v>4</v>
      </c>
      <c r="C15" t="str">
        <f>'5% CO'!H28</f>
        <v>paraffin</v>
      </c>
      <c r="D15" t="str">
        <f>'5% CO'!C28</f>
        <v>*N-Butano</v>
      </c>
      <c r="E15">
        <f>'5% CO'!G28</f>
        <v>0.23565937809910276</v>
      </c>
      <c r="F15" t="s">
        <v>375</v>
      </c>
      <c r="R15">
        <v>10</v>
      </c>
      <c r="S15" s="12">
        <v>5</v>
      </c>
      <c r="T15" s="10" t="s">
        <v>139</v>
      </c>
      <c r="U15" s="10" t="s">
        <v>140</v>
      </c>
      <c r="V15" s="10" t="s">
        <v>141</v>
      </c>
      <c r="W15">
        <f>+GETPIVOTDATA("mol",$N$17,"Cn",5,"Class","paraffin")</f>
        <v>3.3633768471634337E-2</v>
      </c>
      <c r="X15">
        <f t="shared" si="0"/>
        <v>0.1681688423581717</v>
      </c>
      <c r="Y15">
        <f t="shared" si="1"/>
        <v>7.9880140293000709E-2</v>
      </c>
      <c r="Z15">
        <f t="shared" si="2"/>
        <v>8.8288702065171004E-2</v>
      </c>
      <c r="AA15">
        <f t="shared" si="3"/>
        <v>1.5148003862459963E-3</v>
      </c>
      <c r="AB15">
        <f t="shared" si="4"/>
        <v>5.3306115272615836E-4</v>
      </c>
      <c r="AH15" s="15">
        <v>10</v>
      </c>
      <c r="AI15">
        <v>5.0040531640984742</v>
      </c>
    </row>
    <row r="16" spans="2:35" x14ac:dyDescent="0.2">
      <c r="B16">
        <f>'5% CO'!B31</f>
        <v>5</v>
      </c>
      <c r="C16" t="str">
        <f>'5% CO'!H31</f>
        <v>iso-paraffin</v>
      </c>
      <c r="D16" t="str">
        <f>'5% CO'!C31</f>
        <v>2-Metilbutano</v>
      </c>
      <c r="E16">
        <f>'5% CO'!G31</f>
        <v>0</v>
      </c>
      <c r="F16" t="s">
        <v>375</v>
      </c>
      <c r="R16">
        <v>11</v>
      </c>
      <c r="S16" s="12">
        <v>5</v>
      </c>
      <c r="T16" s="11" t="s">
        <v>370</v>
      </c>
      <c r="U16" s="11" t="s">
        <v>371</v>
      </c>
      <c r="V16" s="11" t="s">
        <v>142</v>
      </c>
      <c r="W16">
        <f>+GETPIVOTDATA("mol",$N$17,"Cn",5,"Class","iso-paraffin")</f>
        <v>2.8455969793671199E-2</v>
      </c>
      <c r="X16">
        <f t="shared" si="0"/>
        <v>0.14227984896835599</v>
      </c>
      <c r="Y16">
        <f t="shared" si="1"/>
        <v>6.7582877643011616E-2</v>
      </c>
      <c r="Z16">
        <f t="shared" si="2"/>
        <v>7.4696971325344377E-2</v>
      </c>
      <c r="AA16">
        <f t="shared" si="3"/>
        <v>1.2816022703733309E-3</v>
      </c>
      <c r="AB16">
        <f t="shared" si="4"/>
        <v>4.5099828979758771E-4</v>
      </c>
      <c r="AH16" s="15">
        <v>11</v>
      </c>
      <c r="AI16">
        <v>3.7565895334104153</v>
      </c>
    </row>
    <row r="17" spans="2:35" x14ac:dyDescent="0.2">
      <c r="B17">
        <f>'5% CO'!B33</f>
        <v>5</v>
      </c>
      <c r="C17" t="str">
        <f>'5% CO'!H33</f>
        <v>Olefin</v>
      </c>
      <c r="D17" t="str">
        <f>'5% CO'!C33</f>
        <v>*1-Pentene</v>
      </c>
      <c r="E17">
        <f>'5% CO'!G33</f>
        <v>0.84135942238669481</v>
      </c>
      <c r="F17" t="s">
        <v>375</v>
      </c>
      <c r="N17" s="14" t="s">
        <v>335</v>
      </c>
      <c r="O17" s="14" t="s">
        <v>108</v>
      </c>
      <c r="P17" t="s">
        <v>348</v>
      </c>
      <c r="R17">
        <v>12</v>
      </c>
      <c r="S17" s="12">
        <v>5</v>
      </c>
      <c r="T17" s="10" t="s">
        <v>143</v>
      </c>
      <c r="U17" s="10" t="s">
        <v>144</v>
      </c>
      <c r="V17" s="10" t="s">
        <v>145</v>
      </c>
      <c r="W17">
        <f>+GETPIVOTDATA("mol",$N$17,"Cn",5,"Class","Olefin")</f>
        <v>1.5569183599778078</v>
      </c>
      <c r="X17">
        <f t="shared" si="0"/>
        <v>7.7845917998890393</v>
      </c>
      <c r="Y17">
        <f t="shared" si="1"/>
        <v>3.6976783355294529</v>
      </c>
      <c r="Z17">
        <f t="shared" si="2"/>
        <v>4.0869134643595864</v>
      </c>
      <c r="AA17">
        <f t="shared" si="3"/>
        <v>7.012061509066056E-2</v>
      </c>
      <c r="AB17">
        <f t="shared" si="4"/>
        <v>2.4675578544528225E-2</v>
      </c>
      <c r="AH17" s="15">
        <v>12</v>
      </c>
      <c r="AI17">
        <v>2.7501308321211804</v>
      </c>
    </row>
    <row r="18" spans="2:35" x14ac:dyDescent="0.2">
      <c r="B18">
        <f>'5% CO'!B32</f>
        <v>5</v>
      </c>
      <c r="C18" t="str">
        <f>'5% CO'!H32</f>
        <v>Olefin</v>
      </c>
      <c r="D18" t="str">
        <f>'5% CO'!C32</f>
        <v>2-Metilbut-1-ene</v>
      </c>
      <c r="E18">
        <f>'5% CO'!G32</f>
        <v>0</v>
      </c>
      <c r="F18" t="s">
        <v>375</v>
      </c>
      <c r="N18">
        <v>1</v>
      </c>
      <c r="O18" t="s">
        <v>337</v>
      </c>
      <c r="P18">
        <v>0.80481481478060724</v>
      </c>
      <c r="R18">
        <v>13</v>
      </c>
      <c r="S18" s="12">
        <v>5</v>
      </c>
      <c r="T18" s="11" t="s">
        <v>349</v>
      </c>
      <c r="V18" t="s">
        <v>350</v>
      </c>
      <c r="W18">
        <f>+GETPIVOTDATA("mol",$N$17,"Cn",5,"Class","Naphthene")</f>
        <v>1.1902160779367163E-2</v>
      </c>
      <c r="X18">
        <f t="shared" si="0"/>
        <v>5.9510803896835815E-2</v>
      </c>
      <c r="Y18">
        <f t="shared" si="1"/>
        <v>2.8267610679651584E-2</v>
      </c>
      <c r="Z18">
        <f t="shared" si="2"/>
        <v>3.1243193217184235E-2</v>
      </c>
      <c r="AA18">
        <f t="shared" si="3"/>
        <v>5.3605048036626493E-4</v>
      </c>
      <c r="AB18">
        <f t="shared" si="4"/>
        <v>1.8863718914912403E-4</v>
      </c>
      <c r="AH18" s="15">
        <v>13</v>
      </c>
      <c r="AI18">
        <v>1.7059387047286318</v>
      </c>
    </row>
    <row r="19" spans="2:35" x14ac:dyDescent="0.2">
      <c r="B19">
        <f>'5% CO'!B34</f>
        <v>5</v>
      </c>
      <c r="C19" t="str">
        <f>'5% CO'!H34</f>
        <v>Olefin</v>
      </c>
      <c r="D19" t="str">
        <f>'5% CO'!C34</f>
        <v>2-Pentene</v>
      </c>
      <c r="E19">
        <f>'5% CO'!G34</f>
        <v>0.12341230457044672</v>
      </c>
      <c r="F19" t="s">
        <v>375</v>
      </c>
      <c r="N19">
        <v>1</v>
      </c>
      <c r="O19" t="s">
        <v>76</v>
      </c>
      <c r="P19">
        <v>10.675347629281321</v>
      </c>
      <c r="R19">
        <v>14</v>
      </c>
      <c r="S19" s="12">
        <v>6</v>
      </c>
      <c r="T19" s="10" t="s">
        <v>146</v>
      </c>
      <c r="U19" s="10" t="s">
        <v>147</v>
      </c>
      <c r="V19" s="10" t="s">
        <v>148</v>
      </c>
      <c r="W19">
        <f>+GETPIVOTDATA("mol",$N$17,"Cn",6,"Class","iso-paraffin")</f>
        <v>0.50140111603803417</v>
      </c>
      <c r="X19">
        <f t="shared" si="0"/>
        <v>3.0084066962282048</v>
      </c>
      <c r="Y19">
        <f t="shared" si="1"/>
        <v>1.4289921104486598</v>
      </c>
      <c r="Z19">
        <f t="shared" si="2"/>
        <v>1.5794145857795452</v>
      </c>
      <c r="AA19">
        <f t="shared" si="3"/>
        <v>2.7098572848147363E-2</v>
      </c>
      <c r="AB19">
        <f t="shared" si="4"/>
        <v>9.5360396068194433E-3</v>
      </c>
      <c r="AH19" s="15">
        <v>14</v>
      </c>
      <c r="AI19">
        <v>1.4263637155003654</v>
      </c>
    </row>
    <row r="20" spans="2:35" x14ac:dyDescent="0.2">
      <c r="B20">
        <f>'5% CO'!B30</f>
        <v>5</v>
      </c>
      <c r="C20" t="str">
        <f>'5% CO'!H30</f>
        <v>Olefin</v>
      </c>
      <c r="D20" t="str">
        <f>'5% CO'!C30</f>
        <v>3-Metilbut-1-ene</v>
      </c>
      <c r="E20">
        <f>'5% CO'!G30</f>
        <v>0.20985847628002788</v>
      </c>
      <c r="F20" t="s">
        <v>375</v>
      </c>
      <c r="N20">
        <v>2</v>
      </c>
      <c r="O20" t="s">
        <v>60</v>
      </c>
      <c r="P20">
        <v>3.1359739905749899</v>
      </c>
      <c r="R20">
        <v>15</v>
      </c>
      <c r="S20" s="12">
        <v>6</v>
      </c>
      <c r="T20" s="11" t="s">
        <v>149</v>
      </c>
      <c r="U20" s="11" t="s">
        <v>150</v>
      </c>
      <c r="V20" s="11" t="s">
        <v>151</v>
      </c>
      <c r="W20">
        <f>+GETPIVOTDATA("mol",$N$17,"Cn",6,"Class","paraffin")</f>
        <v>6.0548456071236696E-3</v>
      </c>
      <c r="X20">
        <f t="shared" si="0"/>
        <v>3.6329073642742016E-2</v>
      </c>
      <c r="Y20">
        <f t="shared" si="1"/>
        <v>1.7256297056004399E-2</v>
      </c>
      <c r="Z20">
        <f t="shared" si="2"/>
        <v>1.9072776586737616E-2</v>
      </c>
      <c r="AA20">
        <f t="shared" si="3"/>
        <v>3.2723835173210816E-4</v>
      </c>
      <c r="AB20">
        <f t="shared" si="4"/>
        <v>1.1515580176396771E-4</v>
      </c>
      <c r="AH20" s="15">
        <v>15</v>
      </c>
      <c r="AI20">
        <v>1.3460003018717062</v>
      </c>
    </row>
    <row r="21" spans="2:35" x14ac:dyDescent="0.2">
      <c r="B21">
        <f>'5% CO'!B35</f>
        <v>5</v>
      </c>
      <c r="C21" t="str">
        <f>'5% CO'!H35</f>
        <v>paraffin</v>
      </c>
      <c r="D21" t="str">
        <f>'5% CO'!C35</f>
        <v>*Pentano</v>
      </c>
      <c r="E21">
        <f>'5% CO'!G35</f>
        <v>0</v>
      </c>
      <c r="F21" t="s">
        <v>375</v>
      </c>
      <c r="N21">
        <v>2</v>
      </c>
      <c r="O21" t="s">
        <v>337</v>
      </c>
      <c r="P21">
        <v>0</v>
      </c>
      <c r="R21">
        <v>16</v>
      </c>
      <c r="S21" s="18">
        <v>6</v>
      </c>
      <c r="T21" s="11" t="s">
        <v>152</v>
      </c>
      <c r="U21" s="11" t="s">
        <v>153</v>
      </c>
      <c r="V21" s="11" t="s">
        <v>154</v>
      </c>
      <c r="W21">
        <f>+GETPIVOTDATA("mol",$N$17,"Cn",6,"Class","Olefin")</f>
        <v>0.44515746831591163</v>
      </c>
      <c r="X21">
        <f t="shared" si="0"/>
        <v>2.6709448098954698</v>
      </c>
      <c r="Y21">
        <f t="shared" si="1"/>
        <v>1.2686978344948141</v>
      </c>
      <c r="Z21">
        <f t="shared" si="2"/>
        <v>1.4022469754006557</v>
      </c>
      <c r="AA21">
        <f t="shared" si="3"/>
        <v>2.4058845698980307E-2</v>
      </c>
      <c r="AB21">
        <f t="shared" si="4"/>
        <v>8.4663538100501444E-3</v>
      </c>
      <c r="AH21" s="15">
        <v>16</v>
      </c>
      <c r="AI21">
        <v>1.3240188731704929</v>
      </c>
    </row>
    <row r="22" spans="2:35" x14ac:dyDescent="0.2">
      <c r="B22">
        <f>'5% CO'!B37</f>
        <v>6</v>
      </c>
      <c r="C22" t="str">
        <f>'5% CO'!H37</f>
        <v>iso-paraffin</v>
      </c>
      <c r="D22" t="str">
        <f>'5% CO'!C37</f>
        <v>2,2-Dimetilbutano</v>
      </c>
      <c r="E22">
        <f>'5% CO'!G37</f>
        <v>0.11894953378100133</v>
      </c>
      <c r="F22" t="s">
        <v>375</v>
      </c>
      <c r="N22">
        <v>2</v>
      </c>
      <c r="O22" t="s">
        <v>76</v>
      </c>
      <c r="P22">
        <v>0.73823716073728918</v>
      </c>
      <c r="R22">
        <v>17</v>
      </c>
      <c r="S22" s="12">
        <v>6</v>
      </c>
      <c r="T22" t="s">
        <v>354</v>
      </c>
      <c r="V22" t="s">
        <v>353</v>
      </c>
      <c r="W22">
        <f>+GETPIVOTDATA("mol",$N$17,"Cn",6,"Class","Aromatic")</f>
        <v>3.1887905637956234E-3</v>
      </c>
      <c r="X22">
        <f t="shared" si="0"/>
        <v>1.913274338277374E-2</v>
      </c>
      <c r="Y22">
        <f t="shared" si="1"/>
        <v>9.0880463002228802E-3</v>
      </c>
      <c r="Z22">
        <f t="shared" si="2"/>
        <v>1.004469708255086E-2</v>
      </c>
      <c r="AA22">
        <f t="shared" si="3"/>
        <v>1.7234040895901351E-4</v>
      </c>
      <c r="AB22">
        <f t="shared" si="4"/>
        <v>6.064691948531785E-5</v>
      </c>
      <c r="AH22" s="15">
        <v>17</v>
      </c>
      <c r="AI22">
        <v>1.0992941296813241</v>
      </c>
    </row>
    <row r="23" spans="2:35" x14ac:dyDescent="0.2">
      <c r="B23">
        <f>'5% CO'!B40</f>
        <v>6</v>
      </c>
      <c r="C23" t="str">
        <f>'5% CO'!H40</f>
        <v>Olefin</v>
      </c>
      <c r="D23" t="str">
        <f>'5% CO'!C40</f>
        <v>1-Esene</v>
      </c>
      <c r="E23">
        <f>'5% CO'!G40</f>
        <v>2.2637801386264244E-5</v>
      </c>
      <c r="F23" t="s">
        <v>375</v>
      </c>
      <c r="N23">
        <v>3</v>
      </c>
      <c r="O23" t="s">
        <v>60</v>
      </c>
      <c r="P23">
        <v>3.1630215635472081</v>
      </c>
      <c r="R23">
        <v>18</v>
      </c>
      <c r="S23" s="12">
        <v>6</v>
      </c>
      <c r="T23" t="s">
        <v>352</v>
      </c>
      <c r="V23" t="s">
        <v>351</v>
      </c>
      <c r="W23">
        <f>+GETPIVOTDATA("mol",$N$17,"Cn",6,"Class","Naphthene")</f>
        <v>3.8428912281942007E-2</v>
      </c>
      <c r="X23">
        <f t="shared" si="0"/>
        <v>0.23057347369165204</v>
      </c>
      <c r="Y23">
        <f t="shared" si="1"/>
        <v>0.109522317975561</v>
      </c>
      <c r="Z23">
        <f t="shared" si="2"/>
        <v>0.12105115571609106</v>
      </c>
      <c r="AA23">
        <f t="shared" si="3"/>
        <v>2.076917353467312E-3</v>
      </c>
      <c r="AB23">
        <f t="shared" si="4"/>
        <v>7.3087118844743671E-4</v>
      </c>
      <c r="AH23" s="15">
        <v>18</v>
      </c>
      <c r="AI23">
        <v>0.9864688227423144</v>
      </c>
    </row>
    <row r="24" spans="2:35" x14ac:dyDescent="0.2">
      <c r="B24">
        <f>'5% CO'!B36</f>
        <v>6</v>
      </c>
      <c r="C24" t="str">
        <f>'5% CO'!H36</f>
        <v>Olefin</v>
      </c>
      <c r="D24" t="str">
        <f>'5% CO'!C36</f>
        <v>2-Metilbut-2-ene</v>
      </c>
      <c r="E24">
        <f>'5% CO'!G36</f>
        <v>9.5237672806068804E-3</v>
      </c>
      <c r="F24" t="s">
        <v>375</v>
      </c>
      <c r="N24">
        <v>3</v>
      </c>
      <c r="O24" t="s">
        <v>76</v>
      </c>
      <c r="P24">
        <v>0.34478411114996343</v>
      </c>
      <c r="R24">
        <v>19</v>
      </c>
      <c r="S24" s="12">
        <v>7</v>
      </c>
      <c r="T24" s="11" t="s">
        <v>155</v>
      </c>
      <c r="U24" s="11" t="s">
        <v>156</v>
      </c>
      <c r="V24" s="11" t="s">
        <v>157</v>
      </c>
      <c r="W24">
        <f>+GETPIVOTDATA("mol",$N$17,"Cn",7,"Class","paraffin")</f>
        <v>5.4230671523978589E-5</v>
      </c>
      <c r="X24">
        <f t="shared" si="0"/>
        <v>3.7961470066785014E-4</v>
      </c>
      <c r="Y24">
        <f t="shared" si="1"/>
        <v>1.8031684776689455E-4</v>
      </c>
      <c r="Z24">
        <f t="shared" si="2"/>
        <v>1.9929785290095559E-4</v>
      </c>
      <c r="AA24">
        <f t="shared" si="3"/>
        <v>3.4194235218172986E-6</v>
      </c>
      <c r="AB24">
        <f t="shared" si="4"/>
        <v>1.2033016764116812E-6</v>
      </c>
      <c r="AH24" s="15">
        <v>19</v>
      </c>
      <c r="AI24">
        <v>0.38627856231038582</v>
      </c>
    </row>
    <row r="25" spans="2:35" x14ac:dyDescent="0.2">
      <c r="B25">
        <f>'5% CO'!B42</f>
        <v>6</v>
      </c>
      <c r="C25" t="str">
        <f>'5% CO'!H42</f>
        <v>Olefin</v>
      </c>
      <c r="D25" t="str">
        <f>'5% CO'!C42</f>
        <v>2,3-Dimetilbut-2-ene</v>
      </c>
      <c r="E25">
        <f>'5% CO'!G42</f>
        <v>4.8088940951410379E-6</v>
      </c>
      <c r="F25" t="s">
        <v>375</v>
      </c>
      <c r="N25">
        <v>4</v>
      </c>
      <c r="O25" t="s">
        <v>57</v>
      </c>
      <c r="P25">
        <v>9.861334818537966E-3</v>
      </c>
      <c r="R25">
        <v>20</v>
      </c>
      <c r="S25" s="12">
        <v>7</v>
      </c>
      <c r="T25" s="10" t="s">
        <v>158</v>
      </c>
      <c r="U25" s="10" t="s">
        <v>159</v>
      </c>
      <c r="V25" s="10" t="s">
        <v>160</v>
      </c>
      <c r="W25">
        <f>+GETPIVOTDATA("mol",$N$17,"Cn",7,"Class","iso-paraffin")</f>
        <v>0.3261680062563902</v>
      </c>
      <c r="X25">
        <f t="shared" si="0"/>
        <v>2.2831760437947315</v>
      </c>
      <c r="Y25">
        <f t="shared" si="1"/>
        <v>1.0845078085481581</v>
      </c>
      <c r="Z25">
        <f t="shared" si="2"/>
        <v>1.1986682352465734</v>
      </c>
      <c r="AA25">
        <f t="shared" si="3"/>
        <v>2.0565973485395794E-2</v>
      </c>
      <c r="AB25">
        <f t="shared" si="4"/>
        <v>7.2372053985470582E-3</v>
      </c>
      <c r="AH25" s="15">
        <v>20</v>
      </c>
      <c r="AI25">
        <v>0.31821574927171625</v>
      </c>
    </row>
    <row r="26" spans="2:35" x14ac:dyDescent="0.2">
      <c r="B26">
        <f>'5% CO'!B38</f>
        <v>6</v>
      </c>
      <c r="C26" t="str">
        <f>'5% CO'!H38</f>
        <v>Olefin</v>
      </c>
      <c r="D26" t="str">
        <f>'5% CO'!C38</f>
        <v>3-Metilpent-1-ene</v>
      </c>
      <c r="E26">
        <f>'5% CO'!G38</f>
        <v>0</v>
      </c>
      <c r="F26" t="s">
        <v>375</v>
      </c>
      <c r="N26">
        <v>4</v>
      </c>
      <c r="O26" t="s">
        <v>60</v>
      </c>
      <c r="P26">
        <v>1.9261955109942335</v>
      </c>
      <c r="R26">
        <v>21</v>
      </c>
      <c r="S26" s="18">
        <v>7</v>
      </c>
      <c r="T26" s="11" t="s">
        <v>161</v>
      </c>
      <c r="U26" s="11" t="s">
        <v>162</v>
      </c>
      <c r="V26" s="11" t="s">
        <v>163</v>
      </c>
      <c r="W26">
        <f>+GETPIVOTDATA("mol",$N$17,"Cn",7,"Class","Olefin")</f>
        <v>0.22795214217457127</v>
      </c>
      <c r="X26">
        <f t="shared" si="0"/>
        <v>1.5956649952219988</v>
      </c>
      <c r="Y26">
        <f t="shared" si="1"/>
        <v>0.75794030506252041</v>
      </c>
      <c r="Z26">
        <f t="shared" si="2"/>
        <v>0.83772469015947848</v>
      </c>
      <c r="AA26">
        <f t="shared" si="3"/>
        <v>1.4373137836873778E-2</v>
      </c>
      <c r="AB26">
        <f t="shared" si="4"/>
        <v>5.0579346910541827E-3</v>
      </c>
      <c r="AH26" s="15">
        <v>21</v>
      </c>
      <c r="AI26">
        <v>0.2784387806127499</v>
      </c>
    </row>
    <row r="27" spans="2:35" x14ac:dyDescent="0.2">
      <c r="B27">
        <f>'5% CO'!B39</f>
        <v>6</v>
      </c>
      <c r="C27" t="str">
        <f>'5% CO'!H39</f>
        <v>Olefin</v>
      </c>
      <c r="D27" t="str">
        <f>'5% CO'!C39</f>
        <v>4-Metilpent-2-ene</v>
      </c>
      <c r="E27">
        <f>'5% CO'!G39</f>
        <v>0.28047557939937107</v>
      </c>
      <c r="F27" t="s">
        <v>375</v>
      </c>
      <c r="N27">
        <v>4</v>
      </c>
      <c r="O27" t="s">
        <v>76</v>
      </c>
      <c r="P27">
        <v>0.2525480101226053</v>
      </c>
      <c r="R27">
        <v>22</v>
      </c>
      <c r="S27" s="18">
        <v>7</v>
      </c>
      <c r="T27" s="10" t="s">
        <v>164</v>
      </c>
      <c r="U27" s="10" t="s">
        <v>165</v>
      </c>
      <c r="V27" s="10" t="s">
        <v>166</v>
      </c>
      <c r="W27">
        <f>+GETPIVOTDATA("mol",$N$17,"Cn",7,"Class","Aromatic")</f>
        <v>8.5260287699485491E-3</v>
      </c>
      <c r="X27">
        <f t="shared" si="0"/>
        <v>5.9682201389639845E-2</v>
      </c>
      <c r="Y27">
        <f t="shared" si="1"/>
        <v>2.8349024427757753E-2</v>
      </c>
      <c r="Z27">
        <f t="shared" si="2"/>
        <v>3.1333176961882092E-2</v>
      </c>
      <c r="AA27">
        <f t="shared" si="3"/>
        <v>5.3759436319652295E-4</v>
      </c>
      <c r="AB27">
        <f t="shared" si="4"/>
        <v>1.8918048446951339E-4</v>
      </c>
      <c r="AH27" s="15">
        <v>22</v>
      </c>
      <c r="AI27">
        <v>0.27225125215468715</v>
      </c>
    </row>
    <row r="28" spans="2:35" x14ac:dyDescent="0.2">
      <c r="B28">
        <f>'5% CO'!B41</f>
        <v>6</v>
      </c>
      <c r="C28" t="str">
        <f>'5% CO'!H41</f>
        <v>paraffin</v>
      </c>
      <c r="D28" t="str">
        <f>'5% CO'!C41</f>
        <v>Esano</v>
      </c>
      <c r="E28">
        <f>'5% CO'!G41</f>
        <v>1.7101184639521328E-3</v>
      </c>
      <c r="F28" t="s">
        <v>375</v>
      </c>
      <c r="N28">
        <v>5</v>
      </c>
      <c r="O28" t="s">
        <v>57</v>
      </c>
      <c r="P28">
        <v>2.8455969793671199E-2</v>
      </c>
      <c r="R28">
        <v>23</v>
      </c>
      <c r="S28" s="18">
        <v>7</v>
      </c>
      <c r="T28" t="s">
        <v>83</v>
      </c>
      <c r="V28" t="s">
        <v>356</v>
      </c>
      <c r="W28">
        <f>+GETPIVOTDATA("mol",$N$17,"Cn",7,"Class","Naphthene")</f>
        <v>3.4702013310505875E-2</v>
      </c>
      <c r="X28">
        <f t="shared" si="0"/>
        <v>0.24291409317354112</v>
      </c>
      <c r="Y28">
        <f t="shared" si="1"/>
        <v>0.11538410783920476</v>
      </c>
      <c r="Z28">
        <f t="shared" si="2"/>
        <v>0.12752998533433638</v>
      </c>
      <c r="AA28">
        <f t="shared" si="3"/>
        <v>2.1880769172458758E-3</v>
      </c>
      <c r="AB28">
        <f t="shared" si="4"/>
        <v>7.6998845151546682E-4</v>
      </c>
      <c r="AH28" s="15">
        <v>23</v>
      </c>
      <c r="AI28">
        <v>0.26429585842289532</v>
      </c>
    </row>
    <row r="29" spans="2:35" x14ac:dyDescent="0.2">
      <c r="B29">
        <f>'5% CO'!B9</f>
        <v>7</v>
      </c>
      <c r="C29" t="str">
        <f>'5% CO'!H9</f>
        <v>Aromatic</v>
      </c>
      <c r="D29" t="str">
        <f>'5% CO'!C9</f>
        <v>Toluene</v>
      </c>
      <c r="E29">
        <f>'5% CO'!G9</f>
        <v>0</v>
      </c>
      <c r="F29" t="s">
        <v>375</v>
      </c>
      <c r="N29">
        <v>5</v>
      </c>
      <c r="O29" t="s">
        <v>73</v>
      </c>
      <c r="P29">
        <v>1.1902160779367163E-2</v>
      </c>
      <c r="R29">
        <v>24</v>
      </c>
      <c r="S29" s="12">
        <v>8</v>
      </c>
      <c r="T29" s="11" t="s">
        <v>167</v>
      </c>
      <c r="U29" s="11" t="s">
        <v>168</v>
      </c>
      <c r="V29" s="11" t="s">
        <v>169</v>
      </c>
      <c r="W29">
        <f>+GETPIVOTDATA("mol",$N$17,"Cn",8,"Class","paraffin")</f>
        <v>2.3586206780926378E-2</v>
      </c>
      <c r="X29">
        <f t="shared" si="0"/>
        <v>0.18868965424741102</v>
      </c>
      <c r="Y29">
        <f t="shared" si="1"/>
        <v>8.9627518639980572E-2</v>
      </c>
      <c r="Z29">
        <f t="shared" si="2"/>
        <v>9.9062135607430463E-2</v>
      </c>
      <c r="AA29">
        <f t="shared" si="3"/>
        <v>1.6996439835498024E-3</v>
      </c>
      <c r="AB29">
        <f t="shared" si="4"/>
        <v>5.9810796810029672E-4</v>
      </c>
      <c r="AH29" s="15">
        <v>24</v>
      </c>
      <c r="AI29">
        <v>0.29700136598693444</v>
      </c>
    </row>
    <row r="30" spans="2:35" x14ac:dyDescent="0.2">
      <c r="B30">
        <f>'5% CO'!B43</f>
        <v>7</v>
      </c>
      <c r="C30" t="str">
        <f>'5% CO'!H43</f>
        <v>iso-paraffin</v>
      </c>
      <c r="D30" t="str">
        <f>'5% CO'!C43</f>
        <v>2,2-Dimetilpentano</v>
      </c>
      <c r="E30">
        <f>'5% CO'!G43</f>
        <v>1.8507391373882549E-5</v>
      </c>
      <c r="F30" t="s">
        <v>375</v>
      </c>
      <c r="N30">
        <v>5</v>
      </c>
      <c r="O30" t="s">
        <v>60</v>
      </c>
      <c r="P30">
        <v>1.5569183599778078</v>
      </c>
      <c r="R30">
        <v>25</v>
      </c>
      <c r="S30" s="12">
        <v>8</v>
      </c>
      <c r="T30" s="10" t="s">
        <v>170</v>
      </c>
      <c r="U30" s="10" t="s">
        <v>171</v>
      </c>
      <c r="V30" s="10" t="s">
        <v>172</v>
      </c>
      <c r="W30">
        <f>+GETPIVOTDATA("mol",$N$17,"Cn",8,"Class","iso-paraffin")</f>
        <v>0.13618128701509688</v>
      </c>
      <c r="X30">
        <f t="shared" si="0"/>
        <v>1.089450296120775</v>
      </c>
      <c r="Y30">
        <f t="shared" si="1"/>
        <v>0.51748850307852468</v>
      </c>
      <c r="Z30">
        <f t="shared" si="2"/>
        <v>0.57196179304225037</v>
      </c>
      <c r="AA30">
        <f t="shared" si="3"/>
        <v>9.8133501201411646E-3</v>
      </c>
      <c r="AB30">
        <f t="shared" si="4"/>
        <v>3.4533366736931412E-3</v>
      </c>
      <c r="AH30" s="15">
        <v>25</v>
      </c>
      <c r="AI30">
        <v>0.41986800251129092</v>
      </c>
    </row>
    <row r="31" spans="2:35" x14ac:dyDescent="0.2">
      <c r="B31">
        <f>'5% CO'!B45</f>
        <v>7</v>
      </c>
      <c r="C31" t="str">
        <f>'5% CO'!H45</f>
        <v>Olefin</v>
      </c>
      <c r="D31" t="str">
        <f>'5% CO'!C45</f>
        <v>1-eptene</v>
      </c>
      <c r="E31">
        <f>'5% CO'!G45</f>
        <v>2.3544692075165666E-4</v>
      </c>
      <c r="F31" t="s">
        <v>375</v>
      </c>
      <c r="N31">
        <v>5</v>
      </c>
      <c r="O31" t="s">
        <v>76</v>
      </c>
      <c r="P31">
        <v>3.3633768471634337E-2</v>
      </c>
      <c r="R31">
        <v>26</v>
      </c>
      <c r="S31" s="12">
        <v>8</v>
      </c>
      <c r="T31" s="10" t="s">
        <v>173</v>
      </c>
      <c r="U31" s="10" t="s">
        <v>174</v>
      </c>
      <c r="V31" s="10" t="s">
        <v>175</v>
      </c>
      <c r="W31">
        <f>+GETPIVOTDATA("mol",$N$17,"Cn",8,"Class","Olefin")</f>
        <v>0.37385779168760375</v>
      </c>
      <c r="X31">
        <f t="shared" si="0"/>
        <v>2.99086233350083</v>
      </c>
      <c r="Y31">
        <f t="shared" si="1"/>
        <v>1.4206585443946749</v>
      </c>
      <c r="Z31">
        <f t="shared" si="2"/>
        <v>1.5702037891061553</v>
      </c>
      <c r="AA31">
        <f t="shared" si="3"/>
        <v>2.6940539962487936E-2</v>
      </c>
      <c r="AB31">
        <f t="shared" si="4"/>
        <v>9.4804275321440316E-3</v>
      </c>
      <c r="AH31" s="15">
        <v>26</v>
      </c>
      <c r="AI31">
        <v>0.57455621396281731</v>
      </c>
    </row>
    <row r="32" spans="2:35" x14ac:dyDescent="0.2">
      <c r="B32">
        <f>'5% CO'!B47</f>
        <v>7</v>
      </c>
      <c r="C32" t="str">
        <f>'5% CO'!H47</f>
        <v>Olefin</v>
      </c>
      <c r="D32" t="str">
        <f>'5% CO'!C47</f>
        <v>2-Eptene</v>
      </c>
      <c r="E32">
        <f>'5% CO'!G47</f>
        <v>1.2160347283814928E-5</v>
      </c>
      <c r="F32" t="s">
        <v>375</v>
      </c>
      <c r="N32">
        <v>6</v>
      </c>
      <c r="O32" t="s">
        <v>67</v>
      </c>
      <c r="P32">
        <v>3.1887905637956234E-3</v>
      </c>
      <c r="R32">
        <v>27</v>
      </c>
      <c r="S32" s="12">
        <v>8</v>
      </c>
      <c r="T32" s="11" t="s">
        <v>176</v>
      </c>
      <c r="U32" s="11" t="s">
        <v>177</v>
      </c>
      <c r="V32" s="11" t="s">
        <v>178</v>
      </c>
      <c r="W32">
        <f>+GETPIVOTDATA("mol",$N$17,"Cn",8,"Class","Naphthene")</f>
        <v>6.1129115107962102E-2</v>
      </c>
      <c r="X32">
        <f t="shared" si="0"/>
        <v>0.48903292086369682</v>
      </c>
      <c r="Y32">
        <f t="shared" si="1"/>
        <v>0.23229046343369683</v>
      </c>
      <c r="Z32">
        <f t="shared" si="2"/>
        <v>0.25674245743000002</v>
      </c>
      <c r="AA32">
        <f t="shared" si="3"/>
        <v>4.4050208529923859E-3</v>
      </c>
      <c r="AB32">
        <f t="shared" si="4"/>
        <v>1.5501352620447245E-3</v>
      </c>
      <c r="AH32" s="15">
        <v>27</v>
      </c>
      <c r="AI32">
        <v>0.26252799314916286</v>
      </c>
    </row>
    <row r="33" spans="1:35" x14ac:dyDescent="0.2">
      <c r="B33">
        <f>'5% CO'!B44</f>
        <v>7</v>
      </c>
      <c r="C33" t="str">
        <f>'5% CO'!H44</f>
        <v>Olefin</v>
      </c>
      <c r="D33" t="str">
        <f>'5% CO'!C44</f>
        <v>2-Metiles-1-ene</v>
      </c>
      <c r="E33">
        <f>'5% CO'!G44</f>
        <v>6.0762545371028406E-5</v>
      </c>
      <c r="F33" t="s">
        <v>375</v>
      </c>
      <c r="N33">
        <v>6</v>
      </c>
      <c r="O33" t="s">
        <v>57</v>
      </c>
      <c r="P33">
        <v>0.50140111603803417</v>
      </c>
      <c r="R33">
        <v>28</v>
      </c>
      <c r="S33" s="12">
        <v>8</v>
      </c>
      <c r="T33" s="10" t="s">
        <v>179</v>
      </c>
      <c r="U33" s="10" t="s">
        <v>180</v>
      </c>
      <c r="V33" s="10" t="s">
        <v>181</v>
      </c>
      <c r="W33">
        <f>+GETPIVOTDATA("mol",$N$17,"Cn",8,"Class","Aromatic")</f>
        <v>0.10006726324802021</v>
      </c>
      <c r="X33">
        <f t="shared" si="0"/>
        <v>0.80053810598416164</v>
      </c>
      <c r="Y33">
        <f t="shared" si="1"/>
        <v>0.38025531554597497</v>
      </c>
      <c r="Z33">
        <f t="shared" si="2"/>
        <v>0.42028279043818673</v>
      </c>
      <c r="AA33">
        <f t="shared" si="3"/>
        <v>7.2109400002093827E-3</v>
      </c>
      <c r="AB33">
        <f t="shared" si="4"/>
        <v>2.5375435758085109E-3</v>
      </c>
      <c r="AH33" s="15" t="s">
        <v>347</v>
      </c>
      <c r="AI33">
        <v>90.515199612541551</v>
      </c>
    </row>
    <row r="34" spans="1:35" x14ac:dyDescent="0.2">
      <c r="B34">
        <f>'5% CO'!B46</f>
        <v>7</v>
      </c>
      <c r="C34" t="str">
        <f>'5% CO'!H46</f>
        <v>paraffin</v>
      </c>
      <c r="D34" t="str">
        <f>'5% CO'!C46</f>
        <v>Eptano</v>
      </c>
      <c r="E34">
        <f>'5% CO'!G46</f>
        <v>5.4230671523978589E-5</v>
      </c>
      <c r="F34" t="s">
        <v>375</v>
      </c>
      <c r="N34">
        <v>6</v>
      </c>
      <c r="O34" t="s">
        <v>73</v>
      </c>
      <c r="P34">
        <v>3.8428912281942007E-2</v>
      </c>
      <c r="R34">
        <v>29</v>
      </c>
      <c r="S34" s="13">
        <v>9</v>
      </c>
      <c r="T34" s="10" t="s">
        <v>182</v>
      </c>
      <c r="U34" s="10" t="s">
        <v>183</v>
      </c>
      <c r="V34" s="10" t="s">
        <v>184</v>
      </c>
      <c r="W34">
        <f>+GETPIVOTDATA("mol",$N$17,"Cn",9,"Class","paraffin")</f>
        <v>5.6176551598659127E-2</v>
      </c>
      <c r="X34">
        <f t="shared" si="0"/>
        <v>0.5055889643879321</v>
      </c>
      <c r="Y34">
        <f t="shared" si="1"/>
        <v>0.24015457821779126</v>
      </c>
      <c r="Z34">
        <f t="shared" si="2"/>
        <v>0.26543438617014087</v>
      </c>
      <c r="AA34">
        <f t="shared" si="3"/>
        <v>4.5541513386016218E-3</v>
      </c>
      <c r="AB34">
        <f t="shared" si="4"/>
        <v>1.6026145651181004E-3</v>
      </c>
    </row>
    <row r="35" spans="1:35" x14ac:dyDescent="0.2">
      <c r="B35">
        <f>'5% CO'!B13</f>
        <v>8</v>
      </c>
      <c r="C35" t="str">
        <f>'5% CO'!H13</f>
        <v>Aromatic</v>
      </c>
      <c r="D35" t="str">
        <f>'5% CO'!C13</f>
        <v>Etilbenzene</v>
      </c>
      <c r="E35">
        <f>'5% CO'!G13</f>
        <v>0</v>
      </c>
      <c r="F35" t="s">
        <v>375</v>
      </c>
      <c r="N35">
        <v>6</v>
      </c>
      <c r="O35" t="s">
        <v>60</v>
      </c>
      <c r="P35">
        <v>0.44515746831591163</v>
      </c>
      <c r="R35">
        <v>30</v>
      </c>
      <c r="S35" s="12">
        <v>9</v>
      </c>
      <c r="T35" s="11" t="s">
        <v>185</v>
      </c>
      <c r="U35" s="11" t="s">
        <v>186</v>
      </c>
      <c r="V35" s="11" t="s">
        <v>187</v>
      </c>
      <c r="W35">
        <f>+GETPIVOTDATA("mol",$N$17,"Cn",9,"Class","iso-paraffin")</f>
        <v>0.35805334845579151</v>
      </c>
      <c r="X35">
        <f t="shared" si="0"/>
        <v>3.2224801361021234</v>
      </c>
      <c r="Y35">
        <f t="shared" si="1"/>
        <v>1.5306769182307889</v>
      </c>
      <c r="Z35">
        <f t="shared" si="2"/>
        <v>1.6918032178713347</v>
      </c>
      <c r="AA35">
        <f t="shared" si="3"/>
        <v>2.9026864229944244E-2</v>
      </c>
      <c r="AB35">
        <f t="shared" si="4"/>
        <v>1.0214609031613369E-2</v>
      </c>
    </row>
    <row r="36" spans="1:35" x14ac:dyDescent="0.2">
      <c r="B36">
        <f>'5% CO'!B12</f>
        <v>8</v>
      </c>
      <c r="C36" t="str">
        <f>'5% CO'!H12</f>
        <v>Aromatic</v>
      </c>
      <c r="D36" t="str">
        <f>'5% CO'!C12</f>
        <v>m-Xilene</v>
      </c>
      <c r="E36">
        <f>'5% CO'!G12</f>
        <v>2.963485167018438E-2</v>
      </c>
      <c r="F36" t="s">
        <v>375</v>
      </c>
      <c r="N36">
        <v>6</v>
      </c>
      <c r="O36" t="s">
        <v>76</v>
      </c>
      <c r="P36">
        <v>6.0548456071236696E-3</v>
      </c>
      <c r="R36">
        <v>31</v>
      </c>
      <c r="S36" s="12">
        <v>9</v>
      </c>
      <c r="T36" s="10" t="s">
        <v>188</v>
      </c>
      <c r="U36" s="10" t="s">
        <v>189</v>
      </c>
      <c r="V36" s="10" t="s">
        <v>190</v>
      </c>
      <c r="W36">
        <f>+GETPIVOTDATA("mol",$N$17,"Cn",9,"Class","Olefin")</f>
        <v>6.598404874134095E-2</v>
      </c>
      <c r="X36">
        <f t="shared" si="0"/>
        <v>0.59385643867206861</v>
      </c>
      <c r="Y36">
        <f t="shared" si="1"/>
        <v>0.28208159710104302</v>
      </c>
      <c r="Z36">
        <f t="shared" si="2"/>
        <v>0.31177484157102558</v>
      </c>
      <c r="AA36">
        <f t="shared" si="3"/>
        <v>5.349230868576583E-3</v>
      </c>
      <c r="AB36">
        <f t="shared" si="4"/>
        <v>1.8824045721749097E-3</v>
      </c>
    </row>
    <row r="37" spans="1:35" x14ac:dyDescent="0.2">
      <c r="B37">
        <f>'5% CO'!B14</f>
        <v>8</v>
      </c>
      <c r="C37" t="str">
        <f>'5% CO'!H14</f>
        <v>Aromatic</v>
      </c>
      <c r="D37" t="str">
        <f>'5% CO'!C14</f>
        <v>o-Xilene</v>
      </c>
      <c r="E37">
        <f>'5% CO'!G14</f>
        <v>0</v>
      </c>
      <c r="F37" t="s">
        <v>375</v>
      </c>
      <c r="N37">
        <v>7</v>
      </c>
      <c r="O37" t="s">
        <v>67</v>
      </c>
      <c r="P37">
        <v>8.5260287699485491E-3</v>
      </c>
      <c r="R37">
        <v>32</v>
      </c>
      <c r="S37" s="12">
        <v>9</v>
      </c>
      <c r="T37" s="11" t="s">
        <v>191</v>
      </c>
      <c r="U37" s="11" t="s">
        <v>192</v>
      </c>
      <c r="V37" s="11" t="s">
        <v>193</v>
      </c>
      <c r="W37">
        <f>+GETPIVOTDATA("mol",$N$17,"Cn",9,"Class","Naphthene")</f>
        <v>3.7197241926675943E-2</v>
      </c>
      <c r="X37">
        <f t="shared" si="0"/>
        <v>0.3347751773400835</v>
      </c>
      <c r="Y37">
        <f t="shared" si="1"/>
        <v>0.15901809013814985</v>
      </c>
      <c r="Z37">
        <f t="shared" si="2"/>
        <v>0.17575708720193367</v>
      </c>
      <c r="AA37">
        <f t="shared" si="3"/>
        <v>3.0155263057603391E-3</v>
      </c>
      <c r="AB37">
        <f t="shared" si="4"/>
        <v>1.061169473694349E-3</v>
      </c>
    </row>
    <row r="38" spans="1:35" x14ac:dyDescent="0.2">
      <c r="B38">
        <f>'5% CO'!B11</f>
        <v>8</v>
      </c>
      <c r="C38" t="str">
        <f>'5% CO'!H11</f>
        <v>Aromatic</v>
      </c>
      <c r="D38" t="str">
        <f>'5% CO'!C11</f>
        <v>p-Xilene</v>
      </c>
      <c r="E38">
        <f>'5% CO'!G11</f>
        <v>0</v>
      </c>
      <c r="F38" t="s">
        <v>375</v>
      </c>
      <c r="N38">
        <v>7</v>
      </c>
      <c r="O38" t="s">
        <v>57</v>
      </c>
      <c r="P38">
        <v>0.3261680062563902</v>
      </c>
      <c r="R38">
        <v>33</v>
      </c>
      <c r="S38" s="12">
        <v>9</v>
      </c>
      <c r="T38" s="10" t="s">
        <v>194</v>
      </c>
      <c r="U38" s="10" t="s">
        <v>195</v>
      </c>
      <c r="V38" s="10" t="s">
        <v>196</v>
      </c>
      <c r="W38">
        <f>+GETPIVOTDATA("mol",$N$17,"Cn",9,"Class","Aromatic")</f>
        <v>0.11361486254471226</v>
      </c>
      <c r="X38">
        <f t="shared" si="0"/>
        <v>1.0225337629024103</v>
      </c>
      <c r="Y38">
        <f t="shared" si="1"/>
        <v>0.48570317360578197</v>
      </c>
      <c r="Z38">
        <f t="shared" si="2"/>
        <v>0.5368305892966283</v>
      </c>
      <c r="AA38">
        <f t="shared" si="3"/>
        <v>9.2105916724762229E-3</v>
      </c>
      <c r="AB38">
        <f t="shared" si="4"/>
        <v>3.2412248232836145E-3</v>
      </c>
    </row>
    <row r="39" spans="1:35" x14ac:dyDescent="0.2">
      <c r="B39">
        <f>'5% CO'!B8</f>
        <v>8</v>
      </c>
      <c r="C39" t="str">
        <f>'5% CO'!H8</f>
        <v>Olefin</v>
      </c>
      <c r="D39" t="str">
        <f>'5% CO'!C8</f>
        <v>Ottene</v>
      </c>
      <c r="E39">
        <f>'5% CO'!G8</f>
        <v>0</v>
      </c>
      <c r="F39" t="s">
        <v>375</v>
      </c>
      <c r="N39">
        <v>7</v>
      </c>
      <c r="O39" t="s">
        <v>73</v>
      </c>
      <c r="P39">
        <v>3.4702013310505875E-2</v>
      </c>
      <c r="R39">
        <v>34</v>
      </c>
      <c r="S39" s="12">
        <v>10</v>
      </c>
      <c r="T39" s="11" t="s">
        <v>197</v>
      </c>
      <c r="U39" s="11" t="s">
        <v>198</v>
      </c>
      <c r="V39" s="11" t="s">
        <v>199</v>
      </c>
      <c r="W39">
        <f>+GETPIVOTDATA("mol",$N$17,"Cn",10,"Class","paraffin")</f>
        <v>7.4575363465812131E-2</v>
      </c>
      <c r="X39">
        <f t="shared" si="0"/>
        <v>0.74575363465812128</v>
      </c>
      <c r="Y39">
        <f t="shared" si="1"/>
        <v>0.35423271115602845</v>
      </c>
      <c r="Z39">
        <f t="shared" si="2"/>
        <v>0.39152092350209289</v>
      </c>
      <c r="AA39">
        <f t="shared" si="3"/>
        <v>6.7174625096037268E-3</v>
      </c>
      <c r="AB39">
        <f t="shared" si="4"/>
        <v>2.3638879031699749E-3</v>
      </c>
    </row>
    <row r="40" spans="1:35" x14ac:dyDescent="0.2">
      <c r="B40">
        <f>'5% CO'!B10</f>
        <v>9</v>
      </c>
      <c r="C40" t="str">
        <f>'5% CO'!H10</f>
        <v>Aromatic</v>
      </c>
      <c r="D40" t="str">
        <f>'5% CO'!C10</f>
        <v>Nonene</v>
      </c>
      <c r="E40">
        <f>'5% CO'!G10</f>
        <v>2.0661617610069835E-2</v>
      </c>
      <c r="F40" t="s">
        <v>375</v>
      </c>
      <c r="N40">
        <v>7</v>
      </c>
      <c r="O40" t="s">
        <v>60</v>
      </c>
      <c r="P40">
        <v>0.22795214217457127</v>
      </c>
      <c r="R40">
        <v>35</v>
      </c>
      <c r="S40" s="12">
        <v>10</v>
      </c>
      <c r="T40" s="10" t="s">
        <v>200</v>
      </c>
      <c r="U40" s="10" t="s">
        <v>201</v>
      </c>
      <c r="V40" s="10" t="s">
        <v>202</v>
      </c>
      <c r="W40">
        <f>+GETPIVOTDATA("mol",$N$17,"Cn",10,"Class","iso-paraffin")</f>
        <v>0.12171613582007894</v>
      </c>
      <c r="X40">
        <f t="shared" si="0"/>
        <v>1.2171613582007894</v>
      </c>
      <c r="Y40">
        <f t="shared" si="1"/>
        <v>0.5781512121325123</v>
      </c>
      <c r="Z40">
        <f t="shared" si="2"/>
        <v>0.63901014606827722</v>
      </c>
      <c r="AA40">
        <f t="shared" si="3"/>
        <v>1.0963722349942579E-2</v>
      </c>
      <c r="AB40">
        <f t="shared" si="4"/>
        <v>3.8581548612576372E-3</v>
      </c>
    </row>
    <row r="41" spans="1:35" x14ac:dyDescent="0.2">
      <c r="B41">
        <f>'5% CO'!B15</f>
        <v>9</v>
      </c>
      <c r="C41" t="str">
        <f>'5% CO'!H15</f>
        <v>Aromatic</v>
      </c>
      <c r="D41" t="str">
        <f>'5% CO'!C15</f>
        <v>Trimetilbenzene</v>
      </c>
      <c r="E41">
        <f>'5% CO'!G15</f>
        <v>0</v>
      </c>
      <c r="F41" t="s">
        <v>375</v>
      </c>
      <c r="N41">
        <v>7</v>
      </c>
      <c r="O41" t="s">
        <v>76</v>
      </c>
      <c r="P41">
        <v>5.4230671523978589E-5</v>
      </c>
      <c r="R41">
        <v>36</v>
      </c>
      <c r="S41" s="12">
        <v>10</v>
      </c>
      <c r="T41" s="11" t="s">
        <v>203</v>
      </c>
      <c r="U41" s="11" t="s">
        <v>204</v>
      </c>
      <c r="V41" s="11" t="s">
        <v>205</v>
      </c>
      <c r="W41">
        <f>+GETPIVOTDATA("mol",$N$17,"Cn",10,"Class","Olefin")</f>
        <v>0.13279319704106399</v>
      </c>
      <c r="X41">
        <f t="shared" si="0"/>
        <v>1.3279319704106398</v>
      </c>
      <c r="Y41">
        <f t="shared" si="1"/>
        <v>0.63076721352484433</v>
      </c>
      <c r="Z41">
        <f t="shared" si="2"/>
        <v>0.6971647568857956</v>
      </c>
      <c r="AA41">
        <f t="shared" si="3"/>
        <v>1.1961501509311533E-2</v>
      </c>
      <c r="AB41">
        <f t="shared" si="4"/>
        <v>4.2092752555278421E-3</v>
      </c>
    </row>
    <row r="42" spans="1:35" x14ac:dyDescent="0.2">
      <c r="B42">
        <f>'5% CO'!B16</f>
        <v>10</v>
      </c>
      <c r="C42" t="str">
        <f>'5% CO'!H16</f>
        <v>Olefin</v>
      </c>
      <c r="D42" t="str">
        <f>'5% CO'!C16</f>
        <v>Decene</v>
      </c>
      <c r="E42">
        <f>'5% CO'!G16</f>
        <v>0</v>
      </c>
      <c r="F42" t="s">
        <v>375</v>
      </c>
      <c r="N42">
        <v>8</v>
      </c>
      <c r="O42" t="s">
        <v>67</v>
      </c>
      <c r="P42">
        <v>0.10006726324802021</v>
      </c>
      <c r="R42">
        <v>37</v>
      </c>
      <c r="S42" s="12">
        <v>10</v>
      </c>
      <c r="T42" s="10" t="s">
        <v>206</v>
      </c>
      <c r="U42" s="10" t="s">
        <v>207</v>
      </c>
      <c r="V42" s="10" t="s">
        <v>208</v>
      </c>
      <c r="W42">
        <f>+GETPIVOTDATA("mol",$N$17,"Cn",10,"Class","Naphthene")</f>
        <v>7.7256423384358452E-2</v>
      </c>
      <c r="X42">
        <f t="shared" si="0"/>
        <v>0.77256423384358452</v>
      </c>
      <c r="Y42">
        <f t="shared" si="1"/>
        <v>0.36696773623108303</v>
      </c>
      <c r="Z42">
        <f t="shared" si="2"/>
        <v>0.40559649761250155</v>
      </c>
      <c r="AA42">
        <f t="shared" si="3"/>
        <v>6.9589620967574995E-3</v>
      </c>
      <c r="AB42">
        <f t="shared" si="4"/>
        <v>2.4488720697175633E-3</v>
      </c>
    </row>
    <row r="43" spans="1:35" x14ac:dyDescent="0.2">
      <c r="B43">
        <f>'5% CO'!B17</f>
        <v>10</v>
      </c>
      <c r="C43" t="str">
        <f>'5% CO'!H17</f>
        <v>paraffin</v>
      </c>
      <c r="D43" t="str">
        <f>'5% CO'!C17</f>
        <v>Decano</v>
      </c>
      <c r="E43">
        <f>'5% CO'!G17</f>
        <v>4.2373257061733378E-3</v>
      </c>
      <c r="F43" t="s">
        <v>375</v>
      </c>
      <c r="N43">
        <v>8</v>
      </c>
      <c r="O43" t="s">
        <v>57</v>
      </c>
      <c r="P43">
        <v>0.13618128701509688</v>
      </c>
      <c r="R43">
        <v>38</v>
      </c>
      <c r="S43" s="12">
        <v>10</v>
      </c>
      <c r="T43" s="11" t="s">
        <v>209</v>
      </c>
      <c r="U43" s="11" t="s">
        <v>210</v>
      </c>
      <c r="V43" s="11" t="s">
        <v>211</v>
      </c>
      <c r="W43">
        <f>+GETPIVOTDATA("mol",$N$17,"Cn",10,"Class","Aromatic")</f>
        <v>9.4571556145768718E-2</v>
      </c>
      <c r="X43">
        <f t="shared" si="0"/>
        <v>0.9457155614576872</v>
      </c>
      <c r="Y43">
        <f t="shared" si="1"/>
        <v>0.44921455524810022</v>
      </c>
      <c r="Z43">
        <f t="shared" si="2"/>
        <v>0.49650100620958698</v>
      </c>
      <c r="AA43">
        <f t="shared" si="3"/>
        <v>8.5186427978365745E-3</v>
      </c>
      <c r="AB43">
        <f t="shared" si="4"/>
        <v>2.9977266910596908E-3</v>
      </c>
    </row>
    <row r="44" spans="1:35" x14ac:dyDescent="0.2">
      <c r="A44" t="s">
        <v>338</v>
      </c>
      <c r="B44">
        <f>+'5% CO'!T2</f>
        <v>3</v>
      </c>
      <c r="C44" t="str">
        <f>+'5% CO'!U2</f>
        <v>paraffin</v>
      </c>
      <c r="D44" t="str">
        <f>+'5% CO'!R2</f>
        <v>Propane</v>
      </c>
      <c r="E44">
        <f>+'5% CO'!Z2</f>
        <v>2.8109188819858424E-2</v>
      </c>
      <c r="F44" t="s">
        <v>376</v>
      </c>
      <c r="N44">
        <v>8</v>
      </c>
      <c r="O44" t="s">
        <v>73</v>
      </c>
      <c r="P44">
        <v>6.1129115107962102E-2</v>
      </c>
      <c r="R44">
        <v>39</v>
      </c>
      <c r="S44" s="12">
        <v>11</v>
      </c>
      <c r="T44" s="11" t="s">
        <v>212</v>
      </c>
      <c r="U44" s="11" t="s">
        <v>213</v>
      </c>
      <c r="V44" s="11" t="s">
        <v>214</v>
      </c>
      <c r="W44">
        <f>+GETPIVOTDATA("mol",$N$17,"Cn",11,"Class","paraffin")</f>
        <v>8.429877896413708E-2</v>
      </c>
      <c r="X44">
        <f t="shared" si="0"/>
        <v>0.92728656860550784</v>
      </c>
      <c r="Y44">
        <f t="shared" si="1"/>
        <v>0.44046079019954598</v>
      </c>
      <c r="Z44">
        <f t="shared" si="2"/>
        <v>0.48682577840596192</v>
      </c>
      <c r="AA44">
        <f t="shared" si="3"/>
        <v>8.3526415035471788E-3</v>
      </c>
      <c r="AB44">
        <f t="shared" si="4"/>
        <v>2.939310518149124E-3</v>
      </c>
    </row>
    <row r="45" spans="1:35" x14ac:dyDescent="0.2">
      <c r="B45">
        <f>+'5% CO'!T5</f>
        <v>4</v>
      </c>
      <c r="C45" t="str">
        <f>+'5% CO'!U5</f>
        <v>iso-paraffin</v>
      </c>
      <c r="D45" t="str">
        <f>+'5% CO'!R5</f>
        <v>i-Butane</v>
      </c>
      <c r="E45">
        <f>+'5% CO'!Z5</f>
        <v>9.861334818537966E-3</v>
      </c>
      <c r="F45" t="s">
        <v>376</v>
      </c>
      <c r="N45">
        <v>8</v>
      </c>
      <c r="O45" t="s">
        <v>60</v>
      </c>
      <c r="P45">
        <v>0.37385779168760375</v>
      </c>
      <c r="R45">
        <v>40</v>
      </c>
      <c r="S45" s="12">
        <v>11</v>
      </c>
      <c r="T45" s="10" t="s">
        <v>215</v>
      </c>
      <c r="U45" s="10" t="s">
        <v>216</v>
      </c>
      <c r="V45" s="10" t="s">
        <v>217</v>
      </c>
      <c r="W45">
        <f>+GETPIVOTDATA("mol",$N$17,"Cn",11,"Class","iso-paraffin")</f>
        <v>0.12608079290427424</v>
      </c>
      <c r="X45">
        <f t="shared" si="0"/>
        <v>1.3868887219470165</v>
      </c>
      <c r="Y45">
        <f t="shared" si="1"/>
        <v>0.65877164953038547</v>
      </c>
      <c r="Z45">
        <f t="shared" si="2"/>
        <v>0.72811707241663115</v>
      </c>
      <c r="AA45">
        <f t="shared" si="3"/>
        <v>1.2492561298668364E-2</v>
      </c>
      <c r="AB45">
        <f t="shared" si="4"/>
        <v>4.3961562109668716E-3</v>
      </c>
    </row>
    <row r="46" spans="1:35" x14ac:dyDescent="0.2">
      <c r="B46">
        <f>+'5% CO'!T3</f>
        <v>4</v>
      </c>
      <c r="C46" t="str">
        <f>+'5% CO'!U3</f>
        <v>Olefin</v>
      </c>
      <c r="D46" t="str">
        <f>+'5% CO'!R3</f>
        <v>Butene-1</v>
      </c>
      <c r="E46">
        <f>+'5% CO'!Z3</f>
        <v>0.17673871699837243</v>
      </c>
      <c r="F46" t="s">
        <v>376</v>
      </c>
      <c r="N46">
        <v>8</v>
      </c>
      <c r="O46" t="s">
        <v>76</v>
      </c>
      <c r="P46">
        <v>2.3586206780926378E-2</v>
      </c>
      <c r="R46">
        <v>41</v>
      </c>
      <c r="S46" s="12">
        <v>11</v>
      </c>
      <c r="T46" s="10" t="s">
        <v>219</v>
      </c>
      <c r="U46" s="10" t="s">
        <v>220</v>
      </c>
      <c r="V46" s="10" t="s">
        <v>221</v>
      </c>
      <c r="W46">
        <f>+GETPIVOTDATA("mol",$N$17,"Cn",11,"Class","Aromatic")</f>
        <v>5.0538344447955866E-2</v>
      </c>
      <c r="X46">
        <f t="shared" si="0"/>
        <v>0.55592178892751454</v>
      </c>
      <c r="Y46">
        <f t="shared" si="1"/>
        <v>0.26406265196787176</v>
      </c>
      <c r="Z46">
        <f t="shared" si="2"/>
        <v>0.29185913695964277</v>
      </c>
      <c r="AA46">
        <f t="shared" si="3"/>
        <v>5.0075301035634682E-3</v>
      </c>
      <c r="AB46">
        <f t="shared" si="4"/>
        <v>1.7621594195203732E-3</v>
      </c>
    </row>
    <row r="47" spans="1:35" x14ac:dyDescent="0.2">
      <c r="B47">
        <f>+'5% CO'!T4</f>
        <v>4</v>
      </c>
      <c r="C47" t="str">
        <f>+'5% CO'!U4</f>
        <v>paraffin</v>
      </c>
      <c r="D47" t="str">
        <f>+'5% CO'!R4</f>
        <v>n-Butane</v>
      </c>
      <c r="E47">
        <f>+'5% CO'!Z4</f>
        <v>1.6888632023502572E-2</v>
      </c>
      <c r="F47" t="s">
        <v>376</v>
      </c>
      <c r="N47">
        <v>9</v>
      </c>
      <c r="O47" t="s">
        <v>67</v>
      </c>
      <c r="P47">
        <v>0.11361486254471226</v>
      </c>
      <c r="R47">
        <v>42</v>
      </c>
      <c r="S47" s="12">
        <v>11</v>
      </c>
      <c r="T47" s="17" t="s">
        <v>65</v>
      </c>
      <c r="V47" s="16" t="s">
        <v>357</v>
      </c>
      <c r="W47">
        <f>+GETPIVOTDATA("mol",$N$17,"Cn",11,"Class","Olefin")</f>
        <v>8.1174649789622355E-2</v>
      </c>
      <c r="X47">
        <f t="shared" si="0"/>
        <v>0.89292114768584585</v>
      </c>
      <c r="Y47">
        <f t="shared" si="1"/>
        <v>0.4241372274884227</v>
      </c>
      <c r="Z47">
        <f t="shared" si="2"/>
        <v>0.46878392019742321</v>
      </c>
      <c r="AA47">
        <f t="shared" si="3"/>
        <v>8.0430909818652967E-3</v>
      </c>
      <c r="AB47">
        <f t="shared" si="4"/>
        <v>2.8303790976048917E-3</v>
      </c>
    </row>
    <row r="48" spans="1:35" x14ac:dyDescent="0.2">
      <c r="B48">
        <f>+'5% CO'!T8</f>
        <v>5</v>
      </c>
      <c r="C48" t="str">
        <f>+'5% CO'!U8</f>
        <v>iso-paraffin</v>
      </c>
      <c r="D48" t="str">
        <f>+'5% CO'!R8</f>
        <v>(C5-IsoParaffin)</v>
      </c>
      <c r="E48">
        <f>+'5% CO'!Z8</f>
        <v>2.8455969793671199E-2</v>
      </c>
      <c r="F48" t="s">
        <v>376</v>
      </c>
      <c r="N48">
        <v>9</v>
      </c>
      <c r="O48" t="s">
        <v>57</v>
      </c>
      <c r="P48">
        <v>0.35805334845579151</v>
      </c>
      <c r="R48">
        <v>43</v>
      </c>
      <c r="S48" s="12">
        <v>12</v>
      </c>
      <c r="T48" s="10" t="s">
        <v>222</v>
      </c>
      <c r="U48" s="10" t="s">
        <v>223</v>
      </c>
      <c r="V48" s="10" t="s">
        <v>224</v>
      </c>
      <c r="W48">
        <f>+GETPIVOTDATA("mol",$N$17,"Cn",12,"Class","iso-paraffin")</f>
        <v>8.8871593012984015E-2</v>
      </c>
      <c r="X48">
        <f t="shared" si="0"/>
        <v>1.0664591161558081</v>
      </c>
      <c r="Y48">
        <f t="shared" si="1"/>
        <v>0.50656770077442326</v>
      </c>
      <c r="Z48">
        <f t="shared" si="2"/>
        <v>0.55989141538138487</v>
      </c>
      <c r="AA48">
        <f t="shared" si="3"/>
        <v>9.6062543953754128E-3</v>
      </c>
      <c r="AB48">
        <f t="shared" si="4"/>
        <v>3.3804592921116163E-3</v>
      </c>
    </row>
    <row r="49" spans="2:28" x14ac:dyDescent="0.2">
      <c r="B49">
        <f>+'5% CO'!T9</f>
        <v>5</v>
      </c>
      <c r="C49" t="str">
        <f>+'5% CO'!U9</f>
        <v>Naphthene</v>
      </c>
      <c r="D49" t="str">
        <f>+'5% CO'!R9</f>
        <v>Cyclopentane</v>
      </c>
      <c r="E49">
        <f>+'5% CO'!Z9</f>
        <v>1.1902160779367163E-2</v>
      </c>
      <c r="F49" t="s">
        <v>376</v>
      </c>
      <c r="N49">
        <v>9</v>
      </c>
      <c r="O49" t="s">
        <v>73</v>
      </c>
      <c r="P49">
        <v>3.7197241926675943E-2</v>
      </c>
      <c r="R49">
        <v>44</v>
      </c>
      <c r="S49" s="12">
        <v>12</v>
      </c>
      <c r="T49" s="11" t="s">
        <v>225</v>
      </c>
      <c r="U49" s="11" t="s">
        <v>226</v>
      </c>
      <c r="V49" s="11" t="s">
        <v>227</v>
      </c>
      <c r="W49">
        <f>+GETPIVOTDATA("mol",$N$17,"Cn",12,"Class","paraffin")</f>
        <v>9.3487265376735088E-2</v>
      </c>
      <c r="X49">
        <f t="shared" si="0"/>
        <v>1.1218471845208211</v>
      </c>
      <c r="Y49">
        <f t="shared" si="1"/>
        <v>0.53287701354314831</v>
      </c>
      <c r="Z49">
        <f t="shared" si="2"/>
        <v>0.58897017097767279</v>
      </c>
      <c r="AA49">
        <f t="shared" si="3"/>
        <v>1.0105168856438564E-2</v>
      </c>
      <c r="AB49">
        <f t="shared" si="4"/>
        <v>3.5560282450514554E-3</v>
      </c>
    </row>
    <row r="50" spans="2:28" x14ac:dyDescent="0.2">
      <c r="B50">
        <f>+'5% CO'!T6</f>
        <v>5</v>
      </c>
      <c r="C50" t="str">
        <f>+'5% CO'!U6</f>
        <v>Olefin</v>
      </c>
      <c r="D50" t="str">
        <f>+'5% CO'!R6</f>
        <v>1,4-Pentadiene</v>
      </c>
      <c r="E50">
        <f>+'5% CO'!Z6</f>
        <v>0.38228815674063837</v>
      </c>
      <c r="F50" t="s">
        <v>376</v>
      </c>
      <c r="N50">
        <v>9</v>
      </c>
      <c r="O50" t="s">
        <v>60</v>
      </c>
      <c r="P50">
        <v>6.598404874134095E-2</v>
      </c>
      <c r="R50">
        <v>45</v>
      </c>
      <c r="S50" s="12">
        <v>12</v>
      </c>
      <c r="T50" s="11" t="s">
        <v>228</v>
      </c>
      <c r="U50" s="11" t="s">
        <v>229</v>
      </c>
      <c r="V50" s="11" t="s">
        <v>230</v>
      </c>
      <c r="W50">
        <f>+GETPIVOTDATA("mol",$N$17,"Cn",12,"Class","Olefin")</f>
        <v>8.7293141683905204E-3</v>
      </c>
      <c r="X50">
        <f t="shared" si="0"/>
        <v>0.10475177002068625</v>
      </c>
      <c r="Y50">
        <f t="shared" si="1"/>
        <v>4.9757053493720282E-2</v>
      </c>
      <c r="Z50">
        <f t="shared" si="2"/>
        <v>5.4994716526965977E-2</v>
      </c>
      <c r="AA50">
        <f t="shared" si="3"/>
        <v>9.4356373905059928E-4</v>
      </c>
      <c r="AB50">
        <f t="shared" si="4"/>
        <v>3.3204188418211532E-4</v>
      </c>
    </row>
    <row r="51" spans="2:28" x14ac:dyDescent="0.2">
      <c r="B51">
        <f>+'5% CO'!T7</f>
        <v>5</v>
      </c>
      <c r="C51" t="str">
        <f>+'5% CO'!U7</f>
        <v>paraffin</v>
      </c>
      <c r="D51" t="str">
        <f>+'5% CO'!R7</f>
        <v>n-Pentane</v>
      </c>
      <c r="E51">
        <f>+'5% CO'!Z7</f>
        <v>3.3633768471634337E-2</v>
      </c>
      <c r="F51" t="s">
        <v>376</v>
      </c>
      <c r="N51">
        <v>9</v>
      </c>
      <c r="O51" t="s">
        <v>76</v>
      </c>
      <c r="P51">
        <v>5.6176551598659127E-2</v>
      </c>
      <c r="R51">
        <v>46</v>
      </c>
      <c r="S51" s="12">
        <v>12</v>
      </c>
      <c r="T51" s="10" t="s">
        <v>231</v>
      </c>
      <c r="U51" s="10" t="s">
        <v>232</v>
      </c>
      <c r="V51" s="10" t="s">
        <v>233</v>
      </c>
      <c r="W51">
        <f>+GETPIVOTDATA("mol",$N$17,"Cn",12,"Class","Aromatic")</f>
        <v>3.0767842952423023E-2</v>
      </c>
      <c r="X51">
        <f t="shared" si="0"/>
        <v>0.36921411542907628</v>
      </c>
      <c r="Y51">
        <f t="shared" si="1"/>
        <v>0.17537657347855107</v>
      </c>
      <c r="Z51">
        <f t="shared" si="2"/>
        <v>0.19383754195052524</v>
      </c>
      <c r="AA51">
        <f t="shared" si="3"/>
        <v>3.325739041886564E-3</v>
      </c>
      <c r="AB51">
        <f t="shared" si="4"/>
        <v>1.1703339287679213E-3</v>
      </c>
    </row>
    <row r="52" spans="2:28" x14ac:dyDescent="0.2">
      <c r="B52">
        <f>+'5% CO'!T14</f>
        <v>6</v>
      </c>
      <c r="C52" t="str">
        <f>+'5% CO'!U14</f>
        <v>Aromatic</v>
      </c>
      <c r="D52" t="str">
        <f>+'5% CO'!R14</f>
        <v>Benzene</v>
      </c>
      <c r="E52">
        <f>+'5% CO'!Z14</f>
        <v>3.1887905637956234E-3</v>
      </c>
      <c r="F52" t="s">
        <v>376</v>
      </c>
      <c r="N52">
        <v>10</v>
      </c>
      <c r="O52" t="s">
        <v>67</v>
      </c>
      <c r="P52">
        <v>9.4571556145768718E-2</v>
      </c>
      <c r="R52">
        <v>47</v>
      </c>
      <c r="S52" s="12">
        <v>12</v>
      </c>
      <c r="V52" s="16" t="s">
        <v>355</v>
      </c>
      <c r="W52">
        <f>+GETPIVOTDATA("mol",$N$17,"Cn",12,"Class","Naphthene")</f>
        <v>7.9958923387175255E-3</v>
      </c>
      <c r="X52">
        <f t="shared" si="0"/>
        <v>9.5950708064610313E-2</v>
      </c>
      <c r="Y52">
        <f t="shared" si="1"/>
        <v>4.5576552195617751E-2</v>
      </c>
      <c r="Z52">
        <f t="shared" si="2"/>
        <v>5.0374155868992569E-2</v>
      </c>
      <c r="AA52">
        <f t="shared" si="3"/>
        <v>8.642871509294529E-4</v>
      </c>
      <c r="AB52">
        <f t="shared" si="4"/>
        <v>3.0414430121886903E-4</v>
      </c>
    </row>
    <row r="53" spans="2:28" x14ac:dyDescent="0.2">
      <c r="B53">
        <f>+'5% CO'!T10</f>
        <v>6</v>
      </c>
      <c r="C53" t="str">
        <f>+'5% CO'!U10</f>
        <v>iso-paraffin</v>
      </c>
      <c r="D53" t="str">
        <f>+'5% CO'!R10</f>
        <v>3-Methylpentane</v>
      </c>
      <c r="E53">
        <f>+'5% CO'!Z10</f>
        <v>0.38245158225703285</v>
      </c>
      <c r="F53" t="s">
        <v>376</v>
      </c>
      <c r="N53">
        <v>10</v>
      </c>
      <c r="O53" t="s">
        <v>57</v>
      </c>
      <c r="P53">
        <v>0.12171613582007894</v>
      </c>
      <c r="R53">
        <v>48</v>
      </c>
      <c r="S53" s="12">
        <v>13</v>
      </c>
      <c r="T53" s="10" t="s">
        <v>234</v>
      </c>
      <c r="U53" s="10" t="s">
        <v>235</v>
      </c>
      <c r="V53" s="10" t="s">
        <v>236</v>
      </c>
      <c r="W53">
        <f>+GETPIVOTDATA("mol",$N$17,"Cn",13,"Class","iso-paraffin")</f>
        <v>3.2103149001012445E-2</v>
      </c>
      <c r="X53">
        <f t="shared" si="0"/>
        <v>0.41734093701316177</v>
      </c>
      <c r="Y53">
        <f t="shared" si="1"/>
        <v>0.19823679660957005</v>
      </c>
      <c r="Z53">
        <f t="shared" si="2"/>
        <v>0.21910414040359175</v>
      </c>
      <c r="AA53">
        <f t="shared" si="3"/>
        <v>3.7592469789222162E-3</v>
      </c>
      <c r="AB53">
        <f t="shared" si="4"/>
        <v>1.3228862008232815E-3</v>
      </c>
    </row>
    <row r="54" spans="2:28" x14ac:dyDescent="0.2">
      <c r="B54">
        <f>+'5% CO'!T12</f>
        <v>6</v>
      </c>
      <c r="C54" t="str">
        <f>+'5% CO'!U12</f>
        <v>Naphthene</v>
      </c>
      <c r="D54" t="str">
        <f>+'5% CO'!R12</f>
        <v>Cyclohexane</v>
      </c>
      <c r="E54">
        <f>+'5% CO'!Z12</f>
        <v>3.8428912281942007E-2</v>
      </c>
      <c r="F54" t="s">
        <v>376</v>
      </c>
      <c r="N54">
        <v>10</v>
      </c>
      <c r="O54" t="s">
        <v>73</v>
      </c>
      <c r="P54">
        <v>7.7256423384358452E-2</v>
      </c>
      <c r="R54">
        <v>49</v>
      </c>
      <c r="S54" s="12">
        <v>13</v>
      </c>
      <c r="T54" s="11" t="s">
        <v>237</v>
      </c>
      <c r="U54" s="11" t="s">
        <v>238</v>
      </c>
      <c r="V54" s="11" t="s">
        <v>239</v>
      </c>
      <c r="W54">
        <f>+GETPIVOTDATA("mol",$N$17,"Cn",13,"Class","Olefin")</f>
        <v>2.774247790502192E-3</v>
      </c>
      <c r="X54">
        <f t="shared" si="0"/>
        <v>3.6065221276528496E-2</v>
      </c>
      <c r="Y54">
        <f t="shared" si="1"/>
        <v>1.7130967275920127E-2</v>
      </c>
      <c r="Z54">
        <f t="shared" si="2"/>
        <v>1.8934254000608369E-2</v>
      </c>
      <c r="AA54">
        <f t="shared" si="3"/>
        <v>3.2486167088774045E-4</v>
      </c>
      <c r="AB54">
        <f t="shared" si="4"/>
        <v>1.1431944322982413E-4</v>
      </c>
    </row>
    <row r="55" spans="2:28" x14ac:dyDescent="0.2">
      <c r="B55">
        <f>+'5% CO'!T11</f>
        <v>6</v>
      </c>
      <c r="C55" t="str">
        <f>+'5% CO'!U11</f>
        <v>Olefin</v>
      </c>
      <c r="D55" t="str">
        <f>+'5% CO'!R11</f>
        <v>1t,4-Hexadiene</v>
      </c>
      <c r="E55">
        <f>+'5% CO'!Z11</f>
        <v>0.15513067494045232</v>
      </c>
      <c r="F55" t="s">
        <v>376</v>
      </c>
      <c r="N55">
        <v>10</v>
      </c>
      <c r="O55" t="s">
        <v>60</v>
      </c>
      <c r="P55">
        <v>0.13279319704106399</v>
      </c>
      <c r="R55">
        <v>50</v>
      </c>
      <c r="S55" s="12">
        <v>13</v>
      </c>
      <c r="T55" s="10" t="s">
        <v>240</v>
      </c>
      <c r="U55" s="10" t="s">
        <v>241</v>
      </c>
      <c r="V55" s="10" t="s">
        <v>242</v>
      </c>
      <c r="W55">
        <f>+GETPIVOTDATA("mol",$N$17,"Cn",13,"Class","paraffin")</f>
        <v>9.7048685010134514E-2</v>
      </c>
      <c r="X55">
        <f t="shared" si="0"/>
        <v>1.2616329051317487</v>
      </c>
      <c r="Y55">
        <f t="shared" si="1"/>
        <v>0.5992751811036835</v>
      </c>
      <c r="Z55">
        <f t="shared" si="2"/>
        <v>0.66235772402806536</v>
      </c>
      <c r="AA55">
        <f t="shared" si="3"/>
        <v>1.1364304975851941E-2</v>
      </c>
      <c r="AB55">
        <f t="shared" si="4"/>
        <v>3.9991206533634225E-3</v>
      </c>
    </row>
    <row r="56" spans="2:28" x14ac:dyDescent="0.2">
      <c r="B56">
        <f>+'5% CO'!T13</f>
        <v>6</v>
      </c>
      <c r="C56" t="str">
        <f>+'5% CO'!U13</f>
        <v>paraffin</v>
      </c>
      <c r="D56" t="str">
        <f>+'5% CO'!R13</f>
        <v>n-Hexane</v>
      </c>
      <c r="E56">
        <f>+'5% CO'!Z13</f>
        <v>4.3447271431715367E-3</v>
      </c>
      <c r="F56" t="s">
        <v>376</v>
      </c>
      <c r="N56">
        <v>10</v>
      </c>
      <c r="O56" t="s">
        <v>76</v>
      </c>
      <c r="P56">
        <v>7.4575363465812131E-2</v>
      </c>
      <c r="R56">
        <v>51</v>
      </c>
      <c r="S56" s="12">
        <v>14</v>
      </c>
      <c r="T56" s="11" t="s">
        <v>243</v>
      </c>
      <c r="U56" s="11" t="s">
        <v>244</v>
      </c>
      <c r="V56" s="11" t="s">
        <v>245</v>
      </c>
      <c r="W56">
        <f>+GETPIVOTDATA("mol",$N$17,"Cn",14,"Class","iso-paraffin")</f>
        <v>7.3023303910919749E-3</v>
      </c>
      <c r="X56">
        <f t="shared" si="0"/>
        <v>0.10223262547528765</v>
      </c>
      <c r="Y56">
        <f t="shared" si="1"/>
        <v>4.8560460730857576E-2</v>
      </c>
      <c r="Z56">
        <f t="shared" si="2"/>
        <v>5.3672164744430081E-2</v>
      </c>
      <c r="AA56">
        <f t="shared" si="3"/>
        <v>9.2087225187099529E-4</v>
      </c>
      <c r="AB56">
        <f t="shared" si="4"/>
        <v>3.2405670644988164E-4</v>
      </c>
    </row>
    <row r="57" spans="2:28" x14ac:dyDescent="0.2">
      <c r="B57">
        <f>+'5% CO'!T18</f>
        <v>7</v>
      </c>
      <c r="C57" t="str">
        <f>+'5% CO'!U18</f>
        <v>Aromatic</v>
      </c>
      <c r="D57" t="str">
        <f>+'5% CO'!R18</f>
        <v>Toluene</v>
      </c>
      <c r="E57">
        <f>+'5% CO'!Z18</f>
        <v>8.5260287699485491E-3</v>
      </c>
      <c r="F57" t="s">
        <v>376</v>
      </c>
      <c r="N57">
        <v>11</v>
      </c>
      <c r="O57" t="s">
        <v>67</v>
      </c>
      <c r="P57">
        <v>5.0538344447955866E-2</v>
      </c>
      <c r="R57">
        <v>52</v>
      </c>
      <c r="S57" s="12">
        <v>14</v>
      </c>
      <c r="T57" s="10" t="s">
        <v>246</v>
      </c>
      <c r="U57" s="10" t="s">
        <v>247</v>
      </c>
      <c r="V57" s="10" t="s">
        <v>248</v>
      </c>
      <c r="W57">
        <f>+GETPIVOTDATA("mol",$N$17,"Cn",14,"Class","paraffin")</f>
        <v>9.5267975193434815E-2</v>
      </c>
      <c r="X57">
        <f t="shared" si="0"/>
        <v>1.3337516527080875</v>
      </c>
      <c r="Y57">
        <f t="shared" si="1"/>
        <v>0.63353156054574311</v>
      </c>
      <c r="Z57">
        <f t="shared" si="2"/>
        <v>0.70022009216234449</v>
      </c>
      <c r="AA57">
        <f t="shared" si="3"/>
        <v>1.2013922973765851E-2</v>
      </c>
      <c r="AB57">
        <f t="shared" si="4"/>
        <v>4.2277224691167313E-3</v>
      </c>
    </row>
    <row r="58" spans="2:28" x14ac:dyDescent="0.2">
      <c r="B58">
        <f>+'5% CO'!T15</f>
        <v>7</v>
      </c>
      <c r="C58" t="str">
        <f>+'5% CO'!U15</f>
        <v>iso-paraffin</v>
      </c>
      <c r="D58" t="str">
        <f>+'5% CO'!R15</f>
        <v>3-Ethylpentane</v>
      </c>
      <c r="E58">
        <f>+'5% CO'!Z15</f>
        <v>0.32614949886501632</v>
      </c>
      <c r="F58" t="s">
        <v>376</v>
      </c>
      <c r="N58">
        <v>11</v>
      </c>
      <c r="O58" t="s">
        <v>57</v>
      </c>
      <c r="P58">
        <v>0.12608079290427424</v>
      </c>
      <c r="R58">
        <v>53</v>
      </c>
      <c r="S58" s="12">
        <v>15</v>
      </c>
      <c r="T58" s="11" t="s">
        <v>249</v>
      </c>
      <c r="U58" s="11" t="s">
        <v>250</v>
      </c>
      <c r="V58" s="11" t="s">
        <v>251</v>
      </c>
      <c r="W58">
        <f>+GETPIVOTDATA("mol",$N$17,"Cn",15,"Class","iso-paraffin")</f>
        <v>5.7597529558558449E-3</v>
      </c>
      <c r="X58">
        <f t="shared" si="0"/>
        <v>8.6396294337837673E-2</v>
      </c>
      <c r="Y58">
        <f t="shared" si="1"/>
        <v>4.103820907444395E-2</v>
      </c>
      <c r="Z58">
        <f t="shared" si="2"/>
        <v>4.535808526339373E-2</v>
      </c>
      <c r="AA58">
        <f t="shared" si="3"/>
        <v>7.7822465920554561E-4</v>
      </c>
      <c r="AB58">
        <f t="shared" si="4"/>
        <v>2.7385874580088842E-4</v>
      </c>
    </row>
    <row r="59" spans="2:28" x14ac:dyDescent="0.2">
      <c r="B59">
        <f>+'5% CO'!T17</f>
        <v>7</v>
      </c>
      <c r="C59" t="str">
        <f>+'5% CO'!U17</f>
        <v>Naphthene</v>
      </c>
      <c r="D59" t="str">
        <f>+'5% CO'!R17</f>
        <v>1c,3-Dimethylcyclopentane</v>
      </c>
      <c r="E59">
        <f>+'5% CO'!Z17</f>
        <v>3.4702013310505875E-2</v>
      </c>
      <c r="F59" t="s">
        <v>376</v>
      </c>
      <c r="N59">
        <v>11</v>
      </c>
      <c r="O59" t="s">
        <v>60</v>
      </c>
      <c r="P59">
        <v>8.1174649789622355E-2</v>
      </c>
      <c r="R59">
        <v>54</v>
      </c>
      <c r="S59" s="12">
        <v>15</v>
      </c>
      <c r="T59" s="10" t="s">
        <v>252</v>
      </c>
      <c r="U59" s="10" t="s">
        <v>253</v>
      </c>
      <c r="V59" s="10" t="s">
        <v>254</v>
      </c>
      <c r="W59">
        <f>+GETPIVOTDATA("mol",$N$17,"Cn",15,"Class","paraffin")</f>
        <v>8.4583716293236522E-2</v>
      </c>
      <c r="X59">
        <f t="shared" si="0"/>
        <v>1.2687557443985478</v>
      </c>
      <c r="Y59">
        <f t="shared" si="1"/>
        <v>0.60265852722141777</v>
      </c>
      <c r="Z59">
        <f t="shared" si="2"/>
        <v>0.66609721717713</v>
      </c>
      <c r="AA59">
        <f t="shared" si="3"/>
        <v>1.1428464778115044E-2</v>
      </c>
      <c r="AB59">
        <f t="shared" si="4"/>
        <v>4.0216986104748605E-3</v>
      </c>
    </row>
    <row r="60" spans="2:28" x14ac:dyDescent="0.2">
      <c r="B60">
        <f>+'5% CO'!T16</f>
        <v>7</v>
      </c>
      <c r="C60" t="str">
        <f>+'5% CO'!U16</f>
        <v>Olefin</v>
      </c>
      <c r="D60" t="str">
        <f>+'5% CO'!R16</f>
        <v>2,4-Dimethylpentene-1</v>
      </c>
      <c r="E60">
        <f>+'5% CO'!Z16</f>
        <v>0.22764377236116476</v>
      </c>
      <c r="F60" t="s">
        <v>376</v>
      </c>
      <c r="N60">
        <v>11</v>
      </c>
      <c r="O60" t="s">
        <v>76</v>
      </c>
      <c r="P60">
        <v>8.429877896413708E-2</v>
      </c>
      <c r="R60">
        <v>55</v>
      </c>
      <c r="S60" s="12">
        <v>16</v>
      </c>
      <c r="T60" s="11" t="s">
        <v>255</v>
      </c>
      <c r="U60" s="11" t="s">
        <v>256</v>
      </c>
      <c r="V60" s="11" t="s">
        <v>257</v>
      </c>
      <c r="W60">
        <f>+GETPIVOTDATA("mol",$N$17,"Cn",16,"Class","iso-paraffin")</f>
        <v>1.4688366534483587E-2</v>
      </c>
      <c r="X60">
        <f t="shared" si="0"/>
        <v>0.23501386455173739</v>
      </c>
      <c r="Y60">
        <f t="shared" si="1"/>
        <v>0.11163150205440436</v>
      </c>
      <c r="Z60">
        <f t="shared" si="2"/>
        <v>0.12338236249733305</v>
      </c>
      <c r="AA60">
        <f t="shared" si="3"/>
        <v>2.1169146900465491E-3</v>
      </c>
      <c r="AB60">
        <f t="shared" si="4"/>
        <v>7.4494632767798741E-4</v>
      </c>
    </row>
    <row r="61" spans="2:28" x14ac:dyDescent="0.2">
      <c r="B61">
        <f>+'5% CO'!T20</f>
        <v>8</v>
      </c>
      <c r="C61" t="str">
        <f>+'5% CO'!U20</f>
        <v>Aromatic</v>
      </c>
      <c r="D61" t="str">
        <f>+'5% CO'!R20</f>
        <v>Ethylbenzene</v>
      </c>
      <c r="E61">
        <f>+'5% CO'!Z20</f>
        <v>7.0432411577835821E-2</v>
      </c>
      <c r="F61" t="s">
        <v>376</v>
      </c>
      <c r="N61">
        <v>12</v>
      </c>
      <c r="O61" t="s">
        <v>67</v>
      </c>
      <c r="P61">
        <v>3.0767842952423023E-2</v>
      </c>
      <c r="R61">
        <v>56</v>
      </c>
      <c r="S61" s="12">
        <v>16</v>
      </c>
      <c r="T61" s="10" t="s">
        <v>258</v>
      </c>
      <c r="U61" s="10" t="s">
        <v>259</v>
      </c>
      <c r="V61" s="10" t="s">
        <v>260</v>
      </c>
      <c r="W61">
        <f>+GETPIVOTDATA("mol",$N$17,"Cn",16,"Class","paraffin")</f>
        <v>6.8557327942939089E-2</v>
      </c>
      <c r="X61">
        <f t="shared" si="0"/>
        <v>1.0969172470870254</v>
      </c>
      <c r="Y61">
        <f t="shared" si="1"/>
        <v>0.52103530213107851</v>
      </c>
      <c r="Z61">
        <f t="shared" si="2"/>
        <v>0.57588194495594691</v>
      </c>
      <c r="AA61">
        <f t="shared" si="3"/>
        <v>9.8806095485177107E-3</v>
      </c>
      <c r="AB61">
        <f t="shared" si="4"/>
        <v>3.477005395161424E-3</v>
      </c>
    </row>
    <row r="62" spans="2:28" x14ac:dyDescent="0.2">
      <c r="B62">
        <f>+'5% CO'!T21</f>
        <v>8</v>
      </c>
      <c r="C62" t="str">
        <f>+'5% CO'!U21</f>
        <v>iso-paraffin</v>
      </c>
      <c r="D62" t="str">
        <f>+'5% CO'!R21</f>
        <v>2-Methyl-3-ethylpentane</v>
      </c>
      <c r="E62">
        <f>+'5% CO'!Z21</f>
        <v>0.13618128701509688</v>
      </c>
      <c r="F62" t="s">
        <v>376</v>
      </c>
      <c r="N62">
        <v>12</v>
      </c>
      <c r="O62" t="s">
        <v>57</v>
      </c>
      <c r="P62">
        <v>8.8871593012984015E-2</v>
      </c>
      <c r="R62">
        <v>57</v>
      </c>
      <c r="S62" s="12">
        <v>17</v>
      </c>
      <c r="T62" s="11" t="s">
        <v>261</v>
      </c>
      <c r="U62" s="11" t="s">
        <v>262</v>
      </c>
      <c r="V62" s="11" t="s">
        <v>263</v>
      </c>
      <c r="W62">
        <f>+GETPIVOTDATA("mol",$N$17,"Cn",17,"Class","iso-paraffin")</f>
        <v>5.4408738994762822E-3</v>
      </c>
      <c r="X62">
        <f t="shared" si="0"/>
        <v>9.24948562910968E-2</v>
      </c>
      <c r="Y62">
        <f t="shared" si="1"/>
        <v>4.3935023832639988E-2</v>
      </c>
      <c r="Z62">
        <f t="shared" si="2"/>
        <v>4.8559832458456818E-2</v>
      </c>
      <c r="AA62">
        <f t="shared" si="3"/>
        <v>8.3315816456123104E-4</v>
      </c>
      <c r="AB62">
        <f t="shared" si="4"/>
        <v>2.9318995138683348E-4</v>
      </c>
    </row>
    <row r="63" spans="2:28" x14ac:dyDescent="0.2">
      <c r="B63">
        <f>+'5% CO'!T22</f>
        <v>8</v>
      </c>
      <c r="C63" t="str">
        <f>+'5% CO'!U22</f>
        <v>Naphthene</v>
      </c>
      <c r="D63" t="str">
        <f>+'5% CO'!R22</f>
        <v>1c,2t,3-Trimethylcyclopentane</v>
      </c>
      <c r="E63">
        <f>+'5% CO'!Z22</f>
        <v>6.1129115107962102E-2</v>
      </c>
      <c r="F63" t="s">
        <v>376</v>
      </c>
      <c r="N63">
        <v>12</v>
      </c>
      <c r="O63" t="s">
        <v>73</v>
      </c>
      <c r="P63">
        <v>7.9958923387175255E-3</v>
      </c>
      <c r="R63">
        <v>58</v>
      </c>
      <c r="S63" s="12">
        <v>17</v>
      </c>
      <c r="T63" s="10" t="s">
        <v>264</v>
      </c>
      <c r="U63" s="10" t="s">
        <v>265</v>
      </c>
      <c r="V63" s="10" t="s">
        <v>266</v>
      </c>
      <c r="W63">
        <f>+GETPIVOTDATA("mol",$N$17,"Cn",17,"Class","paraffin")</f>
        <v>5.9653778859440378E-2</v>
      </c>
      <c r="X63">
        <f t="shared" si="0"/>
        <v>1.0141142406104864</v>
      </c>
      <c r="Y63">
        <f t="shared" si="1"/>
        <v>0.48170390351241649</v>
      </c>
      <c r="Z63">
        <f t="shared" si="2"/>
        <v>0.53241033709806995</v>
      </c>
      <c r="AA63">
        <f t="shared" si="3"/>
        <v>9.1347518472091292E-3</v>
      </c>
      <c r="AB63">
        <f t="shared" si="4"/>
        <v>3.2145366437409529E-3</v>
      </c>
    </row>
    <row r="64" spans="2:28" x14ac:dyDescent="0.2">
      <c r="B64">
        <f>+'5% CO'!T19</f>
        <v>8</v>
      </c>
      <c r="C64" t="str">
        <f>+'5% CO'!U19</f>
        <v>Olefin</v>
      </c>
      <c r="D64" t="str">
        <f>+'5% CO'!R19</f>
        <v>Octene-1</v>
      </c>
      <c r="E64">
        <f>+'5% CO'!Z19</f>
        <v>0.37385779168760375</v>
      </c>
      <c r="F64" t="s">
        <v>376</v>
      </c>
      <c r="N64">
        <v>12</v>
      </c>
      <c r="O64" t="s">
        <v>60</v>
      </c>
      <c r="P64">
        <v>8.7293141683905204E-3</v>
      </c>
      <c r="R64">
        <v>59</v>
      </c>
      <c r="S64" s="12">
        <v>18</v>
      </c>
      <c r="T64" s="10" t="s">
        <v>267</v>
      </c>
      <c r="U64" s="10" t="s">
        <v>268</v>
      </c>
      <c r="V64" s="10" t="s">
        <v>269</v>
      </c>
      <c r="W64">
        <f>+GETPIVOTDATA("mol",$N$17,"Cn",18,"Class","paraffin")</f>
        <v>5.520200431769122E-2</v>
      </c>
      <c r="X64">
        <f t="shared" si="0"/>
        <v>0.99363607771844198</v>
      </c>
      <c r="Y64">
        <f t="shared" si="1"/>
        <v>0.47197678342393157</v>
      </c>
      <c r="Z64">
        <f t="shared" si="2"/>
        <v>0.52165929429451041</v>
      </c>
      <c r="AA64">
        <f t="shared" si="3"/>
        <v>8.950292415702733E-3</v>
      </c>
      <c r="AB64">
        <f t="shared" si="4"/>
        <v>3.149625017045576E-3</v>
      </c>
    </row>
    <row r="65" spans="2:28" x14ac:dyDescent="0.2">
      <c r="B65">
        <f>+'5% CO'!T23</f>
        <v>8</v>
      </c>
      <c r="C65" t="str">
        <f>+'5% CO'!U23</f>
        <v>paraffin</v>
      </c>
      <c r="D65" t="str">
        <f>+'5% CO'!R23</f>
        <v>n-Octane</v>
      </c>
      <c r="E65">
        <f>+'5% CO'!Z23</f>
        <v>1.3273340721799284E-3</v>
      </c>
      <c r="F65" t="s">
        <v>376</v>
      </c>
      <c r="N65">
        <v>12</v>
      </c>
      <c r="O65" t="s">
        <v>76</v>
      </c>
      <c r="P65">
        <v>9.3487265376735088E-2</v>
      </c>
      <c r="R65">
        <v>60</v>
      </c>
      <c r="S65" s="12">
        <v>19</v>
      </c>
      <c r="T65" s="11" t="s">
        <v>270</v>
      </c>
      <c r="U65" s="11" t="s">
        <v>271</v>
      </c>
      <c r="V65" s="11" t="s">
        <v>272</v>
      </c>
      <c r="W65">
        <f>+GETPIVOTDATA("mol",$N$17,"Cn",19,"Class","paraffin")</f>
        <v>2.4929937433796023E-2</v>
      </c>
      <c r="X65">
        <f t="shared" si="0"/>
        <v>0.47366881124212445</v>
      </c>
      <c r="Y65">
        <f t="shared" si="1"/>
        <v>0.22499251682932928</v>
      </c>
      <c r="Z65">
        <f t="shared" si="2"/>
        <v>0.24867629441279521</v>
      </c>
      <c r="AA65">
        <f t="shared" si="3"/>
        <v>4.2666268504962827E-3</v>
      </c>
      <c r="AB65">
        <f t="shared" si="4"/>
        <v>1.5014341479106146E-3</v>
      </c>
    </row>
    <row r="66" spans="2:28" x14ac:dyDescent="0.2">
      <c r="B66">
        <f>+'5% CO'!T26</f>
        <v>9</v>
      </c>
      <c r="C66" t="str">
        <f>+'5% CO'!U26</f>
        <v>Aromatic</v>
      </c>
      <c r="D66" t="str">
        <f>+'5% CO'!R26</f>
        <v>1,3-Methylethylbenzene</v>
      </c>
      <c r="E66">
        <f>+'5% CO'!Z26</f>
        <v>9.2953244934642423E-2</v>
      </c>
      <c r="F66" t="s">
        <v>376</v>
      </c>
      <c r="N66">
        <v>13</v>
      </c>
      <c r="O66" t="s">
        <v>57</v>
      </c>
      <c r="P66">
        <v>3.2103149001012445E-2</v>
      </c>
      <c r="R66">
        <v>61</v>
      </c>
      <c r="S66" s="12">
        <v>20</v>
      </c>
      <c r="T66" s="10" t="s">
        <v>273</v>
      </c>
      <c r="U66" s="10" t="s">
        <v>274</v>
      </c>
      <c r="V66" s="10" t="s">
        <v>275</v>
      </c>
      <c r="W66">
        <f>+GETPIVOTDATA("mol",$N$17,"Cn",20,"Class","paraffin")</f>
        <v>1.9587807983696876E-2</v>
      </c>
      <c r="X66">
        <f t="shared" si="0"/>
        <v>0.39175615967393751</v>
      </c>
      <c r="Y66">
        <f t="shared" si="1"/>
        <v>0.18608403647538513</v>
      </c>
      <c r="Z66">
        <f t="shared" si="2"/>
        <v>0.20567212319855241</v>
      </c>
      <c r="AA66">
        <f t="shared" si="3"/>
        <v>3.5287891244706097E-3</v>
      </c>
      <c r="AB66">
        <f t="shared" si="4"/>
        <v>1.2417876411290798E-3</v>
      </c>
    </row>
    <row r="67" spans="2:28" x14ac:dyDescent="0.2">
      <c r="B67">
        <f>+'5% CO'!T24</f>
        <v>9</v>
      </c>
      <c r="C67" t="str">
        <f>+'5% CO'!U24</f>
        <v>iso-paraffin</v>
      </c>
      <c r="D67" t="str">
        <f>+'5% CO'!R24</f>
        <v>I8 (C9)</v>
      </c>
      <c r="E67">
        <f>+'5% CO'!Z24</f>
        <v>0.35805334845579151</v>
      </c>
      <c r="F67" t="s">
        <v>376</v>
      </c>
      <c r="N67">
        <v>13</v>
      </c>
      <c r="O67" t="s">
        <v>60</v>
      </c>
      <c r="P67">
        <v>2.774247790502192E-3</v>
      </c>
      <c r="R67">
        <v>62</v>
      </c>
      <c r="S67" s="12">
        <v>21</v>
      </c>
      <c r="T67" s="11" t="s">
        <v>276</v>
      </c>
      <c r="U67" s="11" t="s">
        <v>277</v>
      </c>
      <c r="V67" s="11" t="s">
        <v>278</v>
      </c>
      <c r="W67">
        <f>+GETPIVOTDATA("mol",$N$17,"Cn",21,"Class","paraffin")</f>
        <v>1.780709816699716E-2</v>
      </c>
      <c r="X67">
        <f t="shared" si="0"/>
        <v>0.37394906150694035</v>
      </c>
      <c r="Y67">
        <f t="shared" si="1"/>
        <v>0.17762567118104944</v>
      </c>
      <c r="Z67">
        <f t="shared" si="2"/>
        <v>0.19632339032589094</v>
      </c>
      <c r="AA67">
        <f t="shared" si="3"/>
        <v>3.368389618812855E-3</v>
      </c>
      <c r="AB67">
        <f t="shared" si="4"/>
        <v>1.1853427483504851E-3</v>
      </c>
    </row>
    <row r="68" spans="2:28" x14ac:dyDescent="0.2">
      <c r="B68">
        <f>+'5% CO'!T28</f>
        <v>9</v>
      </c>
      <c r="C68" t="str">
        <f>+'5% CO'!U28</f>
        <v>Naphthene</v>
      </c>
      <c r="D68" t="str">
        <f>+'5% CO'!R28</f>
        <v>1,1,3-Trimethylcyclohexane</v>
      </c>
      <c r="E68">
        <f>+'5% CO'!Z28</f>
        <v>3.7197241926675943E-2</v>
      </c>
      <c r="F68" t="s">
        <v>376</v>
      </c>
      <c r="N68">
        <v>13</v>
      </c>
      <c r="O68" t="s">
        <v>76</v>
      </c>
      <c r="P68">
        <v>9.7048685010134514E-2</v>
      </c>
      <c r="R68">
        <v>63</v>
      </c>
      <c r="S68" s="12">
        <v>22</v>
      </c>
      <c r="T68" s="10" t="s">
        <v>279</v>
      </c>
      <c r="U68" s="10" t="s">
        <v>280</v>
      </c>
      <c r="V68" s="10" t="s">
        <v>281</v>
      </c>
      <c r="W68">
        <f>+GETPIVOTDATA("mol",$N$17,"Cn",22,"Class","paraffin")</f>
        <v>1.6026388350297446E-2</v>
      </c>
      <c r="X68">
        <f t="shared" si="0"/>
        <v>0.35258054370654379</v>
      </c>
      <c r="Y68">
        <f t="shared" si="1"/>
        <v>0.16747563282784661</v>
      </c>
      <c r="Z68">
        <f t="shared" si="2"/>
        <v>0.18510491087869718</v>
      </c>
      <c r="AA68">
        <f t="shared" si="3"/>
        <v>3.1759102120235486E-3</v>
      </c>
      <c r="AB68">
        <f t="shared" si="4"/>
        <v>1.1176088770161719E-3</v>
      </c>
    </row>
    <row r="69" spans="2:28" x14ac:dyDescent="0.2">
      <c r="B69">
        <f>+'5% CO'!T25</f>
        <v>9</v>
      </c>
      <c r="C69" t="str">
        <f>+'5% CO'!U25</f>
        <v>Olefin</v>
      </c>
      <c r="D69" t="str">
        <f>+'5% CO'!R25</f>
        <v>3,5,5-Trimethylhexene-1</v>
      </c>
      <c r="E69">
        <f>+'5% CO'!Z25</f>
        <v>6.598404874134095E-2</v>
      </c>
      <c r="F69" t="s">
        <v>376</v>
      </c>
      <c r="N69">
        <v>14</v>
      </c>
      <c r="O69" t="s">
        <v>57</v>
      </c>
      <c r="P69">
        <v>7.3023303910919749E-3</v>
      </c>
      <c r="R69">
        <v>64</v>
      </c>
      <c r="S69" s="12">
        <v>23</v>
      </c>
      <c r="T69" s="11" t="s">
        <v>282</v>
      </c>
      <c r="U69" s="11" t="s">
        <v>283</v>
      </c>
      <c r="V69" s="11" t="s">
        <v>284</v>
      </c>
      <c r="W69">
        <f>+GETPIVOTDATA("mol",$N$17,"Cn",23,"Class","paraffin")</f>
        <v>1.424567853359773E-2</v>
      </c>
      <c r="X69">
        <f t="shared" si="0"/>
        <v>0.32765060627274778</v>
      </c>
      <c r="Y69">
        <f t="shared" si="1"/>
        <v>0.15563392141577667</v>
      </c>
      <c r="Z69">
        <f t="shared" si="2"/>
        <v>0.17201668485697114</v>
      </c>
      <c r="AA69">
        <f t="shared" si="3"/>
        <v>2.9513509041026922E-3</v>
      </c>
      <c r="AB69">
        <f t="shared" si="4"/>
        <v>1.0385860271261396E-3</v>
      </c>
    </row>
    <row r="70" spans="2:28" x14ac:dyDescent="0.2">
      <c r="B70">
        <f>+'5% CO'!T27</f>
        <v>9</v>
      </c>
      <c r="C70" t="str">
        <f>+'5% CO'!U27</f>
        <v>paraffin</v>
      </c>
      <c r="D70" t="str">
        <f>+'5% CO'!R27</f>
        <v>n-Nonane</v>
      </c>
      <c r="E70">
        <f>+'5% CO'!Z27</f>
        <v>2.8575549439813528E-2</v>
      </c>
      <c r="F70" t="s">
        <v>376</v>
      </c>
      <c r="N70">
        <v>14</v>
      </c>
      <c r="O70" t="s">
        <v>76</v>
      </c>
      <c r="P70">
        <v>9.5267975193434815E-2</v>
      </c>
      <c r="R70">
        <v>65</v>
      </c>
      <c r="S70" s="12">
        <v>24</v>
      </c>
      <c r="T70" s="10" t="s">
        <v>285</v>
      </c>
      <c r="U70" s="10" t="s">
        <v>286</v>
      </c>
      <c r="V70" s="10" t="s">
        <v>287</v>
      </c>
      <c r="W70">
        <f>+GETPIVOTDATA("mol",$N$17,"Cn",24,"Class","paraffin")</f>
        <v>1.335532362524787E-2</v>
      </c>
      <c r="X70">
        <f t="shared" si="0"/>
        <v>0.32052776700594887</v>
      </c>
      <c r="Y70">
        <f t="shared" si="1"/>
        <v>0.15225057529804237</v>
      </c>
      <c r="Z70">
        <f t="shared" si="2"/>
        <v>0.16827719170790653</v>
      </c>
      <c r="AA70">
        <f t="shared" si="3"/>
        <v>2.8871911018395896E-3</v>
      </c>
      <c r="AB70">
        <f t="shared" si="4"/>
        <v>1.0160080700147016E-3</v>
      </c>
    </row>
    <row r="71" spans="2:28" x14ac:dyDescent="0.2">
      <c r="B71">
        <f>+'5% CO'!T31</f>
        <v>10</v>
      </c>
      <c r="C71" t="str">
        <f>+'5% CO'!U31</f>
        <v>Aromatic</v>
      </c>
      <c r="D71" t="str">
        <f>+'5% CO'!R31</f>
        <v>1,2-Methyl-n-propylbenzene</v>
      </c>
      <c r="E71">
        <f>+'5% CO'!Z31</f>
        <v>9.4571556145768718E-2</v>
      </c>
      <c r="F71" t="s">
        <v>376</v>
      </c>
      <c r="N71">
        <v>15</v>
      </c>
      <c r="O71" t="s">
        <v>57</v>
      </c>
      <c r="P71">
        <v>5.7597529558558449E-3</v>
      </c>
      <c r="R71">
        <v>66</v>
      </c>
      <c r="S71" s="12">
        <v>25</v>
      </c>
      <c r="T71" s="11" t="s">
        <v>288</v>
      </c>
      <c r="U71" s="11" t="s">
        <v>289</v>
      </c>
      <c r="V71" s="11" t="s">
        <v>290</v>
      </c>
      <c r="W71">
        <f>+GETPIVOTDATA("mol",$N$17,"Cn",25,"Class","paraffin")</f>
        <v>1.1574613808548153E-2</v>
      </c>
      <c r="X71">
        <f t="shared" ref="X71:X73" si="5">+W71*S71</f>
        <v>0.28936534521370383</v>
      </c>
      <c r="Y71">
        <f t="shared" ref="Y71:Y73" si="6">X71*$Y$4</f>
        <v>0.13744843603295492</v>
      </c>
      <c r="Z71">
        <f t="shared" ref="Z71:Z73" si="7">+X71*$Z$4</f>
        <v>0.15191690918074893</v>
      </c>
      <c r="AA71">
        <f t="shared" ref="AA71:AA73" si="8">+Y71/$AA$3</f>
        <v>2.6064919669385187E-3</v>
      </c>
      <c r="AB71">
        <f t="shared" ref="AB71:AB73" si="9">+Z71/$AB$3</f>
        <v>9.1722950765216107E-4</v>
      </c>
    </row>
    <row r="72" spans="2:28" x14ac:dyDescent="0.2">
      <c r="B72">
        <f>+'5% CO'!T30</f>
        <v>10</v>
      </c>
      <c r="C72" t="str">
        <f>+'5% CO'!U30</f>
        <v>iso-paraffin</v>
      </c>
      <c r="D72" t="str">
        <f>+'5% CO'!R30</f>
        <v>I15 (C10)</v>
      </c>
      <c r="E72">
        <f>+'5% CO'!Z30</f>
        <v>0.12171613582007894</v>
      </c>
      <c r="F72" t="s">
        <v>376</v>
      </c>
      <c r="N72">
        <v>15</v>
      </c>
      <c r="O72" t="s">
        <v>76</v>
      </c>
      <c r="P72">
        <v>8.4583716293236522E-2</v>
      </c>
      <c r="R72">
        <v>67</v>
      </c>
      <c r="S72" s="12">
        <v>26</v>
      </c>
      <c r="T72" s="10" t="s">
        <v>291</v>
      </c>
      <c r="U72" s="10" t="s">
        <v>292</v>
      </c>
      <c r="V72" s="10" t="s">
        <v>293</v>
      </c>
      <c r="W72">
        <f>+GETPIVOTDATA("mol",$N$17,"Cn",26,"Class","paraffin")</f>
        <v>9.7939039918484381E-3</v>
      </c>
      <c r="X72">
        <f t="shared" si="5"/>
        <v>0.25464150378805939</v>
      </c>
      <c r="Y72">
        <f t="shared" si="6"/>
        <v>0.12095462370900033</v>
      </c>
      <c r="Z72">
        <f t="shared" si="7"/>
        <v>0.13368688007905907</v>
      </c>
      <c r="AA72">
        <f t="shared" si="8"/>
        <v>2.2937129309058965E-3</v>
      </c>
      <c r="AB72">
        <f t="shared" si="9"/>
        <v>8.0716196673390184E-4</v>
      </c>
    </row>
    <row r="73" spans="2:28" x14ac:dyDescent="0.2">
      <c r="B73">
        <f>+'5% CO'!T32</f>
        <v>10</v>
      </c>
      <c r="C73" t="str">
        <f>+'5% CO'!U32</f>
        <v>Naphthene</v>
      </c>
      <c r="D73" t="str">
        <f>+'5% CO'!R32</f>
        <v>Sec-butylcyclohexane</v>
      </c>
      <c r="E73">
        <f>+'5% CO'!Z32</f>
        <v>7.7256423384358452E-2</v>
      </c>
      <c r="F73" t="s">
        <v>376</v>
      </c>
      <c r="N73">
        <v>16</v>
      </c>
      <c r="O73" t="s">
        <v>57</v>
      </c>
      <c r="P73">
        <v>1.4688366534483587E-2</v>
      </c>
      <c r="R73">
        <v>68</v>
      </c>
      <c r="S73" s="12">
        <v>27</v>
      </c>
      <c r="T73" s="11" t="s">
        <v>294</v>
      </c>
      <c r="U73" s="11" t="s">
        <v>295</v>
      </c>
      <c r="V73" s="11" t="s">
        <v>296</v>
      </c>
      <c r="W73">
        <f>+GETPIVOTDATA("mol",$N$17,"Cn",27,"Class","paraffin")</f>
        <v>8.0131941751487214E-3</v>
      </c>
      <c r="X73">
        <f t="shared" si="5"/>
        <v>0.21635624272901549</v>
      </c>
      <c r="Y73">
        <f t="shared" si="6"/>
        <v>0.10276913832617861</v>
      </c>
      <c r="Z73">
        <f t="shared" si="7"/>
        <v>0.1135871044028369</v>
      </c>
      <c r="AA73">
        <f t="shared" si="8"/>
        <v>1.9488539937417232E-3</v>
      </c>
      <c r="AB73">
        <f t="shared" si="9"/>
        <v>6.8580544725992359E-4</v>
      </c>
    </row>
    <row r="74" spans="2:28" x14ac:dyDescent="0.2">
      <c r="B74">
        <f>+'5% CO'!T29</f>
        <v>10</v>
      </c>
      <c r="C74" t="str">
        <f>+'5% CO'!U29</f>
        <v>Olefin</v>
      </c>
      <c r="D74" t="str">
        <f>+'5% CO'!R29</f>
        <v>Decene-1</v>
      </c>
      <c r="E74">
        <f>+'5% CO'!Z29</f>
        <v>0.13279319704106399</v>
      </c>
      <c r="F74" t="s">
        <v>376</v>
      </c>
      <c r="N74">
        <v>16</v>
      </c>
      <c r="O74" t="s">
        <v>76</v>
      </c>
      <c r="P74">
        <v>6.8557327942939089E-2</v>
      </c>
      <c r="S74" s="12"/>
    </row>
    <row r="75" spans="2:28" x14ac:dyDescent="0.2">
      <c r="B75">
        <f>+'5% CO'!T35</f>
        <v>11</v>
      </c>
      <c r="C75" t="str">
        <f>+'5% CO'!U35</f>
        <v>Aromatic</v>
      </c>
      <c r="D75" t="str">
        <f>+'5% CO'!R35</f>
        <v>1,2-Ethyl-i-propylbenzene</v>
      </c>
      <c r="E75">
        <f>+'5% CO'!Z35</f>
        <v>5.0538344447955866E-2</v>
      </c>
      <c r="F75" t="s">
        <v>376</v>
      </c>
      <c r="N75">
        <v>17</v>
      </c>
      <c r="O75" t="s">
        <v>57</v>
      </c>
      <c r="P75">
        <v>5.4408738994762822E-3</v>
      </c>
      <c r="S75" s="12"/>
    </row>
    <row r="76" spans="2:28" x14ac:dyDescent="0.2">
      <c r="B76">
        <f>+'5% CO'!T34</f>
        <v>11</v>
      </c>
      <c r="C76" t="str">
        <f>+'5% CO'!U34</f>
        <v>iso-paraffin</v>
      </c>
      <c r="D76" t="str">
        <f>+'5% CO'!R34</f>
        <v>I26 (C11)</v>
      </c>
      <c r="E76">
        <f>+'5% CO'!Z34</f>
        <v>0.12608079290427424</v>
      </c>
      <c r="F76" t="s">
        <v>376</v>
      </c>
      <c r="N76">
        <v>17</v>
      </c>
      <c r="O76" t="s">
        <v>76</v>
      </c>
      <c r="P76">
        <v>5.9653778859440378E-2</v>
      </c>
      <c r="S76" s="12"/>
    </row>
    <row r="77" spans="2:28" x14ac:dyDescent="0.2">
      <c r="B77">
        <f>+'5% CO'!T33</f>
        <v>11</v>
      </c>
      <c r="C77" t="str">
        <f>+'5% CO'!U33</f>
        <v>Olefin</v>
      </c>
      <c r="D77" t="str">
        <f>+'5% CO'!R33</f>
        <v>Undecene-1</v>
      </c>
      <c r="E77">
        <f>+'5% CO'!Z33</f>
        <v>8.1174649789622355E-2</v>
      </c>
      <c r="F77" t="s">
        <v>376</v>
      </c>
      <c r="N77">
        <v>18</v>
      </c>
      <c r="O77" t="s">
        <v>76</v>
      </c>
      <c r="P77">
        <v>5.520200431769122E-2</v>
      </c>
    </row>
    <row r="78" spans="2:28" x14ac:dyDescent="0.2">
      <c r="B78">
        <f>+'5% CO'!T36</f>
        <v>11</v>
      </c>
      <c r="C78" t="str">
        <f>+'5% CO'!U36</f>
        <v>paraffin</v>
      </c>
      <c r="D78" t="str">
        <f>+'5% CO'!R36</f>
        <v>n-Undecane</v>
      </c>
      <c r="E78">
        <f>+'5% CO'!Z36</f>
        <v>3.2764823043000021E-3</v>
      </c>
      <c r="F78" t="s">
        <v>376</v>
      </c>
      <c r="N78">
        <v>19</v>
      </c>
      <c r="O78" t="s">
        <v>76</v>
      </c>
      <c r="P78">
        <v>2.4929937433796023E-2</v>
      </c>
    </row>
    <row r="79" spans="2:28" x14ac:dyDescent="0.2">
      <c r="B79">
        <f>+'5% CO'!T40</f>
        <v>12</v>
      </c>
      <c r="C79" t="str">
        <f>+'5% CO'!U40</f>
        <v>Aromatic</v>
      </c>
      <c r="D79" t="str">
        <f>+'5% CO'!R40</f>
        <v>1,3-Di-i-propylbenzene</v>
      </c>
      <c r="E79">
        <f>+'5% CO'!Z40</f>
        <v>3.0767842952423023E-2</v>
      </c>
      <c r="F79" t="s">
        <v>376</v>
      </c>
      <c r="N79">
        <v>20</v>
      </c>
      <c r="O79" t="s">
        <v>76</v>
      </c>
      <c r="P79">
        <v>1.9587807983696876E-2</v>
      </c>
    </row>
    <row r="80" spans="2:28" x14ac:dyDescent="0.2">
      <c r="B80">
        <f>+'5% CO'!T37</f>
        <v>12</v>
      </c>
      <c r="C80" t="str">
        <f>+'5% CO'!U37</f>
        <v>iso-paraffin</v>
      </c>
      <c r="D80" t="str">
        <f>+'5% CO'!R37</f>
        <v>I47 (C12)</v>
      </c>
      <c r="E80">
        <f>+'5% CO'!Z37</f>
        <v>8.8871593012984015E-2</v>
      </c>
      <c r="F80" t="s">
        <v>376</v>
      </c>
      <c r="N80">
        <v>21</v>
      </c>
      <c r="O80" t="s">
        <v>76</v>
      </c>
      <c r="P80">
        <v>1.780709816699716E-2</v>
      </c>
    </row>
    <row r="81" spans="1:16" x14ac:dyDescent="0.2">
      <c r="B81">
        <f>+'5% CO'!T39</f>
        <v>12</v>
      </c>
      <c r="C81" t="str">
        <f>+'5% CO'!U39</f>
        <v>Naphthene</v>
      </c>
      <c r="D81" t="str">
        <f>+'5% CO'!R39</f>
        <v>1t-M-2-(4-MP)cyclopentane</v>
      </c>
      <c r="E81">
        <f>+'5% CO'!Z39</f>
        <v>7.9958923387175255E-3</v>
      </c>
      <c r="F81" t="s">
        <v>376</v>
      </c>
      <c r="N81">
        <v>22</v>
      </c>
      <c r="O81" t="s">
        <v>76</v>
      </c>
      <c r="P81">
        <v>1.6026388350297446E-2</v>
      </c>
    </row>
    <row r="82" spans="1:16" x14ac:dyDescent="0.2">
      <c r="B82">
        <f>+'5% CO'!T38</f>
        <v>12</v>
      </c>
      <c r="C82" t="str">
        <f>+'5% CO'!U38</f>
        <v>Olefin</v>
      </c>
      <c r="D82" t="str">
        <f>+'5% CO'!R38</f>
        <v>Dodecene-1</v>
      </c>
      <c r="E82">
        <f>+'5% CO'!Z38</f>
        <v>8.7293141683905204E-3</v>
      </c>
      <c r="F82" t="s">
        <v>376</v>
      </c>
      <c r="N82">
        <v>23</v>
      </c>
      <c r="O82" t="s">
        <v>76</v>
      </c>
      <c r="P82">
        <v>1.424567853359773E-2</v>
      </c>
    </row>
    <row r="83" spans="1:16" x14ac:dyDescent="0.2">
      <c r="B83">
        <f>+'5% CO'!T41</f>
        <v>13</v>
      </c>
      <c r="C83" t="str">
        <f>+'5% CO'!U41</f>
        <v>iso-paraffin</v>
      </c>
      <c r="D83" t="str">
        <f>+'5% CO'!R41</f>
        <v>(C13-IsoParaffin)</v>
      </c>
      <c r="E83">
        <f>+'5% CO'!Z41</f>
        <v>3.2103149001012445E-2</v>
      </c>
      <c r="F83" t="s">
        <v>376</v>
      </c>
      <c r="N83">
        <v>24</v>
      </c>
      <c r="O83" t="s">
        <v>76</v>
      </c>
      <c r="P83">
        <v>1.335532362524787E-2</v>
      </c>
    </row>
    <row r="84" spans="1:16" x14ac:dyDescent="0.2">
      <c r="B84">
        <f>+'5% CO'!T42</f>
        <v>13</v>
      </c>
      <c r="C84" t="str">
        <f>+'5% CO'!U42</f>
        <v>Olefin</v>
      </c>
      <c r="D84" t="str">
        <f>+'5% CO'!R42</f>
        <v>Tridecene-1</v>
      </c>
      <c r="E84">
        <f>+'5% CO'!Z42</f>
        <v>2.774247790502192E-3</v>
      </c>
      <c r="F84" t="s">
        <v>376</v>
      </c>
      <c r="N84">
        <v>25</v>
      </c>
      <c r="O84" t="s">
        <v>76</v>
      </c>
      <c r="P84">
        <v>1.1574613808548153E-2</v>
      </c>
    </row>
    <row r="85" spans="1:16" x14ac:dyDescent="0.2">
      <c r="B85">
        <f>+'5% CO'!T43</f>
        <v>14</v>
      </c>
      <c r="C85" t="str">
        <f>+'5% CO'!U43</f>
        <v>iso-paraffin</v>
      </c>
      <c r="D85" t="str">
        <f>+'5% CO'!R43</f>
        <v>(C14-IsoParaffin)</v>
      </c>
      <c r="E85">
        <f>+'5% CO'!Z43</f>
        <v>7.3023303910919749E-3</v>
      </c>
      <c r="F85" t="s">
        <v>376</v>
      </c>
      <c r="N85">
        <v>26</v>
      </c>
      <c r="O85" t="s">
        <v>76</v>
      </c>
      <c r="P85">
        <v>9.7939039918484381E-3</v>
      </c>
    </row>
    <row r="86" spans="1:16" x14ac:dyDescent="0.2">
      <c r="B86">
        <f>+'5% CO'!T44</f>
        <v>15</v>
      </c>
      <c r="C86" t="str">
        <f>+'5% CO'!U44</f>
        <v>iso-paraffin</v>
      </c>
      <c r="D86" t="str">
        <f>+'5% CO'!R44</f>
        <v>(C15-IsoParaffin)</v>
      </c>
      <c r="E86">
        <f>+'5% CO'!Z44</f>
        <v>5.7597529558558449E-3</v>
      </c>
      <c r="F86" t="s">
        <v>376</v>
      </c>
      <c r="N86">
        <v>27</v>
      </c>
      <c r="O86" t="s">
        <v>76</v>
      </c>
      <c r="P86">
        <v>8.0131941751487214E-3</v>
      </c>
    </row>
    <row r="87" spans="1:16" x14ac:dyDescent="0.2">
      <c r="B87">
        <f>+'5% CO'!T45</f>
        <v>16</v>
      </c>
      <c r="C87" t="str">
        <f>+'5% CO'!U45</f>
        <v>iso-paraffin</v>
      </c>
      <c r="D87" t="str">
        <f>+'5% CO'!R45</f>
        <v>(C16-IsoParaffin)</v>
      </c>
      <c r="E87">
        <f>+'5% CO'!Z45</f>
        <v>1.4688366534483587E-2</v>
      </c>
      <c r="F87" t="s">
        <v>376</v>
      </c>
      <c r="N87">
        <v>28</v>
      </c>
      <c r="O87" t="s">
        <v>76</v>
      </c>
      <c r="P87">
        <v>0</v>
      </c>
    </row>
    <row r="88" spans="1:16" x14ac:dyDescent="0.2">
      <c r="B88">
        <f>+'5% CO'!T46</f>
        <v>17</v>
      </c>
      <c r="C88" t="str">
        <f>+'5% CO'!U46</f>
        <v>iso-paraffin</v>
      </c>
      <c r="D88" t="str">
        <f>+'5% CO'!R46</f>
        <v>(C17-IsoParaffin)</v>
      </c>
      <c r="E88">
        <f>+'5% CO'!Z46</f>
        <v>5.4408738994762822E-3</v>
      </c>
      <c r="F88" t="s">
        <v>376</v>
      </c>
      <c r="N88">
        <v>29</v>
      </c>
      <c r="O88" t="s">
        <v>76</v>
      </c>
      <c r="P88">
        <v>0</v>
      </c>
    </row>
    <row r="89" spans="1:16" x14ac:dyDescent="0.2">
      <c r="A89" t="s">
        <v>339</v>
      </c>
      <c r="B89">
        <f>+'5% CO'!AF4</f>
        <v>1</v>
      </c>
      <c r="C89" t="s">
        <v>76</v>
      </c>
      <c r="D89" t="s">
        <v>340</v>
      </c>
      <c r="E89">
        <f>+'5% CO'!AK4</f>
        <v>0</v>
      </c>
      <c r="F89" t="s">
        <v>374</v>
      </c>
      <c r="N89">
        <v>30</v>
      </c>
      <c r="O89" t="s">
        <v>76</v>
      </c>
      <c r="P89">
        <v>0</v>
      </c>
    </row>
    <row r="90" spans="1:16" x14ac:dyDescent="0.2">
      <c r="B90">
        <f>+'5% CO'!AF5</f>
        <v>2</v>
      </c>
      <c r="C90" t="s">
        <v>76</v>
      </c>
      <c r="D90" t="s">
        <v>120</v>
      </c>
      <c r="E90">
        <f>+'5% CO'!AK5</f>
        <v>0</v>
      </c>
      <c r="F90" t="s">
        <v>374</v>
      </c>
      <c r="N90">
        <v>31</v>
      </c>
      <c r="O90" t="s">
        <v>76</v>
      </c>
      <c r="P90">
        <v>0</v>
      </c>
    </row>
    <row r="91" spans="1:16" x14ac:dyDescent="0.2">
      <c r="B91">
        <f>+'5% CO'!AF6</f>
        <v>3</v>
      </c>
      <c r="C91" t="s">
        <v>76</v>
      </c>
      <c r="D91" t="s">
        <v>126</v>
      </c>
      <c r="E91">
        <f>+'5% CO'!AK6</f>
        <v>0</v>
      </c>
      <c r="F91" t="s">
        <v>374</v>
      </c>
      <c r="N91">
        <v>32</v>
      </c>
      <c r="O91" t="s">
        <v>76</v>
      </c>
      <c r="P91">
        <v>0</v>
      </c>
    </row>
    <row r="92" spans="1:16" x14ac:dyDescent="0.2">
      <c r="B92">
        <f>+'5% CO'!AF7</f>
        <v>4</v>
      </c>
      <c r="C92" t="s">
        <v>76</v>
      </c>
      <c r="D92" t="s">
        <v>132</v>
      </c>
      <c r="E92">
        <f>+'5% CO'!AK7</f>
        <v>0</v>
      </c>
      <c r="F92" t="s">
        <v>374</v>
      </c>
      <c r="N92">
        <v>33</v>
      </c>
      <c r="O92" t="s">
        <v>76</v>
      </c>
      <c r="P92">
        <v>0</v>
      </c>
    </row>
    <row r="93" spans="1:16" x14ac:dyDescent="0.2">
      <c r="B93">
        <f>+'5% CO'!AF8</f>
        <v>5</v>
      </c>
      <c r="C93" t="s">
        <v>76</v>
      </c>
      <c r="D93" t="s">
        <v>141</v>
      </c>
      <c r="E93">
        <f>+'5% CO'!AK8</f>
        <v>0</v>
      </c>
      <c r="F93" t="s">
        <v>374</v>
      </c>
      <c r="N93">
        <v>34</v>
      </c>
      <c r="O93" t="s">
        <v>76</v>
      </c>
      <c r="P93">
        <v>0</v>
      </c>
    </row>
    <row r="94" spans="1:16" x14ac:dyDescent="0.2">
      <c r="B94">
        <f>+'5% CO'!AF9</f>
        <v>6</v>
      </c>
      <c r="C94" t="s">
        <v>76</v>
      </c>
      <c r="D94" t="s">
        <v>151</v>
      </c>
      <c r="E94">
        <f>+'5% CO'!AK9</f>
        <v>0</v>
      </c>
      <c r="F94" t="s">
        <v>374</v>
      </c>
      <c r="N94">
        <v>35</v>
      </c>
      <c r="O94" t="s">
        <v>76</v>
      </c>
      <c r="P94">
        <v>0</v>
      </c>
    </row>
    <row r="95" spans="1:16" x14ac:dyDescent="0.2">
      <c r="B95">
        <f>+'5% CO'!AF10</f>
        <v>7</v>
      </c>
      <c r="C95" t="s">
        <v>76</v>
      </c>
      <c r="D95" t="s">
        <v>157</v>
      </c>
      <c r="E95">
        <f>+'5% CO'!AK10</f>
        <v>0</v>
      </c>
      <c r="F95" t="s">
        <v>374</v>
      </c>
      <c r="N95">
        <v>36</v>
      </c>
      <c r="O95" t="s">
        <v>76</v>
      </c>
      <c r="P95">
        <v>0</v>
      </c>
    </row>
    <row r="96" spans="1:16" x14ac:dyDescent="0.2">
      <c r="B96">
        <f>+'5% CO'!AF11</f>
        <v>8</v>
      </c>
      <c r="C96" t="s">
        <v>76</v>
      </c>
      <c r="D96" t="s">
        <v>169</v>
      </c>
      <c r="E96">
        <f>+'5% CO'!AK11</f>
        <v>2.2258872708746449E-2</v>
      </c>
      <c r="F96" t="s">
        <v>374</v>
      </c>
      <c r="N96">
        <v>37</v>
      </c>
      <c r="O96" t="s">
        <v>76</v>
      </c>
      <c r="P96">
        <v>0</v>
      </c>
    </row>
    <row r="97" spans="2:16" x14ac:dyDescent="0.2">
      <c r="B97">
        <f>+'5% CO'!AF12</f>
        <v>9</v>
      </c>
      <c r="C97" t="s">
        <v>76</v>
      </c>
      <c r="D97" t="s">
        <v>184</v>
      </c>
      <c r="E97">
        <f>+'5% CO'!AK12</f>
        <v>2.7601002158845596E-2</v>
      </c>
      <c r="F97" t="s">
        <v>374</v>
      </c>
      <c r="N97">
        <v>38</v>
      </c>
      <c r="O97" t="s">
        <v>76</v>
      </c>
      <c r="P97">
        <v>0</v>
      </c>
    </row>
    <row r="98" spans="2:16" x14ac:dyDescent="0.2">
      <c r="B98">
        <f>+'5% CO'!AF13</f>
        <v>10</v>
      </c>
      <c r="C98" t="s">
        <v>76</v>
      </c>
      <c r="D98" t="s">
        <v>199</v>
      </c>
      <c r="E98">
        <f>+'5% CO'!AK13</f>
        <v>7.0338037759638788E-2</v>
      </c>
      <c r="F98" t="s">
        <v>374</v>
      </c>
      <c r="N98">
        <v>39</v>
      </c>
      <c r="O98" t="s">
        <v>76</v>
      </c>
      <c r="P98">
        <v>0</v>
      </c>
    </row>
    <row r="99" spans="2:16" x14ac:dyDescent="0.2">
      <c r="B99">
        <f>+'5% CO'!AF14</f>
        <v>11</v>
      </c>
      <c r="C99" t="s">
        <v>76</v>
      </c>
      <c r="D99" t="s">
        <v>214</v>
      </c>
      <c r="E99">
        <f>+'5% CO'!AK14</f>
        <v>8.1022296659837081E-2</v>
      </c>
      <c r="F99" t="s">
        <v>374</v>
      </c>
    </row>
    <row r="100" spans="2:16" x14ac:dyDescent="0.2">
      <c r="B100">
        <f>+'5% CO'!AF15</f>
        <v>12</v>
      </c>
      <c r="C100" t="s">
        <v>76</v>
      </c>
      <c r="D100" t="s">
        <v>227</v>
      </c>
      <c r="E100">
        <f>+'5% CO'!AK15</f>
        <v>9.3487265376735088E-2</v>
      </c>
      <c r="F100" t="s">
        <v>374</v>
      </c>
    </row>
    <row r="101" spans="2:16" x14ac:dyDescent="0.2">
      <c r="B101">
        <f>+'5% CO'!AF16</f>
        <v>13</v>
      </c>
      <c r="C101" t="s">
        <v>76</v>
      </c>
      <c r="D101" t="s">
        <v>242</v>
      </c>
      <c r="E101">
        <f>+'5% CO'!AK16</f>
        <v>9.7048685010134514E-2</v>
      </c>
      <c r="F101" t="s">
        <v>374</v>
      </c>
    </row>
    <row r="102" spans="2:16" x14ac:dyDescent="0.2">
      <c r="B102">
        <f>+'5% CO'!AF17</f>
        <v>14</v>
      </c>
      <c r="C102" t="s">
        <v>76</v>
      </c>
      <c r="D102" t="s">
        <v>341</v>
      </c>
      <c r="E102">
        <f>+'5% CO'!AK17</f>
        <v>9.5267975193434815E-2</v>
      </c>
      <c r="F102" t="s">
        <v>374</v>
      </c>
    </row>
    <row r="103" spans="2:16" x14ac:dyDescent="0.2">
      <c r="B103">
        <f>+'5% CO'!AF18</f>
        <v>15</v>
      </c>
      <c r="C103" t="s">
        <v>76</v>
      </c>
      <c r="D103" t="s">
        <v>254</v>
      </c>
      <c r="E103">
        <f>+'5% CO'!AK18</f>
        <v>8.4583716293236522E-2</v>
      </c>
      <c r="F103" t="s">
        <v>374</v>
      </c>
    </row>
    <row r="104" spans="2:16" x14ac:dyDescent="0.2">
      <c r="B104">
        <f>+'5% CO'!AF19</f>
        <v>16</v>
      </c>
      <c r="C104" t="s">
        <v>76</v>
      </c>
      <c r="D104" t="s">
        <v>260</v>
      </c>
      <c r="E104">
        <f>+'5% CO'!AK19</f>
        <v>6.8557327942939089E-2</v>
      </c>
      <c r="F104" t="s">
        <v>374</v>
      </c>
    </row>
    <row r="105" spans="2:16" x14ac:dyDescent="0.2">
      <c r="B105">
        <f>+'5% CO'!AF20</f>
        <v>17</v>
      </c>
      <c r="C105" t="s">
        <v>76</v>
      </c>
      <c r="D105" t="s">
        <v>266</v>
      </c>
      <c r="E105">
        <f>+'5% CO'!AK20</f>
        <v>5.9653778859440378E-2</v>
      </c>
      <c r="F105" t="s">
        <v>374</v>
      </c>
    </row>
    <row r="106" spans="2:16" x14ac:dyDescent="0.2">
      <c r="B106">
        <f>+'5% CO'!AF21</f>
        <v>18</v>
      </c>
      <c r="C106" t="s">
        <v>76</v>
      </c>
      <c r="D106" t="s">
        <v>269</v>
      </c>
      <c r="E106">
        <f>+'5% CO'!AK21</f>
        <v>5.520200431769122E-2</v>
      </c>
      <c r="F106" t="s">
        <v>374</v>
      </c>
    </row>
    <row r="107" spans="2:16" x14ac:dyDescent="0.2">
      <c r="B107">
        <f>+'5% CO'!AF22</f>
        <v>19</v>
      </c>
      <c r="C107" t="s">
        <v>76</v>
      </c>
      <c r="D107" t="s">
        <v>272</v>
      </c>
      <c r="E107">
        <f>+'5% CO'!AK22</f>
        <v>2.4929937433796023E-2</v>
      </c>
      <c r="F107" t="s">
        <v>374</v>
      </c>
    </row>
    <row r="108" spans="2:16" x14ac:dyDescent="0.2">
      <c r="B108">
        <f>+'5% CO'!AF23</f>
        <v>20</v>
      </c>
      <c r="C108" t="s">
        <v>76</v>
      </c>
      <c r="D108" t="s">
        <v>275</v>
      </c>
      <c r="E108">
        <f>+'5% CO'!AK23</f>
        <v>1.9587807983696876E-2</v>
      </c>
      <c r="F108" t="s">
        <v>374</v>
      </c>
    </row>
    <row r="109" spans="2:16" x14ac:dyDescent="0.2">
      <c r="B109">
        <f>+'5% CO'!AF24</f>
        <v>21</v>
      </c>
      <c r="C109" t="s">
        <v>76</v>
      </c>
      <c r="D109" t="s">
        <v>278</v>
      </c>
      <c r="E109">
        <f>+'5% CO'!AK24</f>
        <v>1.780709816699716E-2</v>
      </c>
      <c r="F109" t="s">
        <v>374</v>
      </c>
    </row>
    <row r="110" spans="2:16" x14ac:dyDescent="0.2">
      <c r="B110">
        <f>+'5% CO'!AF25</f>
        <v>22</v>
      </c>
      <c r="C110" t="s">
        <v>76</v>
      </c>
      <c r="D110" t="s">
        <v>281</v>
      </c>
      <c r="E110">
        <f>+'5% CO'!AK25</f>
        <v>1.6026388350297446E-2</v>
      </c>
      <c r="F110" t="s">
        <v>374</v>
      </c>
    </row>
    <row r="111" spans="2:16" x14ac:dyDescent="0.2">
      <c r="B111">
        <f>+'5% CO'!AF26</f>
        <v>23</v>
      </c>
      <c r="C111" t="s">
        <v>76</v>
      </c>
      <c r="D111" t="s">
        <v>284</v>
      </c>
      <c r="E111">
        <f>+'5% CO'!AK26</f>
        <v>1.424567853359773E-2</v>
      </c>
      <c r="F111" t="s">
        <v>374</v>
      </c>
    </row>
    <row r="112" spans="2:16" x14ac:dyDescent="0.2">
      <c r="B112">
        <f>+'5% CO'!AF27</f>
        <v>24</v>
      </c>
      <c r="C112" t="s">
        <v>76</v>
      </c>
      <c r="D112" t="s">
        <v>287</v>
      </c>
      <c r="E112">
        <f>+'5% CO'!AK27</f>
        <v>1.335532362524787E-2</v>
      </c>
      <c r="F112" t="s">
        <v>374</v>
      </c>
    </row>
    <row r="113" spans="2:6" x14ac:dyDescent="0.2">
      <c r="B113">
        <f>+'5% CO'!AF28</f>
        <v>25</v>
      </c>
      <c r="C113" t="s">
        <v>76</v>
      </c>
      <c r="D113" t="s">
        <v>290</v>
      </c>
      <c r="E113">
        <f>+'5% CO'!AK28</f>
        <v>1.1574613808548153E-2</v>
      </c>
      <c r="F113" t="s">
        <v>374</v>
      </c>
    </row>
    <row r="114" spans="2:6" x14ac:dyDescent="0.2">
      <c r="B114">
        <f>+'5% CO'!AF29</f>
        <v>26</v>
      </c>
      <c r="C114" t="s">
        <v>76</v>
      </c>
      <c r="D114" t="s">
        <v>293</v>
      </c>
      <c r="E114">
        <f>+'5% CO'!AK29</f>
        <v>9.7939039918484381E-3</v>
      </c>
      <c r="F114" t="s">
        <v>374</v>
      </c>
    </row>
    <row r="115" spans="2:6" x14ac:dyDescent="0.2">
      <c r="B115">
        <f>+'5% CO'!AF30</f>
        <v>27</v>
      </c>
      <c r="C115" t="s">
        <v>76</v>
      </c>
      <c r="D115" t="s">
        <v>296</v>
      </c>
      <c r="E115">
        <f>+'5% CO'!AK30</f>
        <v>8.0131941751487214E-3</v>
      </c>
      <c r="F115" t="s">
        <v>374</v>
      </c>
    </row>
    <row r="116" spans="2:6" x14ac:dyDescent="0.2">
      <c r="B116">
        <f>+'5% CO'!AF31</f>
        <v>28</v>
      </c>
      <c r="C116" t="s">
        <v>76</v>
      </c>
      <c r="D116" t="s">
        <v>297</v>
      </c>
      <c r="E116">
        <f>+'5% CO'!AK31</f>
        <v>0</v>
      </c>
      <c r="F116" t="s">
        <v>374</v>
      </c>
    </row>
    <row r="117" spans="2:6" x14ac:dyDescent="0.2">
      <c r="B117">
        <f>+'5% CO'!AF32</f>
        <v>29</v>
      </c>
      <c r="C117" t="s">
        <v>76</v>
      </c>
      <c r="D117" t="s">
        <v>298</v>
      </c>
      <c r="E117">
        <f>+'5% CO'!AK32</f>
        <v>0</v>
      </c>
      <c r="F117" t="s">
        <v>374</v>
      </c>
    </row>
    <row r="118" spans="2:6" x14ac:dyDescent="0.2">
      <c r="B118">
        <f>+'5% CO'!AF33</f>
        <v>30</v>
      </c>
      <c r="C118" t="s">
        <v>76</v>
      </c>
      <c r="D118" t="s">
        <v>299</v>
      </c>
      <c r="E118">
        <f>+'5% CO'!AK33</f>
        <v>0</v>
      </c>
      <c r="F118" t="s">
        <v>374</v>
      </c>
    </row>
    <row r="119" spans="2:6" x14ac:dyDescent="0.2">
      <c r="B119">
        <f>+'5% CO'!AF34</f>
        <v>31</v>
      </c>
      <c r="C119" t="s">
        <v>76</v>
      </c>
      <c r="D119" t="s">
        <v>300</v>
      </c>
      <c r="E119">
        <f>+'5% CO'!AK34</f>
        <v>0</v>
      </c>
      <c r="F119" t="s">
        <v>374</v>
      </c>
    </row>
    <row r="120" spans="2:6" x14ac:dyDescent="0.2">
      <c r="B120">
        <f>+'5% CO'!AF35</f>
        <v>32</v>
      </c>
      <c r="C120" t="s">
        <v>76</v>
      </c>
      <c r="D120" t="s">
        <v>301</v>
      </c>
      <c r="E120">
        <f>+'5% CO'!AK35</f>
        <v>0</v>
      </c>
      <c r="F120" t="s">
        <v>374</v>
      </c>
    </row>
    <row r="121" spans="2:6" x14ac:dyDescent="0.2">
      <c r="B121">
        <f>+'5% CO'!AF36</f>
        <v>33</v>
      </c>
      <c r="C121" t="s">
        <v>76</v>
      </c>
      <c r="D121" t="s">
        <v>302</v>
      </c>
      <c r="E121">
        <f>+'5% CO'!AK36</f>
        <v>0</v>
      </c>
      <c r="F121" t="s">
        <v>374</v>
      </c>
    </row>
    <row r="122" spans="2:6" x14ac:dyDescent="0.2">
      <c r="B122">
        <f>+'5% CO'!AF37</f>
        <v>34</v>
      </c>
      <c r="C122" t="s">
        <v>76</v>
      </c>
      <c r="D122" t="s">
        <v>303</v>
      </c>
      <c r="E122">
        <f>+'5% CO'!AK37</f>
        <v>0</v>
      </c>
      <c r="F122" t="s">
        <v>374</v>
      </c>
    </row>
    <row r="123" spans="2:6" x14ac:dyDescent="0.2">
      <c r="B123">
        <f>+'5% CO'!AF38</f>
        <v>35</v>
      </c>
      <c r="C123" t="s">
        <v>76</v>
      </c>
      <c r="D123" t="s">
        <v>304</v>
      </c>
      <c r="E123">
        <f>+'5% CO'!AK38</f>
        <v>0</v>
      </c>
      <c r="F123" t="s">
        <v>374</v>
      </c>
    </row>
    <row r="124" spans="2:6" x14ac:dyDescent="0.2">
      <c r="B124">
        <f>+'5% CO'!AF39</f>
        <v>36</v>
      </c>
      <c r="C124" t="s">
        <v>76</v>
      </c>
      <c r="D124" t="s">
        <v>305</v>
      </c>
      <c r="E124">
        <f>+'5% CO'!AK39</f>
        <v>0</v>
      </c>
      <c r="F124" t="s">
        <v>374</v>
      </c>
    </row>
    <row r="125" spans="2:6" x14ac:dyDescent="0.2">
      <c r="B125">
        <f>+'5% CO'!AF40</f>
        <v>37</v>
      </c>
      <c r="C125" t="s">
        <v>76</v>
      </c>
      <c r="D125" t="s">
        <v>306</v>
      </c>
      <c r="E125">
        <f>+'5% CO'!AK40</f>
        <v>0</v>
      </c>
      <c r="F125" t="s">
        <v>374</v>
      </c>
    </row>
    <row r="126" spans="2:6" x14ac:dyDescent="0.2">
      <c r="B126">
        <f>+'5% CO'!AF41</f>
        <v>38</v>
      </c>
      <c r="C126" t="s">
        <v>76</v>
      </c>
      <c r="D126" t="s">
        <v>307</v>
      </c>
      <c r="E126">
        <f>+'5% CO'!AK41</f>
        <v>0</v>
      </c>
      <c r="F126" t="s">
        <v>374</v>
      </c>
    </row>
    <row r="127" spans="2:6" x14ac:dyDescent="0.2">
      <c r="B127">
        <f>+'5% CO'!AF42</f>
        <v>39</v>
      </c>
      <c r="C127" t="s">
        <v>76</v>
      </c>
      <c r="D127" t="s">
        <v>308</v>
      </c>
      <c r="E127">
        <f>+'5% CO'!AK42</f>
        <v>0</v>
      </c>
      <c r="F127" t="s">
        <v>374</v>
      </c>
    </row>
  </sheetData>
  <phoneticPr fontId="6" type="noConversion"/>
  <pageMargins left="0.7" right="0.7" top="0.75" bottom="0.75" header="0.3" footer="0.3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1A44-5DC1-E34B-8774-5AEDE623EA8C}">
  <dimension ref="B1:AK54"/>
  <sheetViews>
    <sheetView workbookViewId="0">
      <selection activeCell="D7" sqref="D7"/>
    </sheetView>
  </sheetViews>
  <sheetFormatPr baseColWidth="10" defaultRowHeight="16" x14ac:dyDescent="0.2"/>
  <cols>
    <col min="3" max="3" width="17.83203125" customWidth="1"/>
    <col min="12" max="12" width="12.33203125" customWidth="1"/>
  </cols>
  <sheetData>
    <row r="1" spans="2:37" ht="17" x14ac:dyDescent="0.2">
      <c r="R1" s="7" t="s">
        <v>105</v>
      </c>
      <c r="S1" s="7" t="s">
        <v>106</v>
      </c>
      <c r="T1" s="7" t="s">
        <v>107</v>
      </c>
      <c r="U1" s="7" t="s">
        <v>108</v>
      </c>
      <c r="V1" s="23" t="s">
        <v>342</v>
      </c>
      <c r="W1" s="1" t="s">
        <v>109</v>
      </c>
      <c r="X1" t="s">
        <v>110</v>
      </c>
      <c r="Y1" s="1" t="s">
        <v>46</v>
      </c>
      <c r="Z1" s="1" t="s">
        <v>111</v>
      </c>
    </row>
    <row r="2" spans="2:37" x14ac:dyDescent="0.2">
      <c r="D2" t="s">
        <v>46</v>
      </c>
      <c r="E2" t="s">
        <v>47</v>
      </c>
      <c r="F2" t="s">
        <v>45</v>
      </c>
      <c r="L2" t="s">
        <v>49</v>
      </c>
      <c r="N2" t="s">
        <v>50</v>
      </c>
      <c r="O2" t="s">
        <v>51</v>
      </c>
      <c r="R2" s="5" t="s">
        <v>79</v>
      </c>
      <c r="S2" s="5">
        <v>0.70520000000000005</v>
      </c>
      <c r="T2" s="6">
        <v>3</v>
      </c>
      <c r="U2" s="6" t="s">
        <v>76</v>
      </c>
      <c r="V2" s="22">
        <v>1</v>
      </c>
      <c r="W2">
        <f t="shared" ref="W2:W45" si="0">S2*T2</f>
        <v>2.1156000000000001</v>
      </c>
      <c r="X2" s="8">
        <f>W2/$W$48</f>
        <v>2.7211692847438182E-3</v>
      </c>
      <c r="Y2">
        <f>X2*$N$5</f>
        <v>7.7528547753490648E-2</v>
      </c>
      <c r="Z2">
        <f>Y2/T2</f>
        <v>2.5842849251163549E-2</v>
      </c>
      <c r="AG2" t="s">
        <v>112</v>
      </c>
      <c r="AH2" s="1" t="s">
        <v>109</v>
      </c>
      <c r="AI2" t="s">
        <v>110</v>
      </c>
      <c r="AJ2" s="1" t="s">
        <v>46</v>
      </c>
      <c r="AK2" s="1" t="s">
        <v>111</v>
      </c>
    </row>
    <row r="3" spans="2:37" x14ac:dyDescent="0.2">
      <c r="D3" s="1" t="s">
        <v>43</v>
      </c>
      <c r="E3" s="1" t="s">
        <v>44</v>
      </c>
      <c r="L3">
        <f>+D5-E5</f>
        <v>45.152792124940191</v>
      </c>
      <c r="N3" s="21">
        <v>27</v>
      </c>
      <c r="O3" s="21">
        <v>15.79</v>
      </c>
      <c r="P3" t="s">
        <v>52</v>
      </c>
      <c r="R3" s="3" t="s">
        <v>64</v>
      </c>
      <c r="S3" s="3">
        <v>4.4340000000000002</v>
      </c>
      <c r="T3" s="4">
        <v>4</v>
      </c>
      <c r="U3" s="4" t="s">
        <v>60</v>
      </c>
      <c r="V3" s="22">
        <v>2</v>
      </c>
      <c r="W3">
        <f t="shared" si="0"/>
        <v>17.736000000000001</v>
      </c>
      <c r="X3" s="8">
        <f t="shared" ref="X3:X46" si="1">W3/$W$48</f>
        <v>2.281275214322951E-2</v>
      </c>
      <c r="Y3">
        <f t="shared" ref="Y3:Y46" si="2">X3*$N$5</f>
        <v>0.6499557208148562</v>
      </c>
      <c r="Z3">
        <f t="shared" ref="Z3:Z46" si="3">Y3/T3</f>
        <v>0.16248893020371405</v>
      </c>
    </row>
    <row r="4" spans="2:37" x14ac:dyDescent="0.2">
      <c r="N4" s="2">
        <f>+N3/(N3+O3)</f>
        <v>0.63098854872633792</v>
      </c>
      <c r="O4" s="2">
        <f>1-N4</f>
        <v>0.36901145127366208</v>
      </c>
      <c r="P4" t="s">
        <v>53</v>
      </c>
      <c r="R4" s="5" t="s">
        <v>87</v>
      </c>
      <c r="S4" s="5">
        <v>0.42370000000000002</v>
      </c>
      <c r="T4" s="6">
        <v>4</v>
      </c>
      <c r="U4" s="6" t="s">
        <v>76</v>
      </c>
      <c r="V4" s="22">
        <v>3</v>
      </c>
      <c r="W4">
        <f t="shared" si="0"/>
        <v>1.6948000000000001</v>
      </c>
      <c r="X4" s="8">
        <f t="shared" si="1"/>
        <v>2.1799195045300733E-3</v>
      </c>
      <c r="Y4">
        <f t="shared" si="2"/>
        <v>6.2107857219047054E-2</v>
      </c>
      <c r="Z4">
        <f t="shared" si="3"/>
        <v>1.5526964304761763E-2</v>
      </c>
      <c r="AF4">
        <v>1</v>
      </c>
      <c r="AG4">
        <v>0</v>
      </c>
      <c r="AH4">
        <f t="shared" ref="AH4:AH51" si="4">AG4*AF4</f>
        <v>0</v>
      </c>
      <c r="AI4" s="9">
        <f>AH4/$AH$54</f>
        <v>0</v>
      </c>
      <c r="AJ4">
        <f>AI4*$O$5</f>
        <v>0</v>
      </c>
      <c r="AK4">
        <f t="shared" ref="AK4:AK51" si="5">AJ4/AF4</f>
        <v>0</v>
      </c>
    </row>
    <row r="5" spans="2:37" x14ac:dyDescent="0.2">
      <c r="C5" t="s">
        <v>48</v>
      </c>
      <c r="D5">
        <f>+D6+D7</f>
        <v>213.62788060662393</v>
      </c>
      <c r="E5">
        <f>SUM(E6:E47)</f>
        <v>168.47508848168374</v>
      </c>
      <c r="G5" s="1" t="s">
        <v>55</v>
      </c>
      <c r="L5" t="s">
        <v>358</v>
      </c>
      <c r="N5">
        <f>+N4*L3</f>
        <v>28.490894773858031</v>
      </c>
      <c r="O5">
        <f>+O4*L3</f>
        <v>16.66189735108216</v>
      </c>
      <c r="P5" t="s">
        <v>54</v>
      </c>
      <c r="R5" s="5" t="s">
        <v>91</v>
      </c>
      <c r="S5" s="5">
        <v>0.24740000000000001</v>
      </c>
      <c r="T5" s="6">
        <v>4</v>
      </c>
      <c r="U5" s="6" t="s">
        <v>57</v>
      </c>
      <c r="V5" s="22">
        <v>4</v>
      </c>
      <c r="W5">
        <f t="shared" si="0"/>
        <v>0.98960000000000004</v>
      </c>
      <c r="X5" s="8">
        <f t="shared" si="1"/>
        <v>1.2728630762821338E-3</v>
      </c>
      <c r="Y5">
        <f t="shared" si="2"/>
        <v>3.6265007967883504E-2</v>
      </c>
      <c r="Z5">
        <f t="shared" si="3"/>
        <v>9.0662519919708761E-3</v>
      </c>
      <c r="AF5">
        <v>2</v>
      </c>
      <c r="AG5">
        <v>0</v>
      </c>
      <c r="AH5">
        <f t="shared" si="4"/>
        <v>0</v>
      </c>
      <c r="AI5" s="9">
        <f t="shared" ref="AI5:AI51" si="6">AH5/$AH$54</f>
        <v>0</v>
      </c>
      <c r="AJ5">
        <f t="shared" ref="AJ5:AJ51" si="7">AI5*$O$5</f>
        <v>0</v>
      </c>
      <c r="AK5">
        <f t="shared" si="5"/>
        <v>0</v>
      </c>
    </row>
    <row r="6" spans="2:37" x14ac:dyDescent="0.2">
      <c r="C6" t="s">
        <v>41</v>
      </c>
      <c r="D6" s="21">
        <v>84.481827236355642</v>
      </c>
      <c r="E6" s="21">
        <v>8.8021861416656364</v>
      </c>
      <c r="F6" s="8">
        <f>+(D6-E6)/D6</f>
        <v>0.89580970926398551</v>
      </c>
      <c r="G6" s="8">
        <f>+(D6+D7-E7-E6)/(D6+D7)</f>
        <v>0.46275544650840889</v>
      </c>
      <c r="H6" s="2"/>
      <c r="I6" s="2"/>
      <c r="J6" s="25">
        <f>+E6*$L$24</f>
        <v>8.0707390945449795</v>
      </c>
      <c r="L6">
        <f>+D7+D6-E6-E7</f>
        <v>98.857465276763321</v>
      </c>
      <c r="R6" s="5" t="s">
        <v>61</v>
      </c>
      <c r="S6" s="5">
        <v>9.5908000000000015</v>
      </c>
      <c r="T6" s="6">
        <v>5</v>
      </c>
      <c r="U6" s="6" t="s">
        <v>60</v>
      </c>
      <c r="V6" s="22">
        <v>5</v>
      </c>
      <c r="W6">
        <f t="shared" si="0"/>
        <v>47.954000000000008</v>
      </c>
      <c r="X6" s="8">
        <f t="shared" si="1"/>
        <v>6.1680351616848678E-2</v>
      </c>
      <c r="Y6">
        <f t="shared" si="2"/>
        <v>1.7573284075301998</v>
      </c>
      <c r="Z6">
        <f t="shared" si="3"/>
        <v>0.35146568150603996</v>
      </c>
      <c r="AF6">
        <v>3</v>
      </c>
      <c r="AG6">
        <v>0</v>
      </c>
      <c r="AH6">
        <f t="shared" si="4"/>
        <v>0</v>
      </c>
      <c r="AI6" s="9">
        <f t="shared" si="6"/>
        <v>0</v>
      </c>
      <c r="AJ6">
        <f t="shared" si="7"/>
        <v>0</v>
      </c>
      <c r="AK6">
        <f t="shared" si="5"/>
        <v>0</v>
      </c>
    </row>
    <row r="7" spans="2:37" x14ac:dyDescent="0.2">
      <c r="B7">
        <v>1</v>
      </c>
      <c r="C7" t="s">
        <v>0</v>
      </c>
      <c r="D7" s="21">
        <v>129.14605337026831</v>
      </c>
      <c r="E7" s="21">
        <v>105.96822918819498</v>
      </c>
      <c r="F7" s="8">
        <f>+(D7-E7)/D7</f>
        <v>0.17946986049679212</v>
      </c>
      <c r="G7" s="2"/>
      <c r="H7" s="2"/>
      <c r="I7" s="2"/>
      <c r="J7" s="25">
        <f t="shared" ref="J7:J47" si="8">+E7*$L$24</f>
        <v>97.16244536576346</v>
      </c>
      <c r="R7" s="3" t="s">
        <v>75</v>
      </c>
      <c r="S7" s="3">
        <v>0.84379999999999999</v>
      </c>
      <c r="T7" s="4">
        <v>5</v>
      </c>
      <c r="U7" s="4" t="s">
        <v>76</v>
      </c>
      <c r="V7" s="22">
        <v>6</v>
      </c>
      <c r="W7">
        <f t="shared" si="0"/>
        <v>4.2190000000000003</v>
      </c>
      <c r="X7" s="8">
        <f t="shared" si="1"/>
        <v>5.4266464418293477E-3</v>
      </c>
      <c r="Y7">
        <f t="shared" si="2"/>
        <v>0.15461001274909103</v>
      </c>
      <c r="Z7">
        <f t="shared" si="3"/>
        <v>3.0922002549818205E-2</v>
      </c>
      <c r="AF7">
        <v>4</v>
      </c>
      <c r="AG7">
        <v>0</v>
      </c>
      <c r="AH7">
        <f t="shared" si="4"/>
        <v>0</v>
      </c>
      <c r="AI7" s="9">
        <f t="shared" si="6"/>
        <v>0</v>
      </c>
      <c r="AJ7">
        <f t="shared" si="7"/>
        <v>0</v>
      </c>
      <c r="AK7">
        <f t="shared" si="5"/>
        <v>0</v>
      </c>
    </row>
    <row r="8" spans="2:37" x14ac:dyDescent="0.2">
      <c r="B8">
        <v>8</v>
      </c>
      <c r="C8" t="s">
        <v>1</v>
      </c>
      <c r="E8" s="21">
        <v>0</v>
      </c>
      <c r="G8">
        <f>+E8/B8</f>
        <v>0</v>
      </c>
      <c r="H8" t="s">
        <v>60</v>
      </c>
      <c r="I8">
        <v>1</v>
      </c>
      <c r="J8" s="25">
        <f t="shared" si="8"/>
        <v>0</v>
      </c>
      <c r="R8" s="3" t="s">
        <v>81</v>
      </c>
      <c r="S8" s="3">
        <v>0.71390000000000009</v>
      </c>
      <c r="T8" s="4">
        <v>5</v>
      </c>
      <c r="U8" s="4" t="s">
        <v>57</v>
      </c>
      <c r="V8" s="22">
        <v>7</v>
      </c>
      <c r="W8">
        <f t="shared" si="0"/>
        <v>3.5695000000000006</v>
      </c>
      <c r="X8" s="8">
        <f t="shared" si="1"/>
        <v>4.5912335800212985E-3</v>
      </c>
      <c r="Y8">
        <f t="shared" si="2"/>
        <v>0.13080835281059031</v>
      </c>
      <c r="Z8">
        <f t="shared" si="3"/>
        <v>2.6161670562118062E-2</v>
      </c>
      <c r="AF8">
        <v>5</v>
      </c>
      <c r="AG8">
        <v>0</v>
      </c>
      <c r="AH8">
        <f t="shared" si="4"/>
        <v>0</v>
      </c>
      <c r="AI8" s="9">
        <f t="shared" si="6"/>
        <v>0</v>
      </c>
      <c r="AJ8">
        <f t="shared" si="7"/>
        <v>0</v>
      </c>
      <c r="AK8">
        <f t="shared" si="5"/>
        <v>0</v>
      </c>
    </row>
    <row r="9" spans="2:37" x14ac:dyDescent="0.2">
      <c r="B9">
        <v>7</v>
      </c>
      <c r="C9" t="s">
        <v>2</v>
      </c>
      <c r="E9" s="21">
        <v>0</v>
      </c>
      <c r="G9">
        <f t="shared" ref="G9:G47" si="9">+E9/B9</f>
        <v>0</v>
      </c>
      <c r="H9" t="s">
        <v>67</v>
      </c>
      <c r="I9">
        <v>2</v>
      </c>
      <c r="J9" s="25">
        <f t="shared" si="8"/>
        <v>0</v>
      </c>
      <c r="R9" s="3" t="s">
        <v>90</v>
      </c>
      <c r="S9" s="3">
        <v>0.29859999999999998</v>
      </c>
      <c r="T9" s="4">
        <v>5</v>
      </c>
      <c r="U9" s="4" t="s">
        <v>73</v>
      </c>
      <c r="V9" s="22">
        <v>8</v>
      </c>
      <c r="W9">
        <f t="shared" si="0"/>
        <v>1.4929999999999999</v>
      </c>
      <c r="X9" s="8">
        <f t="shared" si="1"/>
        <v>1.9203562781823216E-3</v>
      </c>
      <c r="Y9">
        <f t="shared" si="2"/>
        <v>5.4712668650010163E-2</v>
      </c>
      <c r="Z9">
        <f t="shared" si="3"/>
        <v>1.0942533730002032E-2</v>
      </c>
      <c r="AF9">
        <v>6</v>
      </c>
      <c r="AG9">
        <v>0</v>
      </c>
      <c r="AH9">
        <f t="shared" si="4"/>
        <v>0</v>
      </c>
      <c r="AI9" s="9">
        <f t="shared" si="6"/>
        <v>0</v>
      </c>
      <c r="AJ9">
        <f t="shared" si="7"/>
        <v>0</v>
      </c>
      <c r="AK9">
        <f t="shared" si="5"/>
        <v>0</v>
      </c>
    </row>
    <row r="10" spans="2:37" x14ac:dyDescent="0.2">
      <c r="B10">
        <v>9</v>
      </c>
      <c r="C10" t="s">
        <v>3</v>
      </c>
      <c r="E10" s="21">
        <v>2.5805664252991239E-3</v>
      </c>
      <c r="G10">
        <f t="shared" si="9"/>
        <v>2.8672960281101378E-4</v>
      </c>
      <c r="H10" t="s">
        <v>67</v>
      </c>
      <c r="I10">
        <v>3</v>
      </c>
      <c r="J10" s="25">
        <f t="shared" si="8"/>
        <v>2.3661256419181703E-3</v>
      </c>
      <c r="L10">
        <f>+L3/D5</f>
        <v>0.21136188776822112</v>
      </c>
      <c r="R10" s="3" t="s">
        <v>56</v>
      </c>
      <c r="S10" s="3">
        <v>9.5949000000000009</v>
      </c>
      <c r="T10" s="4">
        <v>6</v>
      </c>
      <c r="U10" s="4" t="s">
        <v>57</v>
      </c>
      <c r="V10" s="22">
        <v>9</v>
      </c>
      <c r="W10">
        <f t="shared" si="0"/>
        <v>57.569400000000002</v>
      </c>
      <c r="X10" s="8">
        <f t="shared" si="1"/>
        <v>7.4048063443529377E-2</v>
      </c>
      <c r="Y10">
        <f t="shared" si="2"/>
        <v>2.1096955837775591</v>
      </c>
      <c r="Z10">
        <f t="shared" si="3"/>
        <v>0.35161593062959318</v>
      </c>
      <c r="AF10">
        <v>7</v>
      </c>
      <c r="AG10">
        <v>0</v>
      </c>
      <c r="AH10">
        <f t="shared" si="4"/>
        <v>0</v>
      </c>
      <c r="AI10" s="9">
        <f t="shared" si="6"/>
        <v>0</v>
      </c>
      <c r="AJ10">
        <f t="shared" si="7"/>
        <v>0</v>
      </c>
      <c r="AK10">
        <f t="shared" si="5"/>
        <v>0</v>
      </c>
    </row>
    <row r="11" spans="2:37" x14ac:dyDescent="0.2">
      <c r="B11">
        <v>8</v>
      </c>
      <c r="C11" t="s">
        <v>4</v>
      </c>
      <c r="E11" s="21">
        <v>0</v>
      </c>
      <c r="G11">
        <f t="shared" si="9"/>
        <v>0</v>
      </c>
      <c r="H11" t="s">
        <v>67</v>
      </c>
      <c r="I11">
        <v>4</v>
      </c>
      <c r="J11" s="25">
        <f t="shared" si="8"/>
        <v>0</v>
      </c>
      <c r="R11" s="5" t="s">
        <v>69</v>
      </c>
      <c r="S11" s="5">
        <v>3.8918999999999997</v>
      </c>
      <c r="T11" s="6">
        <v>6</v>
      </c>
      <c r="U11" s="6" t="s">
        <v>60</v>
      </c>
      <c r="V11" s="22">
        <v>10</v>
      </c>
      <c r="W11">
        <f t="shared" si="0"/>
        <v>23.351399999999998</v>
      </c>
      <c r="X11" s="8">
        <f t="shared" si="1"/>
        <v>3.0035504081946864E-2</v>
      </c>
      <c r="Y11">
        <f t="shared" si="2"/>
        <v>0.85573838627853149</v>
      </c>
      <c r="Z11">
        <f t="shared" si="3"/>
        <v>0.14262306437975525</v>
      </c>
      <c r="AF11">
        <v>8</v>
      </c>
      <c r="AG11">
        <v>2.5</v>
      </c>
      <c r="AH11">
        <f t="shared" si="4"/>
        <v>20</v>
      </c>
      <c r="AI11" s="9">
        <f t="shared" si="6"/>
        <v>1.3580498404291439E-2</v>
      </c>
      <c r="AJ11">
        <f t="shared" si="7"/>
        <v>0.22627687038883904</v>
      </c>
      <c r="AK11">
        <f t="shared" si="5"/>
        <v>2.8284608798604879E-2</v>
      </c>
    </row>
    <row r="12" spans="2:37" x14ac:dyDescent="0.2">
      <c r="B12">
        <v>8</v>
      </c>
      <c r="C12" t="s">
        <v>5</v>
      </c>
      <c r="E12" s="21">
        <v>0.26513617857927585</v>
      </c>
      <c r="G12">
        <f t="shared" si="9"/>
        <v>3.3142022322409481E-2</v>
      </c>
      <c r="H12" t="s">
        <v>67</v>
      </c>
      <c r="I12">
        <v>5</v>
      </c>
      <c r="J12" s="25">
        <f t="shared" si="8"/>
        <v>0.24310380255524774</v>
      </c>
      <c r="R12" s="3" t="s">
        <v>72</v>
      </c>
      <c r="S12" s="3">
        <v>0.96410000000000007</v>
      </c>
      <c r="T12" s="4">
        <v>6</v>
      </c>
      <c r="U12" s="4" t="s">
        <v>73</v>
      </c>
      <c r="V12" s="22">
        <v>11</v>
      </c>
      <c r="W12">
        <f t="shared" si="0"/>
        <v>5.7846000000000002</v>
      </c>
      <c r="X12" s="8">
        <f t="shared" si="1"/>
        <v>7.4403837419782046E-3</v>
      </c>
      <c r="Y12">
        <f t="shared" si="2"/>
        <v>0.21198319026982509</v>
      </c>
      <c r="Z12">
        <f t="shared" si="3"/>
        <v>3.5330531711637518E-2</v>
      </c>
      <c r="AF12">
        <v>9</v>
      </c>
      <c r="AG12">
        <v>3.0999999999999996</v>
      </c>
      <c r="AH12">
        <f t="shared" si="4"/>
        <v>27.9</v>
      </c>
      <c r="AI12" s="9">
        <f t="shared" si="6"/>
        <v>1.8944795273986556E-2</v>
      </c>
      <c r="AJ12">
        <f t="shared" si="7"/>
        <v>0.31565623419243044</v>
      </c>
      <c r="AK12">
        <f t="shared" si="5"/>
        <v>3.507291491027005E-2</v>
      </c>
    </row>
    <row r="13" spans="2:37" x14ac:dyDescent="0.2">
      <c r="B13">
        <v>8</v>
      </c>
      <c r="C13" t="s">
        <v>6</v>
      </c>
      <c r="E13" s="21">
        <v>0</v>
      </c>
      <c r="G13">
        <f t="shared" si="9"/>
        <v>0</v>
      </c>
      <c r="H13" t="s">
        <v>67</v>
      </c>
      <c r="I13">
        <v>6</v>
      </c>
      <c r="J13" s="25">
        <f t="shared" si="8"/>
        <v>0</v>
      </c>
      <c r="R13" s="5" t="s">
        <v>96</v>
      </c>
      <c r="S13" s="5">
        <v>0.109</v>
      </c>
      <c r="T13" s="6">
        <v>6</v>
      </c>
      <c r="U13" s="6" t="s">
        <v>76</v>
      </c>
      <c r="V13" s="22">
        <v>12</v>
      </c>
      <c r="W13">
        <f t="shared" si="0"/>
        <v>0.65400000000000003</v>
      </c>
      <c r="X13" s="8">
        <f t="shared" si="1"/>
        <v>8.4120094168200837E-4</v>
      </c>
      <c r="Y13">
        <f t="shared" si="2"/>
        <v>2.3966567513132385E-2</v>
      </c>
      <c r="Z13">
        <f t="shared" si="3"/>
        <v>3.9944279188553972E-3</v>
      </c>
      <c r="AF13">
        <v>10</v>
      </c>
      <c r="AG13">
        <v>7.9</v>
      </c>
      <c r="AH13">
        <f t="shared" si="4"/>
        <v>79</v>
      </c>
      <c r="AI13" s="9">
        <f t="shared" si="6"/>
        <v>5.3642968696951183E-2</v>
      </c>
      <c r="AJ13">
        <f t="shared" si="7"/>
        <v>0.89379363803591416</v>
      </c>
      <c r="AK13">
        <f t="shared" si="5"/>
        <v>8.9379363803591419E-2</v>
      </c>
    </row>
    <row r="14" spans="2:37" x14ac:dyDescent="0.2">
      <c r="B14">
        <v>8</v>
      </c>
      <c r="C14" t="s">
        <v>7</v>
      </c>
      <c r="E14" s="21">
        <v>0</v>
      </c>
      <c r="G14">
        <f t="shared" si="9"/>
        <v>0</v>
      </c>
      <c r="H14" t="s">
        <v>67</v>
      </c>
      <c r="I14">
        <v>7</v>
      </c>
      <c r="J14" s="25">
        <f t="shared" si="8"/>
        <v>0</v>
      </c>
      <c r="R14" s="3" t="s">
        <v>98</v>
      </c>
      <c r="S14" s="3">
        <v>0.08</v>
      </c>
      <c r="T14" s="4">
        <v>6</v>
      </c>
      <c r="U14" s="4" t="s">
        <v>67</v>
      </c>
      <c r="V14" s="22">
        <v>13</v>
      </c>
      <c r="W14">
        <f t="shared" si="0"/>
        <v>0.48</v>
      </c>
      <c r="X14" s="8">
        <f t="shared" si="1"/>
        <v>6.1739518655560242E-4</v>
      </c>
      <c r="Y14">
        <f t="shared" si="2"/>
        <v>1.7590141294042117E-2</v>
      </c>
      <c r="Z14">
        <f t="shared" si="3"/>
        <v>2.9316902156736862E-3</v>
      </c>
      <c r="AF14">
        <v>11</v>
      </c>
      <c r="AG14">
        <v>9.1000000000000014</v>
      </c>
      <c r="AH14">
        <f t="shared" si="4"/>
        <v>100.10000000000002</v>
      </c>
      <c r="AI14" s="9">
        <f t="shared" si="6"/>
        <v>6.7970394513478666E-2</v>
      </c>
      <c r="AJ14">
        <f t="shared" si="7"/>
        <v>1.1325157362961396</v>
      </c>
      <c r="AK14">
        <f t="shared" si="5"/>
        <v>0.10295597602692177</v>
      </c>
    </row>
    <row r="15" spans="2:37" x14ac:dyDescent="0.2">
      <c r="B15">
        <v>9</v>
      </c>
      <c r="C15" t="s">
        <v>8</v>
      </c>
      <c r="E15" s="21">
        <v>0</v>
      </c>
      <c r="G15">
        <f t="shared" si="9"/>
        <v>0</v>
      </c>
      <c r="H15" t="s">
        <v>67</v>
      </c>
      <c r="I15">
        <v>8</v>
      </c>
      <c r="J15" s="25">
        <f t="shared" si="8"/>
        <v>0</v>
      </c>
      <c r="R15" s="5" t="s">
        <v>58</v>
      </c>
      <c r="S15" s="5">
        <v>8.1823999999999995</v>
      </c>
      <c r="T15" s="6">
        <v>7</v>
      </c>
      <c r="U15" s="6" t="s">
        <v>57</v>
      </c>
      <c r="V15" s="22">
        <v>14</v>
      </c>
      <c r="W15">
        <f t="shared" si="0"/>
        <v>57.276799999999994</v>
      </c>
      <c r="X15" s="8">
        <f t="shared" si="1"/>
        <v>7.3671709627724846E-2</v>
      </c>
      <c r="Y15">
        <f t="shared" si="2"/>
        <v>2.0989729268137323</v>
      </c>
      <c r="Z15">
        <f t="shared" si="3"/>
        <v>0.2998532752591046</v>
      </c>
      <c r="AF15">
        <v>12</v>
      </c>
      <c r="AG15">
        <v>10.5</v>
      </c>
      <c r="AH15">
        <f t="shared" si="4"/>
        <v>126</v>
      </c>
      <c r="AI15" s="9">
        <f t="shared" si="6"/>
        <v>8.5557139947036065E-2</v>
      </c>
      <c r="AJ15">
        <f t="shared" si="7"/>
        <v>1.4255442834496859</v>
      </c>
      <c r="AK15">
        <f t="shared" si="5"/>
        <v>0.11879535695414049</v>
      </c>
    </row>
    <row r="16" spans="2:37" x14ac:dyDescent="0.2">
      <c r="B16">
        <v>10</v>
      </c>
      <c r="C16" t="s">
        <v>9</v>
      </c>
      <c r="E16" s="21">
        <v>0</v>
      </c>
      <c r="G16">
        <f t="shared" si="9"/>
        <v>0</v>
      </c>
      <c r="H16" t="s">
        <v>60</v>
      </c>
      <c r="I16">
        <v>9</v>
      </c>
      <c r="J16" s="25">
        <f t="shared" si="8"/>
        <v>0</v>
      </c>
      <c r="R16" s="3" t="s">
        <v>70</v>
      </c>
      <c r="S16" s="3">
        <v>5.7110999999999992</v>
      </c>
      <c r="T16" s="4">
        <v>7</v>
      </c>
      <c r="U16" s="4" t="s">
        <v>60</v>
      </c>
      <c r="V16" s="22">
        <v>15</v>
      </c>
      <c r="W16">
        <f t="shared" si="0"/>
        <v>39.977699999999992</v>
      </c>
      <c r="X16" s="8">
        <f t="shared" si="1"/>
        <v>5.1420915728258132E-2</v>
      </c>
      <c r="Y16">
        <f t="shared" si="2"/>
        <v>1.4650278991892238</v>
      </c>
      <c r="Z16">
        <f t="shared" si="3"/>
        <v>0.20928969988417484</v>
      </c>
      <c r="AF16">
        <v>13</v>
      </c>
      <c r="AG16">
        <v>10.899999999999999</v>
      </c>
      <c r="AH16">
        <f t="shared" si="4"/>
        <v>141.69999999999999</v>
      </c>
      <c r="AI16" s="9">
        <f t="shared" si="6"/>
        <v>9.6217831194404843E-2</v>
      </c>
      <c r="AJ16">
        <f t="shared" si="7"/>
        <v>1.6031716267049245</v>
      </c>
      <c r="AK16">
        <f t="shared" si="5"/>
        <v>0.12332089436191727</v>
      </c>
    </row>
    <row r="17" spans="2:37" x14ac:dyDescent="0.2">
      <c r="B17">
        <v>10</v>
      </c>
      <c r="C17" t="s">
        <v>10</v>
      </c>
      <c r="E17" s="21">
        <v>2.4927383800724644E-2</v>
      </c>
      <c r="G17">
        <f t="shared" si="9"/>
        <v>2.4927383800724644E-3</v>
      </c>
      <c r="H17" t="s">
        <v>76</v>
      </c>
      <c r="I17">
        <v>10</v>
      </c>
      <c r="J17" s="25">
        <f t="shared" si="8"/>
        <v>2.2855959613592752E-2</v>
      </c>
      <c r="R17" s="3" t="s">
        <v>83</v>
      </c>
      <c r="S17" s="3">
        <v>0.87059999999999993</v>
      </c>
      <c r="T17" s="4">
        <v>7</v>
      </c>
      <c r="U17" s="4" t="s">
        <v>73</v>
      </c>
      <c r="V17" s="22">
        <v>16</v>
      </c>
      <c r="W17">
        <f t="shared" si="0"/>
        <v>6.0941999999999998</v>
      </c>
      <c r="X17" s="8">
        <f t="shared" si="1"/>
        <v>7.8386036373065682E-3</v>
      </c>
      <c r="Y17">
        <f t="shared" si="2"/>
        <v>0.22332883140448226</v>
      </c>
      <c r="Z17">
        <f t="shared" si="3"/>
        <v>3.1904118772068897E-2</v>
      </c>
      <c r="AF17">
        <v>14</v>
      </c>
      <c r="AG17">
        <v>10.700000000000003</v>
      </c>
      <c r="AH17">
        <f t="shared" si="4"/>
        <v>149.80000000000004</v>
      </c>
      <c r="AI17" s="9">
        <f t="shared" si="6"/>
        <v>0.1017179330481429</v>
      </c>
      <c r="AJ17">
        <f t="shared" si="7"/>
        <v>1.6948137592124048</v>
      </c>
      <c r="AK17">
        <f t="shared" si="5"/>
        <v>0.12105812565802891</v>
      </c>
    </row>
    <row r="18" spans="2:37" x14ac:dyDescent="0.2">
      <c r="B18">
        <v>1</v>
      </c>
      <c r="C18" t="s">
        <v>11</v>
      </c>
      <c r="E18" s="21">
        <v>12.764487853091264</v>
      </c>
      <c r="G18">
        <f t="shared" si="9"/>
        <v>12.764487853091264</v>
      </c>
      <c r="H18" t="s">
        <v>76</v>
      </c>
      <c r="I18">
        <v>11</v>
      </c>
      <c r="J18" s="25">
        <f>+E18*$L$24</f>
        <v>11.703780115503662</v>
      </c>
      <c r="R18" s="3" t="s">
        <v>2</v>
      </c>
      <c r="S18" s="3">
        <v>0.21390000000000001</v>
      </c>
      <c r="T18" s="4">
        <v>7</v>
      </c>
      <c r="U18" s="4" t="s">
        <v>67</v>
      </c>
      <c r="V18" s="22">
        <v>17</v>
      </c>
      <c r="W18">
        <f t="shared" si="0"/>
        <v>1.4973000000000001</v>
      </c>
      <c r="X18" s="8">
        <f t="shared" si="1"/>
        <v>1.9258871100618826E-3</v>
      </c>
      <c r="Y18">
        <f t="shared" si="2"/>
        <v>5.4870246999102638E-2</v>
      </c>
      <c r="Z18">
        <f t="shared" si="3"/>
        <v>7.8386067141575193E-3</v>
      </c>
      <c r="AF18">
        <v>15</v>
      </c>
      <c r="AG18">
        <v>9.5</v>
      </c>
      <c r="AH18">
        <f t="shared" si="4"/>
        <v>142.5</v>
      </c>
      <c r="AI18" s="9">
        <f t="shared" si="6"/>
        <v>9.6761051130576509E-2</v>
      </c>
      <c r="AJ18">
        <f t="shared" si="7"/>
        <v>1.6122227015204782</v>
      </c>
      <c r="AK18">
        <f t="shared" si="5"/>
        <v>0.10748151343469854</v>
      </c>
    </row>
    <row r="19" spans="2:37" x14ac:dyDescent="0.2">
      <c r="B19">
        <v>2</v>
      </c>
      <c r="C19" t="s">
        <v>12</v>
      </c>
      <c r="E19" s="21">
        <v>7.3588614861819384</v>
      </c>
      <c r="G19">
        <f t="shared" si="9"/>
        <v>3.6794307430909692</v>
      </c>
      <c r="H19" t="s">
        <v>60</v>
      </c>
      <c r="I19">
        <v>12</v>
      </c>
      <c r="J19" s="25">
        <f t="shared" si="8"/>
        <v>6.7473523204351711</v>
      </c>
      <c r="R19" s="3" t="s">
        <v>59</v>
      </c>
      <c r="S19" s="3">
        <v>9.3793000000000024</v>
      </c>
      <c r="T19" s="4">
        <v>8</v>
      </c>
      <c r="U19" s="4" t="s">
        <v>60</v>
      </c>
      <c r="V19" s="22">
        <v>18</v>
      </c>
      <c r="W19">
        <f t="shared" si="0"/>
        <v>75.034400000000019</v>
      </c>
      <c r="X19" s="8">
        <f t="shared" si="1"/>
        <v>9.6512244554349397E-2</v>
      </c>
      <c r="Y19">
        <f t="shared" si="2"/>
        <v>2.7497202039868216</v>
      </c>
      <c r="Z19">
        <f t="shared" si="3"/>
        <v>0.3437150254983527</v>
      </c>
      <c r="AF19">
        <v>16</v>
      </c>
      <c r="AG19">
        <v>7.7000000000000028</v>
      </c>
      <c r="AH19">
        <f t="shared" si="4"/>
        <v>123.20000000000005</v>
      </c>
      <c r="AI19" s="9">
        <f t="shared" si="6"/>
        <v>8.3655870170435298E-2</v>
      </c>
      <c r="AJ19">
        <f t="shared" si="7"/>
        <v>1.3938655215952489</v>
      </c>
      <c r="AK19">
        <f t="shared" si="5"/>
        <v>8.7116595099703056E-2</v>
      </c>
    </row>
    <row r="20" spans="2:37" x14ac:dyDescent="0.2">
      <c r="B20">
        <v>2</v>
      </c>
      <c r="C20" t="s">
        <v>13</v>
      </c>
      <c r="E20" s="21">
        <v>0</v>
      </c>
      <c r="G20">
        <f t="shared" si="9"/>
        <v>0</v>
      </c>
      <c r="H20" t="s">
        <v>60</v>
      </c>
      <c r="I20">
        <v>13</v>
      </c>
      <c r="J20" s="25">
        <f t="shared" si="8"/>
        <v>0</v>
      </c>
      <c r="R20" s="5" t="s">
        <v>66</v>
      </c>
      <c r="S20" s="5">
        <v>1.7669999999999999</v>
      </c>
      <c r="T20" s="6">
        <v>8</v>
      </c>
      <c r="U20" s="6" t="s">
        <v>67</v>
      </c>
      <c r="V20" s="22">
        <v>19</v>
      </c>
      <c r="W20">
        <f t="shared" si="0"/>
        <v>14.135999999999999</v>
      </c>
      <c r="X20" s="8">
        <f t="shared" si="1"/>
        <v>1.818228824406249E-2</v>
      </c>
      <c r="Y20">
        <f t="shared" si="2"/>
        <v>0.5180296611095403</v>
      </c>
      <c r="Z20">
        <f t="shared" si="3"/>
        <v>6.4753707638692537E-2</v>
      </c>
      <c r="AF20">
        <v>17</v>
      </c>
      <c r="AG20">
        <v>6.6999999999999886</v>
      </c>
      <c r="AH20">
        <f t="shared" si="4"/>
        <v>113.89999999999981</v>
      </c>
      <c r="AI20" s="9">
        <f t="shared" si="6"/>
        <v>7.7340938412439608E-2</v>
      </c>
      <c r="AJ20">
        <f t="shared" si="7"/>
        <v>1.2886467768644361</v>
      </c>
      <c r="AK20">
        <f t="shared" si="5"/>
        <v>7.5802751580260952E-2</v>
      </c>
    </row>
    <row r="21" spans="2:37" x14ac:dyDescent="0.2">
      <c r="B21">
        <v>2</v>
      </c>
      <c r="C21" t="s">
        <v>14</v>
      </c>
      <c r="E21" s="21">
        <v>1.709041167604332</v>
      </c>
      <c r="G21">
        <f t="shared" si="9"/>
        <v>0.854520583802166</v>
      </c>
      <c r="H21" t="s">
        <v>76</v>
      </c>
      <c r="I21">
        <v>14</v>
      </c>
      <c r="J21" s="25">
        <f t="shared" si="8"/>
        <v>1.5670226854531153</v>
      </c>
      <c r="R21" s="3" t="s">
        <v>68</v>
      </c>
      <c r="S21" s="3">
        <v>3.4165000000000005</v>
      </c>
      <c r="T21" s="4">
        <v>8</v>
      </c>
      <c r="U21" s="4" t="s">
        <v>57</v>
      </c>
      <c r="V21" s="22">
        <v>20</v>
      </c>
      <c r="W21">
        <f t="shared" si="0"/>
        <v>27.332000000000004</v>
      </c>
      <c r="X21" s="8">
        <f t="shared" si="1"/>
        <v>3.5155510914453604E-2</v>
      </c>
      <c r="Y21">
        <f t="shared" si="2"/>
        <v>1.0016119621849151</v>
      </c>
      <c r="Z21">
        <f t="shared" si="3"/>
        <v>0.12520149527311439</v>
      </c>
      <c r="AF21">
        <v>18</v>
      </c>
      <c r="AG21">
        <v>6.2000000000000028</v>
      </c>
      <c r="AH21">
        <f t="shared" si="4"/>
        <v>111.60000000000005</v>
      </c>
      <c r="AI21" s="9">
        <f t="shared" si="6"/>
        <v>7.5779181095946266E-2</v>
      </c>
      <c r="AJ21">
        <f t="shared" si="7"/>
        <v>1.2626249367697224</v>
      </c>
      <c r="AK21">
        <f t="shared" si="5"/>
        <v>7.0145829820540129E-2</v>
      </c>
    </row>
    <row r="22" spans="2:37" x14ac:dyDescent="0.2">
      <c r="B22">
        <v>3</v>
      </c>
      <c r="C22" t="s">
        <v>15</v>
      </c>
      <c r="E22" s="21">
        <v>10.979834057357101</v>
      </c>
      <c r="G22">
        <f t="shared" si="9"/>
        <v>3.6599446857857001</v>
      </c>
      <c r="H22" t="s">
        <v>60</v>
      </c>
      <c r="I22">
        <v>15</v>
      </c>
      <c r="J22" s="25">
        <f t="shared" si="8"/>
        <v>10.06742808571868</v>
      </c>
      <c r="R22" s="5" t="s">
        <v>80</v>
      </c>
      <c r="S22" s="5">
        <v>1.5335999999999999</v>
      </c>
      <c r="T22" s="6">
        <v>8</v>
      </c>
      <c r="U22" s="6" t="s">
        <v>73</v>
      </c>
      <c r="V22" s="22">
        <v>21</v>
      </c>
      <c r="W22">
        <f t="shared" si="0"/>
        <v>12.268799999999999</v>
      </c>
      <c r="X22" s="8">
        <f t="shared" si="1"/>
        <v>1.5780620968361199E-2</v>
      </c>
      <c r="Y22">
        <f t="shared" si="2"/>
        <v>0.44960401147571655</v>
      </c>
      <c r="Z22">
        <f t="shared" si="3"/>
        <v>5.6200501434464568E-2</v>
      </c>
      <c r="AF22">
        <v>19</v>
      </c>
      <c r="AG22">
        <v>2.8</v>
      </c>
      <c r="AH22">
        <f t="shared" si="4"/>
        <v>53.199999999999996</v>
      </c>
      <c r="AI22" s="9">
        <f t="shared" si="6"/>
        <v>3.6124125755415223E-2</v>
      </c>
      <c r="AJ22">
        <f t="shared" si="7"/>
        <v>0.60189647523431178</v>
      </c>
      <c r="AK22">
        <f t="shared" si="5"/>
        <v>3.1678761854437465E-2</v>
      </c>
    </row>
    <row r="23" spans="2:37" x14ac:dyDescent="0.2">
      <c r="B23">
        <v>3</v>
      </c>
      <c r="C23" t="s">
        <v>16</v>
      </c>
      <c r="E23" s="21">
        <v>1.094377437574626</v>
      </c>
      <c r="G23">
        <f t="shared" si="9"/>
        <v>0.36479247919154201</v>
      </c>
      <c r="H23" t="s">
        <v>76</v>
      </c>
      <c r="I23">
        <v>16</v>
      </c>
      <c r="J23" s="25">
        <f t="shared" si="8"/>
        <v>1.0034364903751207</v>
      </c>
      <c r="R23" s="5" t="s">
        <v>104</v>
      </c>
      <c r="S23" s="5">
        <v>3.3300000000000003E-2</v>
      </c>
      <c r="T23" s="6">
        <v>8</v>
      </c>
      <c r="U23" s="6" t="s">
        <v>76</v>
      </c>
      <c r="V23" s="22">
        <v>22</v>
      </c>
      <c r="W23">
        <f t="shared" si="0"/>
        <v>0.26640000000000003</v>
      </c>
      <c r="X23" s="8">
        <f t="shared" si="1"/>
        <v>3.426543285383594E-4</v>
      </c>
      <c r="Y23">
        <f t="shared" si="2"/>
        <v>9.762528418193377E-3</v>
      </c>
      <c r="Z23">
        <f t="shared" si="3"/>
        <v>1.2203160522741721E-3</v>
      </c>
      <c r="AF23">
        <v>20</v>
      </c>
      <c r="AG23">
        <v>2.2000000000000002</v>
      </c>
      <c r="AH23">
        <f t="shared" si="4"/>
        <v>44</v>
      </c>
      <c r="AI23" s="9">
        <f t="shared" si="6"/>
        <v>2.9877096489441167E-2</v>
      </c>
      <c r="AJ23">
        <f t="shared" si="7"/>
        <v>0.49780911485544588</v>
      </c>
      <c r="AK23">
        <f t="shared" si="5"/>
        <v>2.4890455742772294E-2</v>
      </c>
    </row>
    <row r="24" spans="2:37" x14ac:dyDescent="0.2">
      <c r="B24">
        <v>2</v>
      </c>
      <c r="C24" t="s">
        <v>17</v>
      </c>
      <c r="E24" s="21">
        <v>3.3462397185023605E-3</v>
      </c>
      <c r="G24">
        <f t="shared" si="9"/>
        <v>1.6731198592511802E-3</v>
      </c>
      <c r="H24" t="s">
        <v>337</v>
      </c>
      <c r="I24">
        <v>17</v>
      </c>
      <c r="J24" s="25">
        <f t="shared" si="8"/>
        <v>3.0681727563109371E-3</v>
      </c>
      <c r="L24">
        <f>+(E5-14)/E5</f>
        <v>0.91690166109322413</v>
      </c>
      <c r="R24" s="3" t="s">
        <v>62</v>
      </c>
      <c r="S24" s="3">
        <v>8.9827999999999992</v>
      </c>
      <c r="T24" s="4">
        <v>9</v>
      </c>
      <c r="U24" s="4" t="s">
        <v>57</v>
      </c>
      <c r="V24" s="22">
        <v>23</v>
      </c>
      <c r="W24">
        <f t="shared" si="0"/>
        <v>80.845199999999991</v>
      </c>
      <c r="X24" s="8">
        <f t="shared" si="1"/>
        <v>0.10398632778359372</v>
      </c>
      <c r="Y24">
        <f t="shared" si="2"/>
        <v>2.9626635228022784</v>
      </c>
      <c r="Z24">
        <f t="shared" si="3"/>
        <v>0.32918483586691982</v>
      </c>
      <c r="AF24">
        <v>21</v>
      </c>
      <c r="AG24">
        <v>2</v>
      </c>
      <c r="AH24">
        <f t="shared" si="4"/>
        <v>42</v>
      </c>
      <c r="AI24" s="9">
        <f t="shared" si="6"/>
        <v>2.8519046649012024E-2</v>
      </c>
      <c r="AJ24">
        <f t="shared" si="7"/>
        <v>0.47518142781656203</v>
      </c>
      <c r="AK24">
        <f t="shared" si="5"/>
        <v>2.2627687038883907E-2</v>
      </c>
    </row>
    <row r="25" spans="2:37" x14ac:dyDescent="0.2">
      <c r="B25">
        <v>1</v>
      </c>
      <c r="C25" t="s">
        <v>18</v>
      </c>
      <c r="E25" s="21">
        <v>0.91088223941800006</v>
      </c>
      <c r="G25">
        <f t="shared" si="9"/>
        <v>0.91088223941800006</v>
      </c>
      <c r="H25" t="s">
        <v>337</v>
      </c>
      <c r="I25">
        <v>18</v>
      </c>
      <c r="J25" s="25">
        <f t="shared" si="8"/>
        <v>0.83518943838268012</v>
      </c>
      <c r="R25" s="5" t="s">
        <v>74</v>
      </c>
      <c r="S25" s="5">
        <v>1.6554000000000002</v>
      </c>
      <c r="T25" s="6">
        <v>9</v>
      </c>
      <c r="U25" s="6" t="s">
        <v>60</v>
      </c>
      <c r="V25" s="22">
        <v>24</v>
      </c>
      <c r="W25">
        <f t="shared" si="0"/>
        <v>14.898600000000002</v>
      </c>
      <c r="X25" s="8">
        <f t="shared" si="1"/>
        <v>1.916317484670271E-2</v>
      </c>
      <c r="Y25">
        <f t="shared" si="2"/>
        <v>0.54597599809044994</v>
      </c>
      <c r="Z25">
        <f t="shared" si="3"/>
        <v>6.0663999787827771E-2</v>
      </c>
      <c r="AF25">
        <v>22</v>
      </c>
      <c r="AG25">
        <v>1.8</v>
      </c>
      <c r="AH25">
        <f t="shared" si="4"/>
        <v>39.6</v>
      </c>
      <c r="AI25" s="9">
        <f t="shared" si="6"/>
        <v>2.6889386840497052E-2</v>
      </c>
      <c r="AJ25">
        <f t="shared" si="7"/>
        <v>0.44802820336990135</v>
      </c>
      <c r="AK25">
        <f t="shared" si="5"/>
        <v>2.0364918334995517E-2</v>
      </c>
    </row>
    <row r="26" spans="2:37" x14ac:dyDescent="0.2">
      <c r="B26">
        <v>4</v>
      </c>
      <c r="C26" t="s">
        <v>19</v>
      </c>
      <c r="E26" s="21">
        <v>0.10718907785041794</v>
      </c>
      <c r="G26">
        <f t="shared" si="9"/>
        <v>2.6797269462604485E-2</v>
      </c>
      <c r="H26" t="s">
        <v>60</v>
      </c>
      <c r="I26">
        <v>19</v>
      </c>
      <c r="J26" s="25">
        <f t="shared" si="8"/>
        <v>9.8281843532099122E-2</v>
      </c>
      <c r="R26" s="3" t="s">
        <v>77</v>
      </c>
      <c r="S26" s="5">
        <v>2.3319999999999999</v>
      </c>
      <c r="T26" s="4">
        <v>9</v>
      </c>
      <c r="U26" s="4" t="s">
        <v>67</v>
      </c>
      <c r="V26" s="22">
        <v>25</v>
      </c>
      <c r="W26">
        <f t="shared" si="0"/>
        <v>20.988</v>
      </c>
      <c r="X26" s="8">
        <f t="shared" si="1"/>
        <v>2.6995604532143717E-2</v>
      </c>
      <c r="Y26">
        <f t="shared" si="2"/>
        <v>0.76912892808199163</v>
      </c>
      <c r="Z26">
        <f t="shared" si="3"/>
        <v>8.5458769786887961E-2</v>
      </c>
      <c r="AF26">
        <v>23</v>
      </c>
      <c r="AG26">
        <v>1.6</v>
      </c>
      <c r="AH26">
        <f t="shared" si="4"/>
        <v>36.800000000000004</v>
      </c>
      <c r="AI26" s="9">
        <f t="shared" si="6"/>
        <v>2.498811706389625E-2</v>
      </c>
      <c r="AJ26">
        <f t="shared" si="7"/>
        <v>0.41634944151546388</v>
      </c>
      <c r="AK26">
        <f t="shared" si="5"/>
        <v>1.8102149631107126E-2</v>
      </c>
    </row>
    <row r="27" spans="2:37" x14ac:dyDescent="0.2">
      <c r="B27">
        <v>4</v>
      </c>
      <c r="C27" t="s">
        <v>20</v>
      </c>
      <c r="E27" s="21">
        <v>7.8749790183133896</v>
      </c>
      <c r="G27">
        <f t="shared" si="9"/>
        <v>1.9687447545783474</v>
      </c>
      <c r="H27" t="s">
        <v>60</v>
      </c>
      <c r="I27">
        <v>20</v>
      </c>
      <c r="J27" s="25">
        <f t="shared" si="8"/>
        <v>7.2205813429658345</v>
      </c>
      <c r="R27" s="5" t="s">
        <v>78</v>
      </c>
      <c r="S27" s="5">
        <v>0.71689999999999998</v>
      </c>
      <c r="T27" s="6">
        <v>9</v>
      </c>
      <c r="U27" s="6" t="s">
        <v>76</v>
      </c>
      <c r="V27" s="22">
        <v>26</v>
      </c>
      <c r="W27">
        <f t="shared" si="0"/>
        <v>6.4520999999999997</v>
      </c>
      <c r="X27" s="8">
        <f t="shared" si="1"/>
        <v>8.2989489232820884E-3</v>
      </c>
      <c r="Y27">
        <f t="shared" si="2"/>
        <v>0.23644448050685238</v>
      </c>
      <c r="Z27">
        <f t="shared" si="3"/>
        <v>2.6271608945205818E-2</v>
      </c>
      <c r="AF27">
        <v>24</v>
      </c>
      <c r="AG27">
        <v>1.5</v>
      </c>
      <c r="AH27">
        <f t="shared" si="4"/>
        <v>36</v>
      </c>
      <c r="AI27" s="9">
        <f t="shared" si="6"/>
        <v>2.4444897127724591E-2</v>
      </c>
      <c r="AJ27">
        <f t="shared" si="7"/>
        <v>0.40729836669991026</v>
      </c>
      <c r="AK27">
        <f t="shared" si="5"/>
        <v>1.6970765279162928E-2</v>
      </c>
    </row>
    <row r="28" spans="2:37" x14ac:dyDescent="0.2">
      <c r="B28">
        <v>4</v>
      </c>
      <c r="C28" t="s">
        <v>21</v>
      </c>
      <c r="E28" s="21">
        <v>1.017609964336248</v>
      </c>
      <c r="G28">
        <f t="shared" si="9"/>
        <v>0.25440249108406199</v>
      </c>
      <c r="H28" t="s">
        <v>76</v>
      </c>
      <c r="I28">
        <v>21</v>
      </c>
      <c r="J28" s="25">
        <f t="shared" si="8"/>
        <v>0.93304826664492235</v>
      </c>
      <c r="R28" s="5" t="s">
        <v>86</v>
      </c>
      <c r="S28" s="5">
        <v>0.93319999999999992</v>
      </c>
      <c r="T28" s="6">
        <v>9</v>
      </c>
      <c r="U28" s="6" t="s">
        <v>73</v>
      </c>
      <c r="V28" s="22">
        <v>27</v>
      </c>
      <c r="W28">
        <f t="shared" si="0"/>
        <v>8.3987999999999996</v>
      </c>
      <c r="X28" s="8">
        <f t="shared" si="1"/>
        <v>1.0802872276756654E-2</v>
      </c>
      <c r="Y28">
        <f t="shared" si="2"/>
        <v>0.30778349729250198</v>
      </c>
      <c r="Z28">
        <f t="shared" si="3"/>
        <v>3.4198166365833553E-2</v>
      </c>
      <c r="AF28">
        <v>25</v>
      </c>
      <c r="AG28">
        <v>1.3</v>
      </c>
      <c r="AH28">
        <f t="shared" si="4"/>
        <v>32.5</v>
      </c>
      <c r="AI28" s="9">
        <f t="shared" si="6"/>
        <v>2.2068309906973588E-2</v>
      </c>
      <c r="AJ28">
        <f t="shared" si="7"/>
        <v>0.36769991438186345</v>
      </c>
      <c r="AK28">
        <f t="shared" si="5"/>
        <v>1.4707996575274537E-2</v>
      </c>
    </row>
    <row r="29" spans="2:37" x14ac:dyDescent="0.2">
      <c r="B29">
        <v>4</v>
      </c>
      <c r="C29" t="s">
        <v>22</v>
      </c>
      <c r="E29" s="21">
        <v>0.14285766113708104</v>
      </c>
      <c r="G29">
        <f t="shared" si="9"/>
        <v>3.5714415284270259E-2</v>
      </c>
      <c r="H29" t="s">
        <v>60</v>
      </c>
      <c r="I29">
        <v>22</v>
      </c>
      <c r="J29" s="25">
        <f t="shared" si="8"/>
        <v>0.13098642679648254</v>
      </c>
      <c r="R29" s="5" t="s">
        <v>63</v>
      </c>
      <c r="S29" s="5">
        <v>3.3315000000000001</v>
      </c>
      <c r="T29" s="6">
        <v>10</v>
      </c>
      <c r="U29" s="6" t="s">
        <v>60</v>
      </c>
      <c r="V29" s="22">
        <v>28</v>
      </c>
      <c r="W29">
        <f t="shared" si="0"/>
        <v>33.314999999999998</v>
      </c>
      <c r="X29" s="8">
        <f t="shared" si="1"/>
        <v>4.2851084666874782E-2</v>
      </c>
      <c r="Y29">
        <f t="shared" si="2"/>
        <v>1.2208657441896107</v>
      </c>
      <c r="Z29">
        <f t="shared" si="3"/>
        <v>0.12208657441896106</v>
      </c>
      <c r="AF29">
        <v>26</v>
      </c>
      <c r="AG29">
        <v>1.1000000000000001</v>
      </c>
      <c r="AH29">
        <f t="shared" si="4"/>
        <v>28.6</v>
      </c>
      <c r="AI29" s="9">
        <f t="shared" si="6"/>
        <v>1.9420112718136758E-2</v>
      </c>
      <c r="AJ29">
        <f t="shared" si="7"/>
        <v>0.32357592465603985</v>
      </c>
      <c r="AK29">
        <f t="shared" si="5"/>
        <v>1.2445227871386149E-2</v>
      </c>
    </row>
    <row r="30" spans="2:37" x14ac:dyDescent="0.2">
      <c r="B30">
        <v>5</v>
      </c>
      <c r="C30" t="s">
        <v>23</v>
      </c>
      <c r="E30" s="21">
        <v>8.6169085158296854E-2</v>
      </c>
      <c r="G30">
        <f t="shared" si="9"/>
        <v>1.7233817031659372E-2</v>
      </c>
      <c r="H30" t="s">
        <v>60</v>
      </c>
      <c r="I30">
        <v>23</v>
      </c>
      <c r="J30" s="25">
        <f t="shared" si="8"/>
        <v>7.9008577316525871E-2</v>
      </c>
      <c r="R30" s="5" t="s">
        <v>84</v>
      </c>
      <c r="S30" s="5">
        <v>3.0536000000000003</v>
      </c>
      <c r="T30" s="6">
        <v>10</v>
      </c>
      <c r="U30" s="6" t="s">
        <v>57</v>
      </c>
      <c r="V30" s="22">
        <v>29</v>
      </c>
      <c r="W30">
        <f t="shared" si="0"/>
        <v>30.536000000000001</v>
      </c>
      <c r="X30" s="8">
        <f t="shared" si="1"/>
        <v>3.9276623784712243E-2</v>
      </c>
      <c r="Y30">
        <f t="shared" si="2"/>
        <v>1.1190261553226462</v>
      </c>
      <c r="Z30">
        <f t="shared" si="3"/>
        <v>0.11190261553226462</v>
      </c>
      <c r="AF30">
        <v>27</v>
      </c>
      <c r="AG30">
        <v>0.9</v>
      </c>
      <c r="AH30">
        <f t="shared" si="4"/>
        <v>24.3</v>
      </c>
      <c r="AI30" s="9">
        <f t="shared" si="6"/>
        <v>1.6500305561214099E-2</v>
      </c>
      <c r="AJ30">
        <f t="shared" si="7"/>
        <v>0.27492639752243947</v>
      </c>
      <c r="AK30">
        <f t="shared" si="5"/>
        <v>1.0182459167497758E-2</v>
      </c>
    </row>
    <row r="31" spans="2:37" x14ac:dyDescent="0.2">
      <c r="B31">
        <v>5</v>
      </c>
      <c r="C31" t="s">
        <v>24</v>
      </c>
      <c r="E31" s="21">
        <v>0.31972433242542936</v>
      </c>
      <c r="G31">
        <f t="shared" si="9"/>
        <v>6.3944866485085877E-2</v>
      </c>
      <c r="H31" t="s">
        <v>57</v>
      </c>
      <c r="I31">
        <v>24</v>
      </c>
      <c r="J31" s="25">
        <f t="shared" si="8"/>
        <v>0.29315577149279837</v>
      </c>
      <c r="R31" s="3" t="s">
        <v>85</v>
      </c>
      <c r="S31" s="3">
        <v>2.3726000000000003</v>
      </c>
      <c r="T31" s="4">
        <v>10</v>
      </c>
      <c r="U31" s="4" t="s">
        <v>67</v>
      </c>
      <c r="V31" s="22">
        <v>30</v>
      </c>
      <c r="W31">
        <f t="shared" si="0"/>
        <v>23.726000000000003</v>
      </c>
      <c r="X31" s="8">
        <f t="shared" si="1"/>
        <v>3.0517329575454638E-2</v>
      </c>
      <c r="Y31">
        <f t="shared" si="2"/>
        <v>0.86946602571342368</v>
      </c>
      <c r="Z31">
        <f t="shared" si="3"/>
        <v>8.6946602571342374E-2</v>
      </c>
      <c r="AF31">
        <v>28</v>
      </c>
      <c r="AG31">
        <v>0</v>
      </c>
      <c r="AH31">
        <f t="shared" si="4"/>
        <v>0</v>
      </c>
      <c r="AI31" s="9">
        <f t="shared" si="6"/>
        <v>0</v>
      </c>
      <c r="AJ31">
        <f t="shared" si="7"/>
        <v>0</v>
      </c>
      <c r="AK31">
        <f t="shared" si="5"/>
        <v>0</v>
      </c>
    </row>
    <row r="32" spans="2:37" x14ac:dyDescent="0.2">
      <c r="B32">
        <v>5</v>
      </c>
      <c r="C32" t="s">
        <v>25</v>
      </c>
      <c r="E32" s="21">
        <v>0.71982268812657879</v>
      </c>
      <c r="G32">
        <f t="shared" si="9"/>
        <v>0.14396453762531575</v>
      </c>
      <c r="H32" t="s">
        <v>60</v>
      </c>
      <c r="I32">
        <v>25</v>
      </c>
      <c r="J32" s="25">
        <f t="shared" si="8"/>
        <v>0.66000661843584996</v>
      </c>
      <c r="R32" s="5" t="s">
        <v>88</v>
      </c>
      <c r="S32" s="5">
        <v>1.9381999999999999</v>
      </c>
      <c r="T32" s="6">
        <v>10</v>
      </c>
      <c r="U32" s="6" t="s">
        <v>73</v>
      </c>
      <c r="V32" s="22">
        <v>31</v>
      </c>
      <c r="W32">
        <f t="shared" si="0"/>
        <v>19.381999999999998</v>
      </c>
      <c r="X32" s="8">
        <f t="shared" si="1"/>
        <v>2.4929903137126428E-2</v>
      </c>
      <c r="Y32">
        <f t="shared" si="2"/>
        <v>0.71027524700234224</v>
      </c>
      <c r="Z32">
        <f t="shared" si="3"/>
        <v>7.1027524700234226E-2</v>
      </c>
      <c r="AF32">
        <v>29</v>
      </c>
      <c r="AG32">
        <v>0</v>
      </c>
      <c r="AH32">
        <f t="shared" si="4"/>
        <v>0</v>
      </c>
      <c r="AI32" s="9">
        <f t="shared" si="6"/>
        <v>0</v>
      </c>
      <c r="AJ32">
        <f t="shared" si="7"/>
        <v>0</v>
      </c>
      <c r="AK32">
        <f t="shared" si="5"/>
        <v>0</v>
      </c>
    </row>
    <row r="33" spans="2:37" x14ac:dyDescent="0.2">
      <c r="B33">
        <v>5</v>
      </c>
      <c r="C33" t="s">
        <v>26</v>
      </c>
      <c r="E33" s="21">
        <v>4.8160409621723925</v>
      </c>
      <c r="G33">
        <f t="shared" si="9"/>
        <v>0.96320819243447853</v>
      </c>
      <c r="H33" t="s">
        <v>60</v>
      </c>
      <c r="I33">
        <v>26</v>
      </c>
      <c r="J33" s="25">
        <f t="shared" si="8"/>
        <v>4.4158359581088762</v>
      </c>
      <c r="R33" s="5" t="s">
        <v>65</v>
      </c>
      <c r="S33" s="5">
        <v>2.0365000000000002</v>
      </c>
      <c r="T33" s="6">
        <v>11</v>
      </c>
      <c r="U33" s="6" t="s">
        <v>60</v>
      </c>
      <c r="V33" s="22">
        <v>32</v>
      </c>
      <c r="W33">
        <f t="shared" si="0"/>
        <v>22.401500000000002</v>
      </c>
      <c r="X33" s="8">
        <f t="shared" si="1"/>
        <v>2.8813704732552771E-2</v>
      </c>
      <c r="Y33">
        <f t="shared" si="2"/>
        <v>0.82092822958017619</v>
      </c>
      <c r="Z33">
        <f t="shared" si="3"/>
        <v>7.4629839052743285E-2</v>
      </c>
      <c r="AF33">
        <v>30</v>
      </c>
      <c r="AG33">
        <v>0</v>
      </c>
      <c r="AH33">
        <f t="shared" si="4"/>
        <v>0</v>
      </c>
      <c r="AI33" s="9">
        <f t="shared" si="6"/>
        <v>0</v>
      </c>
      <c r="AJ33">
        <f t="shared" si="7"/>
        <v>0</v>
      </c>
      <c r="AK33">
        <f t="shared" si="5"/>
        <v>0</v>
      </c>
    </row>
    <row r="34" spans="2:37" x14ac:dyDescent="0.2">
      <c r="B34">
        <v>5</v>
      </c>
      <c r="C34" t="s">
        <v>27</v>
      </c>
      <c r="E34" s="21">
        <v>6.9921667287731817E-2</v>
      </c>
      <c r="G34">
        <f t="shared" si="9"/>
        <v>1.3984333457546363E-2</v>
      </c>
      <c r="H34" t="s">
        <v>60</v>
      </c>
      <c r="I34">
        <v>27</v>
      </c>
      <c r="J34" s="25">
        <f t="shared" si="8"/>
        <v>6.411129288252905E-2</v>
      </c>
      <c r="R34" s="5" t="s">
        <v>82</v>
      </c>
      <c r="S34" s="5">
        <v>3.1631000000000009</v>
      </c>
      <c r="T34" s="6">
        <v>11</v>
      </c>
      <c r="U34" s="6" t="s">
        <v>57</v>
      </c>
      <c r="V34" s="22">
        <v>33</v>
      </c>
      <c r="W34">
        <f t="shared" si="0"/>
        <v>34.794100000000007</v>
      </c>
      <c r="X34" s="8">
        <f t="shared" si="1"/>
        <v>4.4753562209446443E-2</v>
      </c>
      <c r="Y34">
        <f t="shared" si="2"/>
        <v>1.275069031664648</v>
      </c>
      <c r="Z34">
        <f t="shared" si="3"/>
        <v>0.115915366514968</v>
      </c>
      <c r="AF34">
        <v>31</v>
      </c>
      <c r="AG34">
        <v>0</v>
      </c>
      <c r="AH34">
        <f t="shared" si="4"/>
        <v>0</v>
      </c>
      <c r="AI34" s="9">
        <f t="shared" si="6"/>
        <v>0</v>
      </c>
      <c r="AJ34">
        <f t="shared" si="7"/>
        <v>0</v>
      </c>
      <c r="AK34">
        <f t="shared" si="5"/>
        <v>0</v>
      </c>
    </row>
    <row r="35" spans="2:37" x14ac:dyDescent="0.2">
      <c r="B35">
        <v>5</v>
      </c>
      <c r="C35" t="s">
        <v>28</v>
      </c>
      <c r="E35" s="21">
        <v>0</v>
      </c>
      <c r="G35">
        <f t="shared" si="9"/>
        <v>0</v>
      </c>
      <c r="H35" t="s">
        <v>76</v>
      </c>
      <c r="I35">
        <v>28</v>
      </c>
      <c r="J35" s="25">
        <f t="shared" si="8"/>
        <v>0</v>
      </c>
      <c r="R35" s="5" t="s">
        <v>89</v>
      </c>
      <c r="S35" s="5">
        <v>1.2678999999999996</v>
      </c>
      <c r="T35" s="6">
        <v>11</v>
      </c>
      <c r="U35" s="6" t="s">
        <v>67</v>
      </c>
      <c r="V35" s="22">
        <v>34</v>
      </c>
      <c r="W35">
        <f t="shared" si="0"/>
        <v>13.946899999999996</v>
      </c>
      <c r="X35" s="8">
        <f t="shared" si="1"/>
        <v>1.7939060265359019E-2</v>
      </c>
      <c r="Y35">
        <f t="shared" si="2"/>
        <v>0.51109987836224158</v>
      </c>
      <c r="Z35">
        <f t="shared" si="3"/>
        <v>4.6463625305658326E-2</v>
      </c>
      <c r="AF35">
        <v>32</v>
      </c>
      <c r="AG35">
        <v>0</v>
      </c>
      <c r="AH35">
        <f t="shared" si="4"/>
        <v>0</v>
      </c>
      <c r="AI35" s="9">
        <f t="shared" si="6"/>
        <v>0</v>
      </c>
      <c r="AJ35">
        <f t="shared" si="7"/>
        <v>0</v>
      </c>
      <c r="AK35">
        <f t="shared" si="5"/>
        <v>0</v>
      </c>
    </row>
    <row r="36" spans="2:37" x14ac:dyDescent="0.2">
      <c r="B36">
        <v>6</v>
      </c>
      <c r="C36" t="s">
        <v>29</v>
      </c>
      <c r="E36" s="21">
        <v>5.8726995020517243E-3</v>
      </c>
      <c r="G36">
        <f t="shared" si="9"/>
        <v>9.7878325034195398E-4</v>
      </c>
      <c r="H36" t="s">
        <v>60</v>
      </c>
      <c r="I36">
        <v>29</v>
      </c>
      <c r="J36" s="25">
        <f t="shared" si="8"/>
        <v>5.3846879285325763E-3</v>
      </c>
      <c r="R36" s="3" t="s">
        <v>97</v>
      </c>
      <c r="S36" s="3">
        <v>8.2199999999999995E-2</v>
      </c>
      <c r="T36" s="4">
        <v>11</v>
      </c>
      <c r="U36" s="4" t="s">
        <v>76</v>
      </c>
      <c r="V36" s="22">
        <v>35</v>
      </c>
      <c r="W36">
        <f t="shared" si="0"/>
        <v>0.90419999999999989</v>
      </c>
      <c r="X36" s="8">
        <f t="shared" si="1"/>
        <v>1.1630181826741159E-3</v>
      </c>
      <c r="Y36">
        <f t="shared" si="2"/>
        <v>3.3135428662651831E-2</v>
      </c>
      <c r="Z36">
        <f t="shared" si="3"/>
        <v>3.012311696604712E-3</v>
      </c>
      <c r="AF36">
        <v>33</v>
      </c>
      <c r="AG36">
        <v>0</v>
      </c>
      <c r="AH36">
        <f t="shared" si="4"/>
        <v>0</v>
      </c>
      <c r="AI36" s="9">
        <f t="shared" si="6"/>
        <v>0</v>
      </c>
      <c r="AJ36">
        <f t="shared" si="7"/>
        <v>0</v>
      </c>
      <c r="AK36">
        <f t="shared" si="5"/>
        <v>0</v>
      </c>
    </row>
    <row r="37" spans="2:37" x14ac:dyDescent="0.2">
      <c r="B37">
        <v>6</v>
      </c>
      <c r="C37" t="s">
        <v>30</v>
      </c>
      <c r="E37" s="21">
        <v>0.34811267774596216</v>
      </c>
      <c r="G37">
        <f t="shared" si="9"/>
        <v>5.8018779624327027E-2</v>
      </c>
      <c r="H37" t="s">
        <v>57</v>
      </c>
      <c r="I37">
        <v>30</v>
      </c>
      <c r="J37" s="25">
        <f t="shared" si="8"/>
        <v>0.31918509247288296</v>
      </c>
      <c r="R37" s="5" t="s">
        <v>71</v>
      </c>
      <c r="S37" s="5">
        <v>2.2295999999999996</v>
      </c>
      <c r="T37" s="6">
        <v>12</v>
      </c>
      <c r="U37" s="6" t="s">
        <v>57</v>
      </c>
      <c r="V37" s="22">
        <v>36</v>
      </c>
      <c r="W37">
        <f t="shared" si="0"/>
        <v>26.755199999999995</v>
      </c>
      <c r="X37" s="8">
        <f t="shared" si="1"/>
        <v>3.4413607698609273E-2</v>
      </c>
      <c r="Y37">
        <f t="shared" si="2"/>
        <v>0.98047447572990742</v>
      </c>
      <c r="Z37">
        <f t="shared" si="3"/>
        <v>8.1706206310825619E-2</v>
      </c>
      <c r="AF37">
        <v>34</v>
      </c>
      <c r="AG37">
        <v>0</v>
      </c>
      <c r="AH37">
        <f t="shared" si="4"/>
        <v>0</v>
      </c>
      <c r="AI37" s="9">
        <f t="shared" si="6"/>
        <v>0</v>
      </c>
      <c r="AJ37">
        <f t="shared" si="7"/>
        <v>0</v>
      </c>
      <c r="AK37">
        <f t="shared" si="5"/>
        <v>0</v>
      </c>
    </row>
    <row r="38" spans="2:37" x14ac:dyDescent="0.2">
      <c r="B38">
        <v>6</v>
      </c>
      <c r="C38" t="s">
        <v>31</v>
      </c>
      <c r="E38" s="21">
        <v>0.52082018557059695</v>
      </c>
      <c r="G38">
        <f t="shared" si="9"/>
        <v>8.6803364261766158E-2</v>
      </c>
      <c r="H38" t="s">
        <v>60</v>
      </c>
      <c r="I38">
        <v>31</v>
      </c>
      <c r="J38" s="25">
        <f t="shared" si="8"/>
        <v>0.4775408932805616</v>
      </c>
      <c r="R38" s="5" t="s">
        <v>92</v>
      </c>
      <c r="S38" s="5">
        <v>0.219</v>
      </c>
      <c r="T38" s="6">
        <v>12</v>
      </c>
      <c r="U38" s="6" t="s">
        <v>60</v>
      </c>
      <c r="V38" s="22">
        <v>37</v>
      </c>
      <c r="W38">
        <f t="shared" si="0"/>
        <v>2.6280000000000001</v>
      </c>
      <c r="X38" s="8">
        <f t="shared" si="1"/>
        <v>3.3802386463919237E-3</v>
      </c>
      <c r="Y38">
        <f t="shared" si="2"/>
        <v>9.6306023584880607E-2</v>
      </c>
      <c r="Z38">
        <f t="shared" si="3"/>
        <v>8.0255019654067172E-3</v>
      </c>
      <c r="AF38">
        <v>35</v>
      </c>
      <c r="AG38">
        <v>0</v>
      </c>
      <c r="AH38">
        <f t="shared" si="4"/>
        <v>0</v>
      </c>
      <c r="AI38" s="9">
        <f t="shared" si="6"/>
        <v>0</v>
      </c>
      <c r="AJ38">
        <f t="shared" si="7"/>
        <v>0</v>
      </c>
      <c r="AK38">
        <f t="shared" si="5"/>
        <v>0</v>
      </c>
    </row>
    <row r="39" spans="2:37" x14ac:dyDescent="0.2">
      <c r="B39">
        <v>6</v>
      </c>
      <c r="C39" t="s">
        <v>32</v>
      </c>
      <c r="E39" s="21">
        <v>2.2498973529470168</v>
      </c>
      <c r="G39">
        <f t="shared" si="9"/>
        <v>0.37498289215783615</v>
      </c>
      <c r="H39" t="s">
        <v>60</v>
      </c>
      <c r="I39">
        <v>32</v>
      </c>
      <c r="J39" s="25">
        <f t="shared" si="8"/>
        <v>2.0629346202063674</v>
      </c>
      <c r="R39" s="3" t="s">
        <v>93</v>
      </c>
      <c r="S39" s="3">
        <v>0.2006</v>
      </c>
      <c r="T39" s="4">
        <v>12</v>
      </c>
      <c r="U39" s="4" t="s">
        <v>73</v>
      </c>
      <c r="V39" s="22">
        <v>38</v>
      </c>
      <c r="W39">
        <f t="shared" si="0"/>
        <v>2.4072</v>
      </c>
      <c r="X39" s="8">
        <f t="shared" si="1"/>
        <v>3.0962368605763463E-3</v>
      </c>
      <c r="Y39">
        <f t="shared" si="2"/>
        <v>8.8214558589621225E-2</v>
      </c>
      <c r="Z39">
        <f t="shared" si="3"/>
        <v>7.3512132158017685E-3</v>
      </c>
      <c r="AF39">
        <v>36</v>
      </c>
      <c r="AG39">
        <v>0</v>
      </c>
      <c r="AH39">
        <f t="shared" si="4"/>
        <v>0</v>
      </c>
      <c r="AI39" s="9">
        <f t="shared" si="6"/>
        <v>0</v>
      </c>
      <c r="AJ39">
        <f t="shared" si="7"/>
        <v>0</v>
      </c>
      <c r="AK39">
        <f t="shared" si="5"/>
        <v>0</v>
      </c>
    </row>
    <row r="40" spans="2:37" x14ac:dyDescent="0.2">
      <c r="B40">
        <v>6</v>
      </c>
      <c r="C40" t="s">
        <v>33</v>
      </c>
      <c r="E40" s="21">
        <v>0.20987457407502319</v>
      </c>
      <c r="G40">
        <f t="shared" si="9"/>
        <v>3.4979095679170534E-2</v>
      </c>
      <c r="H40" t="s">
        <v>60</v>
      </c>
      <c r="I40">
        <v>33</v>
      </c>
      <c r="J40" s="25">
        <f t="shared" si="8"/>
        <v>0.19243434559062167</v>
      </c>
      <c r="R40" s="5" t="s">
        <v>94</v>
      </c>
      <c r="S40" s="5">
        <v>0.77190000000000003</v>
      </c>
      <c r="T40" s="6">
        <v>12</v>
      </c>
      <c r="U40" s="6" t="s">
        <v>67</v>
      </c>
      <c r="V40" s="22">
        <v>39</v>
      </c>
      <c r="W40">
        <f t="shared" si="0"/>
        <v>9.2628000000000004</v>
      </c>
      <c r="X40" s="8">
        <f t="shared" si="1"/>
        <v>1.191418361255674E-2</v>
      </c>
      <c r="Y40">
        <f t="shared" si="2"/>
        <v>0.33944575162177781</v>
      </c>
      <c r="Z40">
        <f t="shared" si="3"/>
        <v>2.8287145968481486E-2</v>
      </c>
      <c r="AF40">
        <v>37</v>
      </c>
      <c r="AG40">
        <v>0</v>
      </c>
      <c r="AH40">
        <f t="shared" si="4"/>
        <v>0</v>
      </c>
      <c r="AI40" s="9">
        <f t="shared" si="6"/>
        <v>0</v>
      </c>
      <c r="AJ40">
        <f t="shared" si="7"/>
        <v>0</v>
      </c>
      <c r="AK40">
        <f t="shared" si="5"/>
        <v>0</v>
      </c>
    </row>
    <row r="41" spans="2:37" x14ac:dyDescent="0.2">
      <c r="B41">
        <v>6</v>
      </c>
      <c r="C41" t="s">
        <v>34</v>
      </c>
      <c r="E41" s="21">
        <v>8.5670039452547843E-3</v>
      </c>
      <c r="G41">
        <f t="shared" si="9"/>
        <v>1.4278339908757973E-3</v>
      </c>
      <c r="H41" t="s">
        <v>76</v>
      </c>
      <c r="I41">
        <v>34</v>
      </c>
      <c r="J41" s="25">
        <f t="shared" si="8"/>
        <v>7.8551001479963169E-3</v>
      </c>
      <c r="R41" s="3" t="s">
        <v>95</v>
      </c>
      <c r="S41" s="3">
        <v>0.80540000000000012</v>
      </c>
      <c r="T41" s="4">
        <v>13</v>
      </c>
      <c r="U41" s="4" t="s">
        <v>57</v>
      </c>
      <c r="V41" s="22">
        <v>40</v>
      </c>
      <c r="W41">
        <f t="shared" si="0"/>
        <v>10.470200000000002</v>
      </c>
      <c r="X41" s="8">
        <f t="shared" si="1"/>
        <v>1.3467189754738479E-2</v>
      </c>
      <c r="Y41">
        <f t="shared" si="2"/>
        <v>0.38369228620183293</v>
      </c>
      <c r="Z41">
        <f t="shared" si="3"/>
        <v>2.9514791246294841E-2</v>
      </c>
      <c r="AF41">
        <v>38</v>
      </c>
      <c r="AG41">
        <v>0</v>
      </c>
      <c r="AH41">
        <f t="shared" si="4"/>
        <v>0</v>
      </c>
      <c r="AI41" s="9">
        <f t="shared" si="6"/>
        <v>0</v>
      </c>
      <c r="AJ41">
        <f t="shared" si="7"/>
        <v>0</v>
      </c>
      <c r="AK41">
        <f t="shared" si="5"/>
        <v>0</v>
      </c>
    </row>
    <row r="42" spans="2:37" x14ac:dyDescent="0.2">
      <c r="B42">
        <v>6</v>
      </c>
      <c r="C42" t="s">
        <v>35</v>
      </c>
      <c r="E42" s="21">
        <v>1.8437523068109491E-2</v>
      </c>
      <c r="G42">
        <f t="shared" si="9"/>
        <v>3.072920511351582E-3</v>
      </c>
      <c r="H42" t="s">
        <v>60</v>
      </c>
      <c r="I42">
        <v>35</v>
      </c>
      <c r="J42" s="25">
        <f t="shared" si="8"/>
        <v>1.6905395527594229E-2</v>
      </c>
      <c r="R42" s="5" t="s">
        <v>100</v>
      </c>
      <c r="S42" s="5">
        <v>6.9599999999999995E-2</v>
      </c>
      <c r="T42" s="6">
        <v>13</v>
      </c>
      <c r="U42" s="6" t="s">
        <v>60</v>
      </c>
      <c r="V42" s="22">
        <v>41</v>
      </c>
      <c r="W42">
        <f t="shared" si="0"/>
        <v>0.90479999999999994</v>
      </c>
      <c r="X42" s="8">
        <f t="shared" si="1"/>
        <v>1.1637899266573105E-3</v>
      </c>
      <c r="Y42">
        <f t="shared" si="2"/>
        <v>3.3157416339269385E-2</v>
      </c>
      <c r="Z42">
        <f t="shared" si="3"/>
        <v>2.5505704876361067E-3</v>
      </c>
      <c r="AF42">
        <v>39</v>
      </c>
      <c r="AG42">
        <v>0</v>
      </c>
      <c r="AH42">
        <f t="shared" si="4"/>
        <v>0</v>
      </c>
      <c r="AI42" s="9">
        <f t="shared" si="6"/>
        <v>0</v>
      </c>
      <c r="AJ42">
        <f t="shared" si="7"/>
        <v>0</v>
      </c>
      <c r="AK42">
        <f t="shared" si="5"/>
        <v>0</v>
      </c>
    </row>
    <row r="43" spans="2:37" x14ac:dyDescent="0.2">
      <c r="B43">
        <v>7</v>
      </c>
      <c r="C43" t="s">
        <v>36</v>
      </c>
      <c r="E43" s="21">
        <v>3.8056529052505127E-3</v>
      </c>
      <c r="G43">
        <f t="shared" si="9"/>
        <v>5.4366470075007322E-4</v>
      </c>
      <c r="H43" t="s">
        <v>57</v>
      </c>
      <c r="I43">
        <v>36</v>
      </c>
      <c r="J43" s="25">
        <f t="shared" si="8"/>
        <v>3.4894094703684492E-3</v>
      </c>
      <c r="R43" s="3" t="s">
        <v>103</v>
      </c>
      <c r="S43" s="3">
        <v>0.18319999999999995</v>
      </c>
      <c r="T43" s="4">
        <v>14</v>
      </c>
      <c r="U43" s="4" t="s">
        <v>57</v>
      </c>
      <c r="V43" s="22">
        <v>42</v>
      </c>
      <c r="W43">
        <f t="shared" si="0"/>
        <v>2.5647999999999991</v>
      </c>
      <c r="X43" s="8">
        <f t="shared" si="1"/>
        <v>3.2989482801621013E-3</v>
      </c>
      <c r="Y43">
        <f t="shared" si="2"/>
        <v>9.3989988314498354E-2</v>
      </c>
      <c r="Z43">
        <f t="shared" si="3"/>
        <v>6.71357059389274E-3</v>
      </c>
      <c r="AF43">
        <v>40</v>
      </c>
      <c r="AG43">
        <v>0</v>
      </c>
      <c r="AH43">
        <f t="shared" si="4"/>
        <v>0</v>
      </c>
      <c r="AI43" s="9">
        <f t="shared" si="6"/>
        <v>0</v>
      </c>
      <c r="AJ43">
        <f t="shared" si="7"/>
        <v>0</v>
      </c>
      <c r="AK43">
        <f t="shared" si="5"/>
        <v>0</v>
      </c>
    </row>
    <row r="44" spans="2:37" x14ac:dyDescent="0.2">
      <c r="B44">
        <v>7</v>
      </c>
      <c r="C44" t="s">
        <v>37</v>
      </c>
      <c r="E44" s="21">
        <v>5.1763126780998475E-4</v>
      </c>
      <c r="G44">
        <f t="shared" si="9"/>
        <v>7.3947323972854961E-5</v>
      </c>
      <c r="H44" t="s">
        <v>60</v>
      </c>
      <c r="I44">
        <v>37</v>
      </c>
      <c r="J44" s="25">
        <f t="shared" si="8"/>
        <v>4.7461696928876657E-4</v>
      </c>
      <c r="R44" s="5" t="s">
        <v>99</v>
      </c>
      <c r="S44" s="5">
        <v>0.14449999999999999</v>
      </c>
      <c r="T44" s="6">
        <v>15</v>
      </c>
      <c r="U44" s="6" t="s">
        <v>57</v>
      </c>
      <c r="V44" s="22">
        <v>43</v>
      </c>
      <c r="W44">
        <f t="shared" si="0"/>
        <v>2.1675</v>
      </c>
      <c r="X44" s="8">
        <f t="shared" si="1"/>
        <v>2.7879251392901425E-3</v>
      </c>
      <c r="Y44">
        <f t="shared" si="2"/>
        <v>7.9430481780908946E-2</v>
      </c>
      <c r="Z44">
        <f t="shared" si="3"/>
        <v>5.2953654520605962E-3</v>
      </c>
      <c r="AF44">
        <v>48</v>
      </c>
      <c r="AH44">
        <f t="shared" si="4"/>
        <v>0</v>
      </c>
      <c r="AI44" s="9">
        <f t="shared" si="6"/>
        <v>0</v>
      </c>
      <c r="AJ44">
        <f t="shared" si="7"/>
        <v>0</v>
      </c>
      <c r="AK44">
        <f t="shared" si="5"/>
        <v>0</v>
      </c>
    </row>
    <row r="45" spans="2:37" x14ac:dyDescent="0.2">
      <c r="B45">
        <v>7</v>
      </c>
      <c r="C45" t="s">
        <v>38</v>
      </c>
      <c r="E45" s="21">
        <v>3.4055297209443125E-3</v>
      </c>
      <c r="G45">
        <f t="shared" si="9"/>
        <v>4.8650424584918749E-4</v>
      </c>
      <c r="H45" t="s">
        <v>60</v>
      </c>
      <c r="I45">
        <v>38</v>
      </c>
      <c r="J45" s="25">
        <f t="shared" si="8"/>
        <v>3.1225358580361843E-3</v>
      </c>
      <c r="R45" s="5" t="s">
        <v>101</v>
      </c>
      <c r="S45" s="5">
        <v>0.36849999999999994</v>
      </c>
      <c r="T45" s="6">
        <v>16</v>
      </c>
      <c r="U45" s="6" t="s">
        <v>57</v>
      </c>
      <c r="V45" s="22">
        <v>44</v>
      </c>
      <c r="W45">
        <f t="shared" si="0"/>
        <v>5.895999999999999</v>
      </c>
      <c r="X45" s="8">
        <f t="shared" si="1"/>
        <v>7.5836708748579819E-3</v>
      </c>
      <c r="Y45">
        <f t="shared" si="2"/>
        <v>0.21606556889515063</v>
      </c>
      <c r="Z45">
        <f t="shared" si="3"/>
        <v>1.3504098055946915E-2</v>
      </c>
      <c r="AF45">
        <v>49</v>
      </c>
      <c r="AH45">
        <f t="shared" si="4"/>
        <v>0</v>
      </c>
      <c r="AI45" s="9">
        <f t="shared" si="6"/>
        <v>0</v>
      </c>
      <c r="AJ45">
        <f t="shared" si="7"/>
        <v>0</v>
      </c>
      <c r="AK45">
        <f t="shared" si="5"/>
        <v>0</v>
      </c>
    </row>
    <row r="46" spans="2:37" x14ac:dyDescent="0.2">
      <c r="B46">
        <v>7</v>
      </c>
      <c r="C46" t="s">
        <v>39</v>
      </c>
      <c r="E46" s="21">
        <v>9.8472887271422297E-5</v>
      </c>
      <c r="G46">
        <f t="shared" si="9"/>
        <v>1.4067555324488899E-5</v>
      </c>
      <c r="H46" t="s">
        <v>76</v>
      </c>
      <c r="I46">
        <v>39</v>
      </c>
      <c r="J46" s="25">
        <f t="shared" si="8"/>
        <v>9.0289953911812905E-5</v>
      </c>
      <c r="R46" s="5" t="s">
        <v>102</v>
      </c>
      <c r="S46" s="5">
        <v>0.13650000000000001</v>
      </c>
      <c r="T46" s="6">
        <v>17</v>
      </c>
      <c r="U46" s="6" t="s">
        <v>57</v>
      </c>
      <c r="V46" s="22">
        <v>45</v>
      </c>
      <c r="W46">
        <f t="shared" ref="W46" si="10">S46*T46</f>
        <v>2.3205</v>
      </c>
      <c r="X46" s="8">
        <f t="shared" si="1"/>
        <v>2.9847198550047404E-3</v>
      </c>
      <c r="Y46">
        <f t="shared" si="2"/>
        <v>8.5037339318384864E-2</v>
      </c>
      <c r="Z46">
        <f t="shared" si="3"/>
        <v>5.0021964304932274E-3</v>
      </c>
      <c r="AF46">
        <v>50</v>
      </c>
      <c r="AH46">
        <f t="shared" si="4"/>
        <v>0</v>
      </c>
      <c r="AI46" s="9">
        <f t="shared" si="6"/>
        <v>0</v>
      </c>
      <c r="AJ46">
        <f t="shared" si="7"/>
        <v>0</v>
      </c>
      <c r="AK46">
        <f t="shared" si="5"/>
        <v>0</v>
      </c>
    </row>
    <row r="47" spans="2:37" x14ac:dyDescent="0.2">
      <c r="B47">
        <v>7</v>
      </c>
      <c r="C47" t="s">
        <v>40</v>
      </c>
      <c r="E47" s="21">
        <v>6.7474781629231637E-2</v>
      </c>
      <c r="G47">
        <f t="shared" si="9"/>
        <v>9.6392545184616624E-3</v>
      </c>
      <c r="H47" t="s">
        <v>60</v>
      </c>
      <c r="I47">
        <v>40</v>
      </c>
      <c r="J47" s="25">
        <f t="shared" si="8"/>
        <v>6.1867739357745054E-2</v>
      </c>
      <c r="AF47">
        <v>51</v>
      </c>
      <c r="AH47">
        <f t="shared" si="4"/>
        <v>0</v>
      </c>
      <c r="AI47" s="9">
        <f t="shared" si="6"/>
        <v>0</v>
      </c>
      <c r="AJ47">
        <f t="shared" si="7"/>
        <v>0</v>
      </c>
      <c r="AK47">
        <f t="shared" si="5"/>
        <v>0</v>
      </c>
    </row>
    <row r="48" spans="2:37" x14ac:dyDescent="0.2">
      <c r="B48">
        <v>1</v>
      </c>
      <c r="I48">
        <v>41</v>
      </c>
      <c r="W48">
        <f>SUM(W2:W46)</f>
        <v>777.45989999999995</v>
      </c>
      <c r="AF48">
        <v>52</v>
      </c>
      <c r="AH48">
        <f t="shared" si="4"/>
        <v>0</v>
      </c>
      <c r="AI48" s="9">
        <f t="shared" si="6"/>
        <v>0</v>
      </c>
      <c r="AJ48">
        <f t="shared" si="7"/>
        <v>0</v>
      </c>
      <c r="AK48">
        <f t="shared" si="5"/>
        <v>0</v>
      </c>
    </row>
    <row r="49" spans="2:37" x14ac:dyDescent="0.2">
      <c r="B49">
        <v>1</v>
      </c>
      <c r="I49">
        <v>42</v>
      </c>
      <c r="AF49">
        <v>53</v>
      </c>
      <c r="AH49">
        <f t="shared" si="4"/>
        <v>0</v>
      </c>
      <c r="AI49" s="9">
        <f t="shared" si="6"/>
        <v>0</v>
      </c>
      <c r="AJ49">
        <f t="shared" si="7"/>
        <v>0</v>
      </c>
      <c r="AK49">
        <f t="shared" si="5"/>
        <v>0</v>
      </c>
    </row>
    <row r="50" spans="2:37" x14ac:dyDescent="0.2">
      <c r="AF50">
        <v>54</v>
      </c>
      <c r="AH50">
        <f t="shared" si="4"/>
        <v>0</v>
      </c>
      <c r="AI50" s="9">
        <f t="shared" si="6"/>
        <v>0</v>
      </c>
      <c r="AJ50">
        <f t="shared" si="7"/>
        <v>0</v>
      </c>
      <c r="AK50">
        <f t="shared" si="5"/>
        <v>0</v>
      </c>
    </row>
    <row r="51" spans="2:37" x14ac:dyDescent="0.2">
      <c r="AF51">
        <v>55</v>
      </c>
      <c r="AH51">
        <f t="shared" si="4"/>
        <v>0</v>
      </c>
      <c r="AI51" s="9">
        <f t="shared" si="6"/>
        <v>0</v>
      </c>
      <c r="AJ51">
        <f t="shared" si="7"/>
        <v>0</v>
      </c>
      <c r="AK51">
        <f t="shared" si="5"/>
        <v>0</v>
      </c>
    </row>
    <row r="54" spans="2:37" x14ac:dyDescent="0.2">
      <c r="E54">
        <f>+SUM(E8:E49)</f>
        <v>53.704673151823151</v>
      </c>
      <c r="G54">
        <f>SUM(G4:G51)</f>
        <v>26.793424426315987</v>
      </c>
      <c r="K54">
        <f>+D5-E5</f>
        <v>45.152792124940191</v>
      </c>
      <c r="Y54">
        <f>+SUM(Y1:Y49)</f>
        <v>28.490894773858031</v>
      </c>
      <c r="Z54">
        <f>+SUM(Z1:Z49)</f>
        <v>3.6646017757537992</v>
      </c>
      <c r="AH54">
        <f>SUM(AH4:AH51)</f>
        <v>1472.6999999999998</v>
      </c>
      <c r="AJ54">
        <f>SUM(AJ4:AJ51)</f>
        <v>16.661897351082164</v>
      </c>
      <c r="AK54">
        <f>SUM(AK4:AK51)</f>
        <v>1.1313843519441951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6D9E-8236-7141-ADF7-47682DA4F234}">
  <dimension ref="A2:AI127"/>
  <sheetViews>
    <sheetView topLeftCell="A48" zoomScale="85" workbookViewId="0">
      <selection activeCell="X6" sqref="X6:X73"/>
    </sheetView>
  </sheetViews>
  <sheetFormatPr baseColWidth="10" defaultRowHeight="16" x14ac:dyDescent="0.2"/>
  <cols>
    <col min="3" max="3" width="15.5" bestFit="1" customWidth="1"/>
    <col min="4" max="4" width="26.33203125" bestFit="1" customWidth="1"/>
    <col min="14" max="14" width="17.5" bestFit="1" customWidth="1"/>
    <col min="15" max="15" width="10.33203125" bestFit="1" customWidth="1"/>
    <col min="16" max="16" width="12.83203125" bestFit="1" customWidth="1"/>
    <col min="17" max="17" width="13" bestFit="1" customWidth="1"/>
    <col min="18" max="19" width="11.83203125" customWidth="1"/>
    <col min="20" max="20" width="32.1640625" bestFit="1" customWidth="1"/>
    <col min="21" max="22" width="11.83203125" customWidth="1"/>
    <col min="23" max="23" width="13.6640625" bestFit="1" customWidth="1"/>
    <col min="25" max="26" width="11.83203125" customWidth="1"/>
    <col min="28" max="28" width="13.33203125" customWidth="1"/>
    <col min="34" max="34" width="18.33203125" bestFit="1" customWidth="1"/>
    <col min="35" max="35" width="15.83203125" bestFit="1" customWidth="1"/>
  </cols>
  <sheetData>
    <row r="2" spans="2:35" x14ac:dyDescent="0.2">
      <c r="Y2" t="s">
        <v>359</v>
      </c>
      <c r="Z2" t="s">
        <v>360</v>
      </c>
      <c r="AA2" t="s">
        <v>363</v>
      </c>
      <c r="AB2" t="s">
        <v>362</v>
      </c>
    </row>
    <row r="3" spans="2:35" x14ac:dyDescent="0.2">
      <c r="B3" t="s">
        <v>335</v>
      </c>
      <c r="C3" t="s">
        <v>108</v>
      </c>
      <c r="D3" t="s">
        <v>336</v>
      </c>
      <c r="E3" t="s">
        <v>111</v>
      </c>
      <c r="F3" t="s">
        <v>342</v>
      </c>
      <c r="G3" t="s">
        <v>343</v>
      </c>
      <c r="Y3" s="21">
        <f>'10% CO'!D6-'10% CO'!E6</f>
        <v>75.679641094689998</v>
      </c>
      <c r="Z3" s="21">
        <f>+'10% CO'!D7-'10% CO'!E7</f>
        <v>23.177824182073323</v>
      </c>
      <c r="AA3" s="21">
        <f>+'10% CO'!D6</f>
        <v>84.481827236355642</v>
      </c>
      <c r="AB3" s="21">
        <f>+'10% CO'!D7</f>
        <v>129.14605337026831</v>
      </c>
    </row>
    <row r="4" spans="2:35" x14ac:dyDescent="0.2">
      <c r="B4">
        <f>'5% CO'!B8</f>
        <v>8</v>
      </c>
      <c r="C4" t="str">
        <f>'5% CO'!H8</f>
        <v>Olefin</v>
      </c>
      <c r="D4" t="str">
        <f>'5% CO'!C8</f>
        <v>Ottene</v>
      </c>
      <c r="E4">
        <f>+'10% CO'!G8</f>
        <v>0</v>
      </c>
      <c r="F4" t="s">
        <v>375</v>
      </c>
      <c r="G4">
        <f>VLOOKUP(Tabella10[[#This Row],[Name]],'10% CO'!$C$8:$I$47,7,FALSE)</f>
        <v>1</v>
      </c>
      <c r="Y4">
        <f>Y3/(Y3+Z3)</f>
        <v>0.76554300560727284</v>
      </c>
      <c r="Z4">
        <f>1-Y4</f>
        <v>0.23445699439272716</v>
      </c>
    </row>
    <row r="5" spans="2:35" x14ac:dyDescent="0.2">
      <c r="B5">
        <f>'5% CO'!B9</f>
        <v>7</v>
      </c>
      <c r="C5" t="str">
        <f>'5% CO'!H9</f>
        <v>Aromatic</v>
      </c>
      <c r="D5" t="str">
        <f>'5% CO'!C9</f>
        <v>Toluene</v>
      </c>
      <c r="E5">
        <f>+'10% CO'!G9</f>
        <v>0</v>
      </c>
      <c r="F5" t="s">
        <v>375</v>
      </c>
      <c r="G5">
        <f>VLOOKUP(Tabella10[[#This Row],[Name]],'10% CO'!$C$8:$I$47,7,FALSE)</f>
        <v>2</v>
      </c>
      <c r="R5" t="s">
        <v>342</v>
      </c>
      <c r="S5" t="s">
        <v>343</v>
      </c>
      <c r="T5" t="s">
        <v>344</v>
      </c>
      <c r="U5" t="s">
        <v>345</v>
      </c>
      <c r="V5" t="s">
        <v>377</v>
      </c>
      <c r="W5" t="s">
        <v>55</v>
      </c>
      <c r="X5" t="s">
        <v>46</v>
      </c>
      <c r="Y5" t="s">
        <v>378</v>
      </c>
      <c r="Z5" t="s">
        <v>379</v>
      </c>
      <c r="AA5" t="s">
        <v>364</v>
      </c>
      <c r="AB5" t="s">
        <v>361</v>
      </c>
    </row>
    <row r="6" spans="2:35" x14ac:dyDescent="0.2">
      <c r="B6">
        <f>'5% CO'!B10</f>
        <v>9</v>
      </c>
      <c r="C6" t="str">
        <f>'5% CO'!H10</f>
        <v>Aromatic</v>
      </c>
      <c r="D6" t="str">
        <f>'5% CO'!C10</f>
        <v>Nonene</v>
      </c>
      <c r="E6">
        <f>+'10% CO'!G10</f>
        <v>2.8672960281101378E-4</v>
      </c>
      <c r="F6" t="s">
        <v>375</v>
      </c>
      <c r="G6">
        <f>VLOOKUP(Tabella10[[#This Row],[Name]],'10% CO'!$C$8:$I$47,7,FALSE)</f>
        <v>3</v>
      </c>
      <c r="R6">
        <v>1</v>
      </c>
      <c r="S6" s="12">
        <v>1</v>
      </c>
      <c r="T6" s="10" t="s">
        <v>113</v>
      </c>
      <c r="U6" s="10" t="s">
        <v>114</v>
      </c>
      <c r="V6" s="10" t="s">
        <v>114</v>
      </c>
      <c r="W6">
        <f>GETPIVOTDATA("mol",$N$17,"Cn",1,"Class","paraffin")</f>
        <v>12.764487853091264</v>
      </c>
      <c r="X6">
        <f>+W6*S6</f>
        <v>12.764487853091264</v>
      </c>
      <c r="Y6">
        <f>X6*$Y$4</f>
        <v>9.7717643960930118</v>
      </c>
      <c r="Z6">
        <f>+X6*$Z$4</f>
        <v>2.9927234569982524</v>
      </c>
      <c r="AA6">
        <f>+Y6/$AA$3</f>
        <v>0.11566705782480829</v>
      </c>
      <c r="AB6">
        <f>+Z6/$AB$3</f>
        <v>2.3173170057453958E-2</v>
      </c>
    </row>
    <row r="7" spans="2:35" x14ac:dyDescent="0.2">
      <c r="B7">
        <f>'5% CO'!B11</f>
        <v>8</v>
      </c>
      <c r="C7" t="str">
        <f>'5% CO'!H11</f>
        <v>Aromatic</v>
      </c>
      <c r="D7" t="str">
        <f>'5% CO'!C11</f>
        <v>p-Xilene</v>
      </c>
      <c r="E7">
        <f>+'10% CO'!G11</f>
        <v>0</v>
      </c>
      <c r="F7" t="s">
        <v>375</v>
      </c>
      <c r="G7">
        <f>VLOOKUP(Tabella10[[#This Row],[Name]],'10% CO'!$C$8:$I$47,7,FALSE)</f>
        <v>4</v>
      </c>
      <c r="R7">
        <v>2</v>
      </c>
      <c r="S7" s="12">
        <v>1</v>
      </c>
      <c r="T7" s="11" t="s">
        <v>115</v>
      </c>
      <c r="U7" s="11" t="s">
        <v>116</v>
      </c>
      <c r="V7" s="11" t="s">
        <v>117</v>
      </c>
      <c r="W7">
        <f>+GETPIVOTDATA("mol",$N$17,"Cn",1,"Class","oxygenated")</f>
        <v>0.91088223941800006</v>
      </c>
      <c r="X7">
        <f t="shared" ref="X7:X70" si="0">+W7*S7</f>
        <v>0.91088223941800006</v>
      </c>
      <c r="Y7">
        <f t="shared" ref="Y7:Y70" si="1">X7*$Y$4</f>
        <v>0.69731952731833924</v>
      </c>
      <c r="Z7">
        <f t="shared" ref="Z7:Z70" si="2">+X7*$Z$4</f>
        <v>0.2135627120996608</v>
      </c>
      <c r="AA7">
        <f t="shared" ref="AA7:AA70" si="3">+Y7/$AA$3</f>
        <v>8.2540772392083982E-3</v>
      </c>
      <c r="AB7">
        <f t="shared" ref="AB7:AB70" si="4">+Z7/$AB$3</f>
        <v>1.6536526399871132E-3</v>
      </c>
      <c r="AH7" s="14" t="s">
        <v>346</v>
      </c>
      <c r="AI7" t="s">
        <v>380</v>
      </c>
    </row>
    <row r="8" spans="2:35" x14ac:dyDescent="0.2">
      <c r="B8">
        <f>'5% CO'!B12</f>
        <v>8</v>
      </c>
      <c r="C8" t="str">
        <f>'5% CO'!H12</f>
        <v>Aromatic</v>
      </c>
      <c r="D8" t="str">
        <f>'5% CO'!C12</f>
        <v>m-Xilene</v>
      </c>
      <c r="E8">
        <f>+'10% CO'!G12</f>
        <v>3.3142022322409481E-2</v>
      </c>
      <c r="F8" t="s">
        <v>375</v>
      </c>
      <c r="G8">
        <f>VLOOKUP(Tabella10[[#This Row],[Name]],'10% CO'!$C$8:$I$47,7,FALSE)</f>
        <v>5</v>
      </c>
      <c r="R8">
        <v>3</v>
      </c>
      <c r="S8" s="12">
        <v>2</v>
      </c>
      <c r="T8" s="11" t="s">
        <v>118</v>
      </c>
      <c r="U8" s="11" t="s">
        <v>119</v>
      </c>
      <c r="V8" s="11" t="s">
        <v>120</v>
      </c>
      <c r="W8">
        <f>+GETPIVOTDATA("mol",$N$17,"Cn",2,"Class","paraffin")</f>
        <v>0.854520583802166</v>
      </c>
      <c r="X8">
        <f t="shared" si="0"/>
        <v>1.709041167604332</v>
      </c>
      <c r="Y8">
        <f>X8*$Y$4</f>
        <v>1.3083445121543833</v>
      </c>
      <c r="Z8">
        <f t="shared" si="2"/>
        <v>0.40069665544994876</v>
      </c>
      <c r="AA8">
        <f t="shared" si="3"/>
        <v>1.5486697612422787E-2</v>
      </c>
      <c r="AB8">
        <f t="shared" si="4"/>
        <v>3.1026627991575634E-3</v>
      </c>
      <c r="AH8" s="15">
        <v>1</v>
      </c>
      <c r="AI8">
        <v>13.675370092509265</v>
      </c>
    </row>
    <row r="9" spans="2:35" x14ac:dyDescent="0.2">
      <c r="B9">
        <f>'5% CO'!B13</f>
        <v>8</v>
      </c>
      <c r="C9" t="str">
        <f>'5% CO'!H13</f>
        <v>Aromatic</v>
      </c>
      <c r="D9" t="str">
        <f>'5% CO'!C13</f>
        <v>Etilbenzene</v>
      </c>
      <c r="E9">
        <f>+'10% CO'!G13</f>
        <v>0</v>
      </c>
      <c r="F9" t="s">
        <v>375</v>
      </c>
      <c r="G9">
        <f>VLOOKUP(Tabella10[[#This Row],[Name]],'10% CO'!$C$8:$I$47,7,FALSE)</f>
        <v>6</v>
      </c>
      <c r="R9">
        <v>4</v>
      </c>
      <c r="S9" s="12">
        <v>2</v>
      </c>
      <c r="T9" s="10" t="s">
        <v>121</v>
      </c>
      <c r="U9" s="10" t="s">
        <v>122</v>
      </c>
      <c r="V9" s="10" t="s">
        <v>123</v>
      </c>
      <c r="W9">
        <f>+GETPIVOTDATA("mol",$N$17,"Cn",2,"Class","Olefin")</f>
        <v>3.6794307430909692</v>
      </c>
      <c r="X9">
        <f t="shared" si="0"/>
        <v>7.3588614861819384</v>
      </c>
      <c r="Y9">
        <f t="shared" si="1"/>
        <v>5.6335249399793241</v>
      </c>
      <c r="Z9">
        <f t="shared" si="2"/>
        <v>1.7253365462026147</v>
      </c>
      <c r="AA9">
        <f t="shared" si="3"/>
        <v>6.6683275258930613E-2</v>
      </c>
      <c r="AB9">
        <f t="shared" si="4"/>
        <v>1.3359576240831665E-2</v>
      </c>
      <c r="AH9" s="15">
        <v>2</v>
      </c>
      <c r="AI9">
        <v>9.0679026537862697</v>
      </c>
    </row>
    <row r="10" spans="2:35" x14ac:dyDescent="0.2">
      <c r="B10">
        <f>'5% CO'!B14</f>
        <v>8</v>
      </c>
      <c r="C10" t="str">
        <f>'5% CO'!H14</f>
        <v>Aromatic</v>
      </c>
      <c r="D10" t="str">
        <f>'5% CO'!C14</f>
        <v>o-Xilene</v>
      </c>
      <c r="E10">
        <f>+'10% CO'!G14</f>
        <v>0</v>
      </c>
      <c r="F10" t="s">
        <v>375</v>
      </c>
      <c r="G10">
        <f>VLOOKUP(Tabella10[[#This Row],[Name]],'10% CO'!$C$8:$I$47,7,FALSE)</f>
        <v>7</v>
      </c>
      <c r="R10">
        <v>5</v>
      </c>
      <c r="S10" s="12">
        <v>3</v>
      </c>
      <c r="T10" s="10" t="s">
        <v>124</v>
      </c>
      <c r="U10" s="10" t="s">
        <v>125</v>
      </c>
      <c r="V10" s="10" t="s">
        <v>126</v>
      </c>
      <c r="W10">
        <f>+GETPIVOTDATA("mol",$N$17,"Cn",3,"Class","paraffin")</f>
        <v>0.39063532844270554</v>
      </c>
      <c r="X10">
        <f t="shared" si="0"/>
        <v>1.1719059853281166</v>
      </c>
      <c r="Y10">
        <f t="shared" si="1"/>
        <v>0.897144430297239</v>
      </c>
      <c r="Z10">
        <f t="shared" si="2"/>
        <v>0.27476155503087762</v>
      </c>
      <c r="AA10">
        <f t="shared" si="3"/>
        <v>1.0619377677370652E-2</v>
      </c>
      <c r="AB10">
        <f t="shared" si="4"/>
        <v>2.1275257575477146E-3</v>
      </c>
      <c r="AH10" s="15">
        <v>3</v>
      </c>
      <c r="AI10">
        <v>12.151740042685217</v>
      </c>
    </row>
    <row r="11" spans="2:35" x14ac:dyDescent="0.2">
      <c r="B11">
        <f>'5% CO'!B15</f>
        <v>9</v>
      </c>
      <c r="C11" t="str">
        <f>'5% CO'!H15</f>
        <v>Aromatic</v>
      </c>
      <c r="D11" t="str">
        <f>'5% CO'!C15</f>
        <v>Trimetilbenzene</v>
      </c>
      <c r="E11">
        <f>+'10% CO'!G15</f>
        <v>0</v>
      </c>
      <c r="F11" t="s">
        <v>375</v>
      </c>
      <c r="G11">
        <f>VLOOKUP(Tabella10[[#This Row],[Name]],'10% CO'!$C$8:$I$47,7,FALSE)</f>
        <v>8</v>
      </c>
      <c r="R11">
        <v>6</v>
      </c>
      <c r="S11" s="12">
        <v>3</v>
      </c>
      <c r="T11" s="11" t="s">
        <v>127</v>
      </c>
      <c r="U11" s="11" t="s">
        <v>128</v>
      </c>
      <c r="V11" s="11" t="s">
        <v>129</v>
      </c>
      <c r="W11">
        <f>+GETPIVOTDATA("mol",$N$17,"Cn",3,"Class","Olefin")</f>
        <v>3.6599446857857001</v>
      </c>
      <c r="X11">
        <f t="shared" si="0"/>
        <v>10.979834057357101</v>
      </c>
      <c r="Y11">
        <f t="shared" si="1"/>
        <v>8.405535165338252</v>
      </c>
      <c r="Z11">
        <f t="shared" si="2"/>
        <v>2.5742988920188483</v>
      </c>
      <c r="AA11">
        <f t="shared" si="3"/>
        <v>9.9495186601752869E-2</v>
      </c>
      <c r="AB11">
        <f t="shared" si="4"/>
        <v>1.9933237019935889E-2</v>
      </c>
      <c r="AH11" s="15">
        <v>4</v>
      </c>
      <c r="AI11">
        <v>9.8909643076389226</v>
      </c>
    </row>
    <row r="12" spans="2:35" x14ac:dyDescent="0.2">
      <c r="B12">
        <f>'5% CO'!B16</f>
        <v>10</v>
      </c>
      <c r="C12" t="str">
        <f>'5% CO'!H16</f>
        <v>Olefin</v>
      </c>
      <c r="D12" t="str">
        <f>'5% CO'!C16</f>
        <v>Decene</v>
      </c>
      <c r="E12">
        <f>+'10% CO'!G16</f>
        <v>0</v>
      </c>
      <c r="F12" t="s">
        <v>375</v>
      </c>
      <c r="G12">
        <f>VLOOKUP(Tabella10[[#This Row],[Name]],'10% CO'!$C$8:$I$47,7,FALSE)</f>
        <v>9</v>
      </c>
      <c r="R12">
        <v>7</v>
      </c>
      <c r="S12" s="12">
        <v>4</v>
      </c>
      <c r="T12" s="10" t="s">
        <v>130</v>
      </c>
      <c r="U12" s="10" t="s">
        <v>131</v>
      </c>
      <c r="V12" s="10" t="s">
        <v>132</v>
      </c>
      <c r="W12">
        <f>+GETPIVOTDATA("mol",$N$17,"Cn",4,"Class","paraffin")</f>
        <v>0.26992945538882374</v>
      </c>
      <c r="X12">
        <f t="shared" si="0"/>
        <v>1.0797178215552949</v>
      </c>
      <c r="Y12">
        <f t="shared" si="1"/>
        <v>0.82657042632117761</v>
      </c>
      <c r="Z12">
        <f t="shared" si="2"/>
        <v>0.25314739523411739</v>
      </c>
      <c r="AA12">
        <f t="shared" si="3"/>
        <v>9.7840027063888346E-3</v>
      </c>
      <c r="AB12">
        <f t="shared" si="4"/>
        <v>1.9601636180730272E-3</v>
      </c>
      <c r="AH12" s="15">
        <v>5</v>
      </c>
      <c r="AI12">
        <v>8.1091381769103226</v>
      </c>
    </row>
    <row r="13" spans="2:35" x14ac:dyDescent="0.2">
      <c r="B13">
        <f>'5% CO'!B17</f>
        <v>10</v>
      </c>
      <c r="C13" t="str">
        <f>'5% CO'!H17</f>
        <v>paraffin</v>
      </c>
      <c r="D13" t="str">
        <f>'5% CO'!C17</f>
        <v>Decano</v>
      </c>
      <c r="E13">
        <f>+'10% CO'!G17</f>
        <v>2.4927383800724644E-3</v>
      </c>
      <c r="F13" t="s">
        <v>375</v>
      </c>
      <c r="G13">
        <f>VLOOKUP(Tabella10[[#This Row],[Name]],'10% CO'!$C$8:$I$47,7,FALSE)</f>
        <v>10</v>
      </c>
      <c r="R13">
        <v>8</v>
      </c>
      <c r="S13" s="12">
        <v>4</v>
      </c>
      <c r="T13" s="11" t="s">
        <v>133</v>
      </c>
      <c r="U13" s="11" t="s">
        <v>134</v>
      </c>
      <c r="V13" s="11" t="s">
        <v>135</v>
      </c>
      <c r="W13">
        <f>+GETPIVOTDATA("mol",$N$17,"Cn",4,"Class","iso-paraffin")</f>
        <v>9.0662519919708761E-3</v>
      </c>
      <c r="X13">
        <f t="shared" si="0"/>
        <v>3.6265007967883504E-2</v>
      </c>
      <c r="Y13">
        <f t="shared" si="1"/>
        <v>2.7762423198105235E-2</v>
      </c>
      <c r="Z13">
        <f t="shared" si="2"/>
        <v>8.5025847697782677E-3</v>
      </c>
      <c r="AA13">
        <f t="shared" si="3"/>
        <v>3.2862006074317059E-4</v>
      </c>
      <c r="AB13">
        <f t="shared" si="4"/>
        <v>6.5836969445755536E-5</v>
      </c>
      <c r="AH13" s="15">
        <v>6</v>
      </c>
      <c r="AI13">
        <v>6.5805558859871054</v>
      </c>
    </row>
    <row r="14" spans="2:35" x14ac:dyDescent="0.2">
      <c r="B14">
        <f>'5% CO'!B18</f>
        <v>1</v>
      </c>
      <c r="C14" t="str">
        <f>'5% CO'!H18</f>
        <v>paraffin</v>
      </c>
      <c r="D14" t="str">
        <f>'5% CO'!C18</f>
        <v>*CH4</v>
      </c>
      <c r="E14">
        <f>+'10% CO'!G18</f>
        <v>12.764487853091264</v>
      </c>
      <c r="F14" t="s">
        <v>375</v>
      </c>
      <c r="G14">
        <f>VLOOKUP(Tabella10[[#This Row],[Name]],'10% CO'!$C$8:$I$47,7,FALSE)</f>
        <v>11</v>
      </c>
      <c r="R14">
        <v>9</v>
      </c>
      <c r="S14" s="12">
        <v>4</v>
      </c>
      <c r="T14" s="11" t="s">
        <v>136</v>
      </c>
      <c r="U14" s="11" t="s">
        <v>137</v>
      </c>
      <c r="V14" s="11" t="s">
        <v>138</v>
      </c>
      <c r="W14">
        <f>+GETPIVOTDATA("mol",$N$17,"Cn",4,"Class","Olefin")</f>
        <v>2.1937453695289362</v>
      </c>
      <c r="X14">
        <f t="shared" si="0"/>
        <v>8.7749814781157447</v>
      </c>
      <c r="Y14">
        <f t="shared" si="1"/>
        <v>6.7176256949048767</v>
      </c>
      <c r="Z14">
        <f t="shared" si="2"/>
        <v>2.057355783210868</v>
      </c>
      <c r="AA14">
        <f t="shared" si="3"/>
        <v>7.9515629747340916E-2</v>
      </c>
      <c r="AB14">
        <f t="shared" si="4"/>
        <v>1.5930458031979688E-2</v>
      </c>
      <c r="AH14" s="15">
        <v>7</v>
      </c>
      <c r="AI14">
        <v>3.9175019728170488</v>
      </c>
    </row>
    <row r="15" spans="2:35" x14ac:dyDescent="0.2">
      <c r="B15">
        <f>'5% CO'!B19</f>
        <v>2</v>
      </c>
      <c r="C15" t="str">
        <f>'5% CO'!H19</f>
        <v>Olefin</v>
      </c>
      <c r="D15" t="str">
        <f>'5% CO'!C19</f>
        <v>*Etilene</v>
      </c>
      <c r="E15">
        <f>+'10% CO'!G19</f>
        <v>3.6794307430909692</v>
      </c>
      <c r="F15" t="s">
        <v>375</v>
      </c>
      <c r="G15">
        <f>VLOOKUP(Tabella10[[#This Row],[Name]],'10% CO'!$C$8:$I$47,7,FALSE)</f>
        <v>12</v>
      </c>
      <c r="R15">
        <v>10</v>
      </c>
      <c r="S15" s="12">
        <v>5</v>
      </c>
      <c r="T15" s="10" t="s">
        <v>139</v>
      </c>
      <c r="U15" s="10" t="s">
        <v>140</v>
      </c>
      <c r="V15" s="10" t="s">
        <v>141</v>
      </c>
      <c r="W15">
        <f>+GETPIVOTDATA("mol",$N$17,"Cn",5,"Class","paraffin")</f>
        <v>3.0922002549818205E-2</v>
      </c>
      <c r="X15">
        <f t="shared" si="0"/>
        <v>0.15461001274909103</v>
      </c>
      <c r="Y15">
        <f t="shared" si="1"/>
        <v>0.11836061385691792</v>
      </c>
      <c r="Z15">
        <f t="shared" si="2"/>
        <v>3.6249398892173108E-2</v>
      </c>
      <c r="AA15">
        <f t="shared" si="3"/>
        <v>1.4010186300277248E-3</v>
      </c>
      <c r="AB15">
        <f t="shared" si="4"/>
        <v>2.8068530122437609E-4</v>
      </c>
      <c r="AH15" s="15">
        <v>8</v>
      </c>
      <c r="AI15">
        <v>5.2185092451084092</v>
      </c>
    </row>
    <row r="16" spans="2:35" x14ac:dyDescent="0.2">
      <c r="B16">
        <f>'5% CO'!B20</f>
        <v>2</v>
      </c>
      <c r="C16" t="str">
        <f>'5% CO'!H20</f>
        <v>Olefin</v>
      </c>
      <c r="D16" t="str">
        <f>'5% CO'!C20</f>
        <v>*Acetilene</v>
      </c>
      <c r="E16">
        <f>+'10% CO'!G20</f>
        <v>0</v>
      </c>
      <c r="F16" t="s">
        <v>375</v>
      </c>
      <c r="G16">
        <f>VLOOKUP(Tabella10[[#This Row],[Name]],'10% CO'!$C$8:$I$47,7,FALSE)</f>
        <v>13</v>
      </c>
      <c r="R16">
        <v>11</v>
      </c>
      <c r="S16" s="12">
        <v>5</v>
      </c>
      <c r="T16" s="11" t="s">
        <v>370</v>
      </c>
      <c r="U16" s="11" t="s">
        <v>371</v>
      </c>
      <c r="V16" s="11" t="s">
        <v>142</v>
      </c>
      <c r="W16">
        <f>+GETPIVOTDATA("mol",$N$17,"Cn",5,"Class","iso-paraffin")</f>
        <v>9.0106537047203936E-2</v>
      </c>
      <c r="X16">
        <f t="shared" si="0"/>
        <v>0.45053268523601969</v>
      </c>
      <c r="Y16">
        <f t="shared" si="1"/>
        <v>0.34490214597989793</v>
      </c>
      <c r="Z16">
        <f t="shared" si="2"/>
        <v>0.10563053925612177</v>
      </c>
      <c r="AA16">
        <f t="shared" si="3"/>
        <v>4.0825602056991711E-3</v>
      </c>
      <c r="AB16">
        <f t="shared" si="4"/>
        <v>8.1791534854939497E-4</v>
      </c>
      <c r="AH16" s="15">
        <v>9</v>
      </c>
      <c r="AI16">
        <v>5.1379563487981272</v>
      </c>
    </row>
    <row r="17" spans="2:35" x14ac:dyDescent="0.2">
      <c r="B17">
        <f>'5% CO'!B21</f>
        <v>2</v>
      </c>
      <c r="C17" t="str">
        <f>'5% CO'!H21</f>
        <v>paraffin</v>
      </c>
      <c r="D17" t="str">
        <f>'5% CO'!C21</f>
        <v>*Etano</v>
      </c>
      <c r="E17">
        <f>+'10% CO'!G21</f>
        <v>0.854520583802166</v>
      </c>
      <c r="F17" t="s">
        <v>375</v>
      </c>
      <c r="G17">
        <f>VLOOKUP(Tabella10[[#This Row],[Name]],'10% CO'!$C$8:$I$47,7,FALSE)</f>
        <v>14</v>
      </c>
      <c r="N17" s="14" t="s">
        <v>335</v>
      </c>
      <c r="O17" s="14" t="s">
        <v>108</v>
      </c>
      <c r="P17" t="s">
        <v>348</v>
      </c>
      <c r="R17">
        <v>12</v>
      </c>
      <c r="S17" s="12">
        <v>5</v>
      </c>
      <c r="T17" s="10" t="s">
        <v>143</v>
      </c>
      <c r="U17" s="10" t="s">
        <v>144</v>
      </c>
      <c r="V17" s="10" t="s">
        <v>145</v>
      </c>
      <c r="W17">
        <f>+GETPIVOTDATA("mol",$N$17,"Cn",5,"Class","Olefin")</f>
        <v>1.4898565620550401</v>
      </c>
      <c r="X17">
        <f t="shared" si="0"/>
        <v>7.4492828102752009</v>
      </c>
      <c r="Y17">
        <f t="shared" si="1"/>
        <v>5.7027463521966695</v>
      </c>
      <c r="Z17">
        <f t="shared" si="2"/>
        <v>1.7465364580785316</v>
      </c>
      <c r="AA17">
        <f t="shared" si="3"/>
        <v>6.7502639783607418E-2</v>
      </c>
      <c r="AB17">
        <f t="shared" si="4"/>
        <v>1.3523730787739389E-2</v>
      </c>
      <c r="AH17" s="15">
        <v>10</v>
      </c>
      <c r="AI17">
        <v>4.8319071184768339</v>
      </c>
    </row>
    <row r="18" spans="2:35" x14ac:dyDescent="0.2">
      <c r="B18">
        <f>'5% CO'!B22</f>
        <v>3</v>
      </c>
      <c r="C18" t="str">
        <f>'5% CO'!H22</f>
        <v>Olefin</v>
      </c>
      <c r="D18" t="str">
        <f>'5% CO'!C22</f>
        <v>*Propilene</v>
      </c>
      <c r="E18">
        <f>+'10% CO'!G22</f>
        <v>3.6599446857857001</v>
      </c>
      <c r="F18" t="s">
        <v>375</v>
      </c>
      <c r="G18">
        <f>VLOOKUP(Tabella10[[#This Row],[Name]],'10% CO'!$C$8:$I$47,7,FALSE)</f>
        <v>15</v>
      </c>
      <c r="N18">
        <v>1</v>
      </c>
      <c r="O18" t="s">
        <v>337</v>
      </c>
      <c r="P18">
        <v>0.91088223941800006</v>
      </c>
      <c r="R18">
        <v>13</v>
      </c>
      <c r="S18" s="12">
        <v>5</v>
      </c>
      <c r="T18" s="11" t="s">
        <v>349</v>
      </c>
      <c r="V18" t="s">
        <v>350</v>
      </c>
      <c r="W18">
        <f>+GETPIVOTDATA("mol",$N$17,"Cn",5,"Class","Naphthene")</f>
        <v>1.0942533730002032E-2</v>
      </c>
      <c r="X18">
        <f t="shared" si="0"/>
        <v>5.4712668650010163E-2</v>
      </c>
      <c r="Y18">
        <f t="shared" si="1"/>
        <v>4.1884900803123591E-2</v>
      </c>
      <c r="Z18">
        <f t="shared" si="2"/>
        <v>1.2827767846886572E-2</v>
      </c>
      <c r="AA18">
        <f t="shared" si="3"/>
        <v>4.9578592430229746E-4</v>
      </c>
      <c r="AB18">
        <f t="shared" si="4"/>
        <v>9.93276024479719E-5</v>
      </c>
      <c r="AH18" s="15">
        <v>11</v>
      </c>
      <c r="AI18">
        <v>3.7645792885362162</v>
      </c>
    </row>
    <row r="19" spans="2:35" x14ac:dyDescent="0.2">
      <c r="B19">
        <f>'5% CO'!B23</f>
        <v>3</v>
      </c>
      <c r="C19" t="str">
        <f>'5% CO'!H23</f>
        <v>paraffin</v>
      </c>
      <c r="D19" t="str">
        <f>'5% CO'!C23</f>
        <v>*Propano</v>
      </c>
      <c r="E19">
        <f>+'10% CO'!G23</f>
        <v>0.36479247919154201</v>
      </c>
      <c r="F19" t="s">
        <v>375</v>
      </c>
      <c r="G19">
        <f>VLOOKUP(Tabella10[[#This Row],[Name]],'10% CO'!$C$8:$I$47,7,FALSE)</f>
        <v>16</v>
      </c>
      <c r="N19">
        <v>1</v>
      </c>
      <c r="O19" t="s">
        <v>76</v>
      </c>
      <c r="P19">
        <v>12.764487853091264</v>
      </c>
      <c r="R19">
        <v>14</v>
      </c>
      <c r="S19" s="12">
        <v>6</v>
      </c>
      <c r="T19" s="10" t="s">
        <v>146</v>
      </c>
      <c r="U19" s="10" t="s">
        <v>147</v>
      </c>
      <c r="V19" s="10" t="s">
        <v>148</v>
      </c>
      <c r="W19">
        <f>+GETPIVOTDATA("mol",$N$17,"Cn",6,"Class","iso-paraffin")</f>
        <v>0.40963471025392018</v>
      </c>
      <c r="X19">
        <f t="shared" si="0"/>
        <v>2.4578082615235211</v>
      </c>
      <c r="Y19">
        <f t="shared" si="1"/>
        <v>1.8815579237331024</v>
      </c>
      <c r="Z19">
        <f t="shared" si="2"/>
        <v>0.57625033779041868</v>
      </c>
      <c r="AA19">
        <f t="shared" si="3"/>
        <v>2.2271747490369132E-2</v>
      </c>
      <c r="AB19">
        <f t="shared" si="4"/>
        <v>4.4620050148824883E-3</v>
      </c>
      <c r="AH19" s="15">
        <v>12</v>
      </c>
      <c r="AI19">
        <v>2.9197024154560451</v>
      </c>
    </row>
    <row r="20" spans="2:35" x14ac:dyDescent="0.2">
      <c r="B20">
        <f>'5% CO'!B24</f>
        <v>2</v>
      </c>
      <c r="C20" t="str">
        <f>'5% CO'!H24</f>
        <v>oxygenated</v>
      </c>
      <c r="D20" t="str">
        <f>'5% CO'!C24</f>
        <v>*DME</v>
      </c>
      <c r="E20">
        <f>+'10% CO'!G24</f>
        <v>1.6731198592511802E-3</v>
      </c>
      <c r="F20" t="s">
        <v>375</v>
      </c>
      <c r="G20">
        <f>VLOOKUP(Tabella10[[#This Row],[Name]],'10% CO'!$C$8:$I$47,7,FALSE)</f>
        <v>17</v>
      </c>
      <c r="N20">
        <v>2</v>
      </c>
      <c r="O20" t="s">
        <v>60</v>
      </c>
      <c r="P20">
        <v>3.6794307430909692</v>
      </c>
      <c r="R20">
        <v>15</v>
      </c>
      <c r="S20" s="12">
        <v>6</v>
      </c>
      <c r="T20" s="11" t="s">
        <v>149</v>
      </c>
      <c r="U20" s="11" t="s">
        <v>150</v>
      </c>
      <c r="V20" s="11" t="s">
        <v>151</v>
      </c>
      <c r="W20">
        <f>+GETPIVOTDATA("mol",$N$17,"Cn",6,"Class","paraffin")</f>
        <v>5.4222619097311943E-3</v>
      </c>
      <c r="X20">
        <f t="shared" si="0"/>
        <v>3.2533571458387166E-2</v>
      </c>
      <c r="Y20">
        <f t="shared" si="1"/>
        <v>2.4905848077392698E-2</v>
      </c>
      <c r="Z20">
        <f t="shared" si="2"/>
        <v>7.6277233809944681E-3</v>
      </c>
      <c r="AA20">
        <f t="shared" si="3"/>
        <v>2.9480716613424282E-4</v>
      </c>
      <c r="AB20">
        <f t="shared" si="4"/>
        <v>5.9062767943247924E-5</v>
      </c>
      <c r="AH20" s="15">
        <v>13</v>
      </c>
      <c r="AI20">
        <v>2.008457397463808</v>
      </c>
    </row>
    <row r="21" spans="2:35" x14ac:dyDescent="0.2">
      <c r="B21">
        <f>'5% CO'!B25</f>
        <v>1</v>
      </c>
      <c r="C21" t="str">
        <f>'5% CO'!H25</f>
        <v>oxygenated</v>
      </c>
      <c r="D21" t="str">
        <f>'5% CO'!C25</f>
        <v>Metanolo</v>
      </c>
      <c r="E21">
        <f>+'10% CO'!G25</f>
        <v>0.91088223941800006</v>
      </c>
      <c r="F21" t="s">
        <v>375</v>
      </c>
      <c r="G21">
        <f>VLOOKUP(Tabella10[[#This Row],[Name]],'10% CO'!$C$8:$I$47,7,FALSE)</f>
        <v>18</v>
      </c>
      <c r="N21">
        <v>2</v>
      </c>
      <c r="O21" t="s">
        <v>337</v>
      </c>
      <c r="P21">
        <v>1.6731198592511802E-3</v>
      </c>
      <c r="R21">
        <v>16</v>
      </c>
      <c r="S21" s="18">
        <v>6</v>
      </c>
      <c r="T21" s="11" t="s">
        <v>152</v>
      </c>
      <c r="U21" s="11" t="s">
        <v>153</v>
      </c>
      <c r="V21" s="11" t="s">
        <v>154</v>
      </c>
      <c r="W21">
        <f>+GETPIVOTDATA("mol",$N$17,"Cn",6,"Class","Olefin")</f>
        <v>0.64344012024022157</v>
      </c>
      <c r="X21">
        <f t="shared" si="0"/>
        <v>3.8606407214413294</v>
      </c>
      <c r="Y21">
        <f t="shared" si="1"/>
        <v>2.9554865014620253</v>
      </c>
      <c r="Z21">
        <f t="shared" si="2"/>
        <v>0.9051542199793039</v>
      </c>
      <c r="AA21">
        <f t="shared" si="3"/>
        <v>3.4983695288614336E-2</v>
      </c>
      <c r="AB21">
        <f t="shared" si="4"/>
        <v>7.0087640803407339E-3</v>
      </c>
      <c r="AH21" s="15">
        <v>14</v>
      </c>
      <c r="AI21">
        <v>1.7765787864755529</v>
      </c>
    </row>
    <row r="22" spans="2:35" x14ac:dyDescent="0.2">
      <c r="B22">
        <f>'5% CO'!B26</f>
        <v>4</v>
      </c>
      <c r="C22" t="str">
        <f>'5% CO'!H26</f>
        <v>Olefin</v>
      </c>
      <c r="D22" t="str">
        <f>'5% CO'!C26</f>
        <v>2-Metilpropene</v>
      </c>
      <c r="E22">
        <f>+'10% CO'!G26</f>
        <v>2.6797269462604485E-2</v>
      </c>
      <c r="F22" t="s">
        <v>375</v>
      </c>
      <c r="G22">
        <f>VLOOKUP(Tabella10[[#This Row],[Name]],'10% CO'!$C$8:$I$47,7,FALSE)</f>
        <v>19</v>
      </c>
      <c r="N22">
        <v>2</v>
      </c>
      <c r="O22" t="s">
        <v>76</v>
      </c>
      <c r="P22">
        <v>0.854520583802166</v>
      </c>
      <c r="R22">
        <v>17</v>
      </c>
      <c r="S22" s="12">
        <v>6</v>
      </c>
      <c r="T22" t="s">
        <v>354</v>
      </c>
      <c r="V22" t="s">
        <v>353</v>
      </c>
      <c r="W22">
        <f>+GETPIVOTDATA("mol",$N$17,"Cn",6,"Class","Aromatic")</f>
        <v>2.9316902156736862E-3</v>
      </c>
      <c r="X22">
        <f t="shared" si="0"/>
        <v>1.7590141294042117E-2</v>
      </c>
      <c r="Y22">
        <f t="shared" si="1"/>
        <v>1.3466009635297605E-2</v>
      </c>
      <c r="Z22">
        <f t="shared" si="2"/>
        <v>4.1241316587445108E-3</v>
      </c>
      <c r="AA22">
        <f t="shared" si="3"/>
        <v>1.5939534070000188E-4</v>
      </c>
      <c r="AB22">
        <f t="shared" si="4"/>
        <v>3.1933857451457812E-5</v>
      </c>
      <c r="AH22" s="15">
        <v>15</v>
      </c>
      <c r="AI22">
        <v>1.6800239646777726</v>
      </c>
    </row>
    <row r="23" spans="2:35" x14ac:dyDescent="0.2">
      <c r="B23">
        <f>'5% CO'!B27</f>
        <v>4</v>
      </c>
      <c r="C23" t="str">
        <f>'5% CO'!H27</f>
        <v>Olefin</v>
      </c>
      <c r="D23" t="str">
        <f>'5% CO'!C27</f>
        <v>*1-Butene</v>
      </c>
      <c r="E23">
        <f>+'10% CO'!G27</f>
        <v>1.9687447545783474</v>
      </c>
      <c r="F23" t="s">
        <v>375</v>
      </c>
      <c r="G23">
        <f>VLOOKUP(Tabella10[[#This Row],[Name]],'10% CO'!$C$8:$I$47,7,FALSE)</f>
        <v>20</v>
      </c>
      <c r="N23">
        <v>3</v>
      </c>
      <c r="O23" t="s">
        <v>60</v>
      </c>
      <c r="P23">
        <v>3.6599446857857001</v>
      </c>
      <c r="R23">
        <v>18</v>
      </c>
      <c r="S23" s="12">
        <v>6</v>
      </c>
      <c r="T23" t="s">
        <v>352</v>
      </c>
      <c r="V23" t="s">
        <v>351</v>
      </c>
      <c r="W23">
        <f>+GETPIVOTDATA("mol",$N$17,"Cn",6,"Class","Naphthene")</f>
        <v>3.5330531711637518E-2</v>
      </c>
      <c r="X23">
        <f t="shared" si="0"/>
        <v>0.21198319026982509</v>
      </c>
      <c r="Y23">
        <f t="shared" si="1"/>
        <v>0.1622822486173803</v>
      </c>
      <c r="Z23">
        <f t="shared" si="2"/>
        <v>4.9700941652444798E-2</v>
      </c>
      <c r="AA23">
        <f t="shared" si="3"/>
        <v>1.9209130996108981E-3</v>
      </c>
      <c r="AB23">
        <f t="shared" si="4"/>
        <v>3.8484289961188107E-4</v>
      </c>
      <c r="AH23" s="15">
        <v>16</v>
      </c>
      <c r="AI23">
        <v>1.5998769169154572</v>
      </c>
    </row>
    <row r="24" spans="2:35" x14ac:dyDescent="0.2">
      <c r="B24">
        <f>'5% CO'!B28</f>
        <v>4</v>
      </c>
      <c r="C24" t="str">
        <f>'5% CO'!H28</f>
        <v>paraffin</v>
      </c>
      <c r="D24" t="str">
        <f>'5% CO'!C28</f>
        <v>*N-Butano</v>
      </c>
      <c r="E24">
        <f>+'10% CO'!G28</f>
        <v>0.25440249108406199</v>
      </c>
      <c r="F24" t="s">
        <v>375</v>
      </c>
      <c r="G24">
        <f>VLOOKUP(Tabella10[[#This Row],[Name]],'10% CO'!$C$8:$I$47,7,FALSE)</f>
        <v>21</v>
      </c>
      <c r="N24">
        <v>3</v>
      </c>
      <c r="O24" t="s">
        <v>76</v>
      </c>
      <c r="P24">
        <v>0.39063532844270554</v>
      </c>
      <c r="R24">
        <v>19</v>
      </c>
      <c r="S24" s="12">
        <v>7</v>
      </c>
      <c r="T24" s="11" t="s">
        <v>155</v>
      </c>
      <c r="U24" s="11" t="s">
        <v>156</v>
      </c>
      <c r="V24" s="11" t="s">
        <v>157</v>
      </c>
      <c r="W24">
        <f>+GETPIVOTDATA("mol",$N$17,"Cn",7,"Class","paraffin")</f>
        <v>1.4067555324488899E-5</v>
      </c>
      <c r="X24">
        <f t="shared" si="0"/>
        <v>9.8472887271422297E-5</v>
      </c>
      <c r="Y24">
        <f t="shared" si="1"/>
        <v>7.5385230092590784E-5</v>
      </c>
      <c r="Z24">
        <f t="shared" si="2"/>
        <v>2.308765717883151E-5</v>
      </c>
      <c r="AA24">
        <f t="shared" si="3"/>
        <v>8.923248059216899E-7</v>
      </c>
      <c r="AB24">
        <f t="shared" si="4"/>
        <v>1.7877168195483313E-7</v>
      </c>
      <c r="AH24" s="15">
        <v>17</v>
      </c>
      <c r="AI24">
        <v>1.3643889021391038</v>
      </c>
    </row>
    <row r="25" spans="2:35" x14ac:dyDescent="0.2">
      <c r="B25">
        <f>'5% CO'!B29</f>
        <v>4</v>
      </c>
      <c r="C25" t="str">
        <f>'5% CO'!H29</f>
        <v>Olefin</v>
      </c>
      <c r="D25" t="str">
        <f>'5% CO'!C29</f>
        <v>2-Butene</v>
      </c>
      <c r="E25">
        <f>+'10% CO'!G29</f>
        <v>3.5714415284270259E-2</v>
      </c>
      <c r="F25" t="s">
        <v>375</v>
      </c>
      <c r="G25">
        <f>VLOOKUP(Tabella10[[#This Row],[Name]],'10% CO'!$C$8:$I$47,7,FALSE)</f>
        <v>22</v>
      </c>
      <c r="N25">
        <v>4</v>
      </c>
      <c r="O25" t="s">
        <v>57</v>
      </c>
      <c r="P25">
        <v>9.0662519919708761E-3</v>
      </c>
      <c r="R25">
        <v>20</v>
      </c>
      <c r="S25" s="12">
        <v>7</v>
      </c>
      <c r="T25" s="10" t="s">
        <v>158</v>
      </c>
      <c r="U25" s="10" t="s">
        <v>159</v>
      </c>
      <c r="V25" s="10" t="s">
        <v>160</v>
      </c>
      <c r="W25">
        <f>+GETPIVOTDATA("mol",$N$17,"Cn",7,"Class","iso-paraffin")</f>
        <v>0.30039693995985467</v>
      </c>
      <c r="X25">
        <f t="shared" si="0"/>
        <v>2.1027785797189829</v>
      </c>
      <c r="Y25">
        <f t="shared" si="1"/>
        <v>1.6097674340446626</v>
      </c>
      <c r="Z25">
        <f t="shared" si="2"/>
        <v>0.49301114567432036</v>
      </c>
      <c r="AA25">
        <f t="shared" si="3"/>
        <v>1.9054600104008172E-2</v>
      </c>
      <c r="AB25">
        <f t="shared" si="4"/>
        <v>3.81746970045482E-3</v>
      </c>
      <c r="AH25" s="15">
        <v>18</v>
      </c>
      <c r="AI25">
        <v>1.2535174223950181</v>
      </c>
    </row>
    <row r="26" spans="2:35" x14ac:dyDescent="0.2">
      <c r="B26">
        <f>'5% CO'!B30</f>
        <v>5</v>
      </c>
      <c r="C26" t="str">
        <f>'5% CO'!H30</f>
        <v>Olefin</v>
      </c>
      <c r="D26" t="str">
        <f>'5% CO'!C30</f>
        <v>3-Metilbut-1-ene</v>
      </c>
      <c r="E26">
        <f>+'10% CO'!G30</f>
        <v>1.7233817031659372E-2</v>
      </c>
      <c r="F26" t="s">
        <v>375</v>
      </c>
      <c r="G26">
        <f>VLOOKUP(Tabella10[[#This Row],[Name]],'10% CO'!$C$8:$I$47,7,FALSE)</f>
        <v>23</v>
      </c>
      <c r="N26">
        <v>4</v>
      </c>
      <c r="O26" t="s">
        <v>60</v>
      </c>
      <c r="P26">
        <v>2.1937453695289362</v>
      </c>
      <c r="R26">
        <v>21</v>
      </c>
      <c r="S26" s="18">
        <v>7</v>
      </c>
      <c r="T26" s="11" t="s">
        <v>161</v>
      </c>
      <c r="U26" s="11" t="s">
        <v>162</v>
      </c>
      <c r="V26" s="11" t="s">
        <v>163</v>
      </c>
      <c r="W26">
        <f>+GETPIVOTDATA("mol",$N$17,"Cn",7,"Class","Olefin")</f>
        <v>0.21948940597245856</v>
      </c>
      <c r="X26">
        <f t="shared" si="0"/>
        <v>1.5364258418072099</v>
      </c>
      <c r="Y26">
        <f t="shared" si="1"/>
        <v>1.1762000568297757</v>
      </c>
      <c r="Z26">
        <f t="shared" si="2"/>
        <v>0.36022578497743413</v>
      </c>
      <c r="AA26">
        <f t="shared" si="3"/>
        <v>1.3922521509141951E-2</v>
      </c>
      <c r="AB26">
        <f t="shared" si="4"/>
        <v>2.7892899208050012E-3</v>
      </c>
      <c r="AH26" s="15">
        <v>19</v>
      </c>
      <c r="AI26">
        <v>0.49084866808837091</v>
      </c>
    </row>
    <row r="27" spans="2:35" x14ac:dyDescent="0.2">
      <c r="B27">
        <f>'5% CO'!B31</f>
        <v>5</v>
      </c>
      <c r="C27" t="str">
        <f>'5% CO'!H31</f>
        <v>iso-paraffin</v>
      </c>
      <c r="D27" t="str">
        <f>'5% CO'!C31</f>
        <v>2-Metilbutano</v>
      </c>
      <c r="E27">
        <f>+'10% CO'!G31</f>
        <v>6.3944866485085877E-2</v>
      </c>
      <c r="F27" t="s">
        <v>375</v>
      </c>
      <c r="G27">
        <f>VLOOKUP(Tabella10[[#This Row],[Name]],'10% CO'!$C$8:$I$47,7,FALSE)</f>
        <v>24</v>
      </c>
      <c r="N27">
        <v>4</v>
      </c>
      <c r="O27" t="s">
        <v>76</v>
      </c>
      <c r="P27">
        <v>0.26992945538882374</v>
      </c>
      <c r="R27">
        <v>22</v>
      </c>
      <c r="S27" s="18">
        <v>7</v>
      </c>
      <c r="T27" s="10" t="s">
        <v>164</v>
      </c>
      <c r="U27" s="10" t="s">
        <v>165</v>
      </c>
      <c r="V27" s="10" t="s">
        <v>166</v>
      </c>
      <c r="W27">
        <f>+GETPIVOTDATA("mol",$N$17,"Cn",7,"Class","Aromatic")</f>
        <v>7.8386067141575193E-3</v>
      </c>
      <c r="X27">
        <f t="shared" si="0"/>
        <v>5.4870246999102631E-2</v>
      </c>
      <c r="Y27">
        <f t="shared" si="1"/>
        <v>4.2005533806106471E-2</v>
      </c>
      <c r="Z27">
        <f t="shared" si="2"/>
        <v>1.2864713192996161E-2</v>
      </c>
      <c r="AA27">
        <f t="shared" si="3"/>
        <v>4.9721384089606842E-4</v>
      </c>
      <c r="AB27">
        <f t="shared" si="4"/>
        <v>9.9613676587641229E-5</v>
      </c>
      <c r="AH27" s="15">
        <v>20</v>
      </c>
      <c r="AI27">
        <v>0.40436045883710497</v>
      </c>
    </row>
    <row r="28" spans="2:35" x14ac:dyDescent="0.2">
      <c r="B28">
        <f>'5% CO'!B32</f>
        <v>5</v>
      </c>
      <c r="C28" t="str">
        <f>'5% CO'!H32</f>
        <v>Olefin</v>
      </c>
      <c r="D28" t="str">
        <f>'5% CO'!C32</f>
        <v>2-Metilbut-1-ene</v>
      </c>
      <c r="E28">
        <f>+'10% CO'!G32</f>
        <v>0.14396453762531575</v>
      </c>
      <c r="F28" t="s">
        <v>375</v>
      </c>
      <c r="G28">
        <f>VLOOKUP(Tabella10[[#This Row],[Name]],'10% CO'!$C$8:$I$47,7,FALSE)</f>
        <v>25</v>
      </c>
      <c r="N28">
        <v>5</v>
      </c>
      <c r="O28" t="s">
        <v>57</v>
      </c>
      <c r="P28">
        <v>9.0106537047203936E-2</v>
      </c>
      <c r="R28">
        <v>23</v>
      </c>
      <c r="S28" s="18">
        <v>7</v>
      </c>
      <c r="T28" t="s">
        <v>83</v>
      </c>
      <c r="V28" t="s">
        <v>356</v>
      </c>
      <c r="W28">
        <f>+GETPIVOTDATA("mol",$N$17,"Cn",7,"Class","Naphthene")</f>
        <v>3.1904118772068897E-2</v>
      </c>
      <c r="X28">
        <f t="shared" si="0"/>
        <v>0.22332883140448229</v>
      </c>
      <c r="Y28">
        <f t="shared" si="1"/>
        <v>0.17096782483214729</v>
      </c>
      <c r="Z28">
        <f t="shared" si="2"/>
        <v>5.2361006572335014E-2</v>
      </c>
      <c r="AA28">
        <f t="shared" si="3"/>
        <v>2.0237230943623997E-3</v>
      </c>
      <c r="AB28">
        <f t="shared" si="4"/>
        <v>4.0544023766807139E-4</v>
      </c>
      <c r="AH28" s="15">
        <v>21</v>
      </c>
      <c r="AI28">
        <v>0.35381540148246465</v>
      </c>
    </row>
    <row r="29" spans="2:35" x14ac:dyDescent="0.2">
      <c r="B29">
        <f>'5% CO'!B33</f>
        <v>5</v>
      </c>
      <c r="C29" t="str">
        <f>'5% CO'!H33</f>
        <v>Olefin</v>
      </c>
      <c r="D29" t="str">
        <f>'5% CO'!C33</f>
        <v>*1-Pentene</v>
      </c>
      <c r="E29">
        <f>+'10% CO'!G33</f>
        <v>0.96320819243447853</v>
      </c>
      <c r="F29" t="s">
        <v>375</v>
      </c>
      <c r="G29">
        <f>VLOOKUP(Tabella10[[#This Row],[Name]],'10% CO'!$C$8:$I$47,7,FALSE)</f>
        <v>26</v>
      </c>
      <c r="N29">
        <v>5</v>
      </c>
      <c r="O29" t="s">
        <v>73</v>
      </c>
      <c r="P29">
        <v>1.0942533730002032E-2</v>
      </c>
      <c r="R29">
        <v>24</v>
      </c>
      <c r="S29" s="12">
        <v>8</v>
      </c>
      <c r="T29" s="11" t="s">
        <v>167</v>
      </c>
      <c r="U29" s="11" t="s">
        <v>168</v>
      </c>
      <c r="V29" s="11" t="s">
        <v>169</v>
      </c>
      <c r="W29">
        <f>+GETPIVOTDATA("mol",$N$17,"Cn",8,"Class","paraffin")</f>
        <v>2.9504924850879053E-2</v>
      </c>
      <c r="X29">
        <f t="shared" si="0"/>
        <v>0.23603939880703242</v>
      </c>
      <c r="Y29">
        <f t="shared" si="1"/>
        <v>0.18069831080446933</v>
      </c>
      <c r="Z29">
        <f t="shared" si="2"/>
        <v>5.5341088002563092E-2</v>
      </c>
      <c r="AA29">
        <f t="shared" si="3"/>
        <v>2.1389015450497761E-3</v>
      </c>
      <c r="AB29">
        <f t="shared" si="4"/>
        <v>4.2851551834803173E-4</v>
      </c>
      <c r="AH29" s="15">
        <v>22</v>
      </c>
      <c r="AI29">
        <v>0.3459528370050744</v>
      </c>
    </row>
    <row r="30" spans="2:35" x14ac:dyDescent="0.2">
      <c r="B30">
        <f>'5% CO'!B34</f>
        <v>5</v>
      </c>
      <c r="C30" t="str">
        <f>'5% CO'!H34</f>
        <v>Olefin</v>
      </c>
      <c r="D30" t="str">
        <f>'5% CO'!C34</f>
        <v>2-Pentene</v>
      </c>
      <c r="E30">
        <f>+'10% CO'!G34</f>
        <v>1.3984333457546363E-2</v>
      </c>
      <c r="F30" t="s">
        <v>375</v>
      </c>
      <c r="G30">
        <f>VLOOKUP(Tabella10[[#This Row],[Name]],'10% CO'!$C$8:$I$47,7,FALSE)</f>
        <v>27</v>
      </c>
      <c r="N30">
        <v>5</v>
      </c>
      <c r="O30" t="s">
        <v>60</v>
      </c>
      <c r="P30">
        <v>1.4898565620550401</v>
      </c>
      <c r="R30">
        <v>25</v>
      </c>
      <c r="S30" s="12">
        <v>8</v>
      </c>
      <c r="T30" s="10" t="s">
        <v>170</v>
      </c>
      <c r="U30" s="10" t="s">
        <v>171</v>
      </c>
      <c r="V30" s="10" t="s">
        <v>172</v>
      </c>
      <c r="W30">
        <f>+GETPIVOTDATA("mol",$N$17,"Cn",8,"Class","iso-paraffin")</f>
        <v>0.12520149527311439</v>
      </c>
      <c r="X30">
        <f t="shared" si="0"/>
        <v>1.0016119621849151</v>
      </c>
      <c r="Y30">
        <f t="shared" si="1"/>
        <v>0.76677703198323799</v>
      </c>
      <c r="Z30">
        <f t="shared" si="2"/>
        <v>0.23483493020167709</v>
      </c>
      <c r="AA30">
        <f t="shared" si="3"/>
        <v>9.076236358359276E-3</v>
      </c>
      <c r="AB30">
        <f t="shared" si="4"/>
        <v>1.8183670663817608E-3</v>
      </c>
      <c r="AH30" s="15">
        <v>23</v>
      </c>
      <c r="AI30">
        <v>0.33584382553414821</v>
      </c>
    </row>
    <row r="31" spans="2:35" x14ac:dyDescent="0.2">
      <c r="B31">
        <f>'5% CO'!B35</f>
        <v>5</v>
      </c>
      <c r="C31" t="str">
        <f>'5% CO'!H35</f>
        <v>paraffin</v>
      </c>
      <c r="D31" t="str">
        <f>'5% CO'!C35</f>
        <v>*Pentano</v>
      </c>
      <c r="E31">
        <f>+'10% CO'!G35</f>
        <v>0</v>
      </c>
      <c r="F31" t="s">
        <v>375</v>
      </c>
      <c r="G31">
        <f>VLOOKUP(Tabella10[[#This Row],[Name]],'10% CO'!$C$8:$I$47,7,FALSE)</f>
        <v>28</v>
      </c>
      <c r="N31">
        <v>5</v>
      </c>
      <c r="O31" t="s">
        <v>76</v>
      </c>
      <c r="P31">
        <v>3.0922002549818205E-2</v>
      </c>
      <c r="R31">
        <v>26</v>
      </c>
      <c r="S31" s="12">
        <v>8</v>
      </c>
      <c r="T31" s="10" t="s">
        <v>173</v>
      </c>
      <c r="U31" s="10" t="s">
        <v>174</v>
      </c>
      <c r="V31" s="10" t="s">
        <v>175</v>
      </c>
      <c r="W31">
        <f>+GETPIVOTDATA("mol",$N$17,"Cn",8,"Class","Olefin")</f>
        <v>0.3437150254983527</v>
      </c>
      <c r="X31">
        <f t="shared" si="0"/>
        <v>2.7497202039868216</v>
      </c>
      <c r="Y31">
        <f t="shared" si="1"/>
        <v>2.1050290695391149</v>
      </c>
      <c r="Z31">
        <f t="shared" si="2"/>
        <v>0.64469113444770676</v>
      </c>
      <c r="AA31">
        <f t="shared" si="3"/>
        <v>2.4916945317125475E-2</v>
      </c>
      <c r="AB31">
        <f t="shared" si="4"/>
        <v>4.9919538199076395E-3</v>
      </c>
      <c r="AH31" s="15">
        <v>24</v>
      </c>
      <c r="AI31">
        <v>0.37740309491463048</v>
      </c>
    </row>
    <row r="32" spans="2:35" x14ac:dyDescent="0.2">
      <c r="B32">
        <f>'5% CO'!B36</f>
        <v>6</v>
      </c>
      <c r="C32" t="str">
        <f>'5% CO'!H36</f>
        <v>Olefin</v>
      </c>
      <c r="D32" t="str">
        <f>'5% CO'!C36</f>
        <v>2-Metilbut-2-ene</v>
      </c>
      <c r="E32">
        <f>+'10% CO'!G36</f>
        <v>9.7878325034195398E-4</v>
      </c>
      <c r="F32" t="s">
        <v>375</v>
      </c>
      <c r="G32">
        <f>VLOOKUP(Tabella10[[#This Row],[Name]],'10% CO'!$C$8:$I$47,7,FALSE)</f>
        <v>29</v>
      </c>
      <c r="N32">
        <v>6</v>
      </c>
      <c r="O32" t="s">
        <v>67</v>
      </c>
      <c r="P32">
        <v>2.9316902156736862E-3</v>
      </c>
      <c r="R32">
        <v>27</v>
      </c>
      <c r="S32" s="12">
        <v>8</v>
      </c>
      <c r="T32" s="11" t="s">
        <v>176</v>
      </c>
      <c r="U32" s="11" t="s">
        <v>177</v>
      </c>
      <c r="V32" s="11" t="s">
        <v>178</v>
      </c>
      <c r="W32">
        <f>+GETPIVOTDATA("mol",$N$17,"Cn",8,"Class","Naphthene")</f>
        <v>5.6200501434464568E-2</v>
      </c>
      <c r="X32">
        <f t="shared" si="0"/>
        <v>0.44960401147571655</v>
      </c>
      <c r="Y32">
        <f t="shared" si="1"/>
        <v>0.34419120627820682</v>
      </c>
      <c r="Z32">
        <f t="shared" si="2"/>
        <v>0.10541280519750972</v>
      </c>
      <c r="AA32">
        <f t="shared" si="3"/>
        <v>4.0741449082920484E-3</v>
      </c>
      <c r="AB32">
        <f t="shared" si="4"/>
        <v>8.1622939645926182E-4</v>
      </c>
      <c r="AH32" s="15">
        <v>25</v>
      </c>
      <c r="AI32">
        <v>0.53353116096562292</v>
      </c>
    </row>
    <row r="33" spans="1:35" x14ac:dyDescent="0.2">
      <c r="B33">
        <f>'5% CO'!B37</f>
        <v>6</v>
      </c>
      <c r="C33" t="str">
        <f>'5% CO'!H37</f>
        <v>iso-paraffin</v>
      </c>
      <c r="D33" t="str">
        <f>'5% CO'!C37</f>
        <v>2,2-Dimetilbutano</v>
      </c>
      <c r="E33">
        <f>+'10% CO'!G37</f>
        <v>5.8018779624327027E-2</v>
      </c>
      <c r="F33" t="s">
        <v>375</v>
      </c>
      <c r="G33">
        <f>VLOOKUP(Tabella10[[#This Row],[Name]],'10% CO'!$C$8:$I$47,7,FALSE)</f>
        <v>30</v>
      </c>
      <c r="N33">
        <v>6</v>
      </c>
      <c r="O33" t="s">
        <v>57</v>
      </c>
      <c r="P33">
        <v>0.40963471025392018</v>
      </c>
      <c r="R33">
        <v>28</v>
      </c>
      <c r="S33" s="12">
        <v>8</v>
      </c>
      <c r="T33" s="10" t="s">
        <v>179</v>
      </c>
      <c r="U33" s="10" t="s">
        <v>180</v>
      </c>
      <c r="V33" s="10" t="s">
        <v>181</v>
      </c>
      <c r="W33">
        <f>+GETPIVOTDATA("mol",$N$17,"Cn",8,"Class","Aromatic")</f>
        <v>9.7895729961102018E-2</v>
      </c>
      <c r="X33">
        <f t="shared" si="0"/>
        <v>0.78316583968881615</v>
      </c>
      <c r="Y33">
        <f t="shared" si="1"/>
        <v>0.59954713080431987</v>
      </c>
      <c r="Z33">
        <f t="shared" si="2"/>
        <v>0.18361870888449622</v>
      </c>
      <c r="AA33">
        <f t="shared" si="3"/>
        <v>7.096758562370591E-3</v>
      </c>
      <c r="AB33">
        <f t="shared" si="4"/>
        <v>1.4217910969222733E-3</v>
      </c>
      <c r="AH33" s="15">
        <v>26</v>
      </c>
      <c r="AI33">
        <v>0.73009527290032383</v>
      </c>
    </row>
    <row r="34" spans="1:35" x14ac:dyDescent="0.2">
      <c r="B34">
        <f>'5% CO'!B38</f>
        <v>6</v>
      </c>
      <c r="C34" t="str">
        <f>'5% CO'!H38</f>
        <v>Olefin</v>
      </c>
      <c r="D34" t="str">
        <f>'5% CO'!C38</f>
        <v>3-Metilpent-1-ene</v>
      </c>
      <c r="E34">
        <f>+'10% CO'!G38</f>
        <v>8.6803364261766158E-2</v>
      </c>
      <c r="F34" t="s">
        <v>375</v>
      </c>
      <c r="G34">
        <f>VLOOKUP(Tabella10[[#This Row],[Name]],'10% CO'!$C$8:$I$47,7,FALSE)</f>
        <v>31</v>
      </c>
      <c r="N34">
        <v>6</v>
      </c>
      <c r="O34" t="s">
        <v>73</v>
      </c>
      <c r="P34">
        <v>3.5330531711637518E-2</v>
      </c>
      <c r="R34">
        <v>29</v>
      </c>
      <c r="S34" s="13">
        <v>9</v>
      </c>
      <c r="T34" s="10" t="s">
        <v>182</v>
      </c>
      <c r="U34" s="10" t="s">
        <v>183</v>
      </c>
      <c r="V34" s="10" t="s">
        <v>184</v>
      </c>
      <c r="W34">
        <f>+GETPIVOTDATA("mol",$N$17,"Cn",9,"Class","paraffin")</f>
        <v>6.1344523855475869E-2</v>
      </c>
      <c r="X34">
        <f t="shared" si="0"/>
        <v>0.55210071469928279</v>
      </c>
      <c r="Y34">
        <f t="shared" si="1"/>
        <v>0.42265684052881242</v>
      </c>
      <c r="Z34">
        <f t="shared" si="2"/>
        <v>0.1294438741704704</v>
      </c>
      <c r="AA34">
        <f t="shared" si="3"/>
        <v>5.0029320429628163E-3</v>
      </c>
      <c r="AB34">
        <f t="shared" si="4"/>
        <v>1.0023060774404637E-3</v>
      </c>
      <c r="AH34" s="15">
        <v>27</v>
      </c>
      <c r="AI34">
        <v>0.33359737854060778</v>
      </c>
    </row>
    <row r="35" spans="1:35" x14ac:dyDescent="0.2">
      <c r="B35">
        <f>'5% CO'!B39</f>
        <v>6</v>
      </c>
      <c r="C35" t="str">
        <f>'5% CO'!H39</f>
        <v>Olefin</v>
      </c>
      <c r="D35" t="str">
        <f>'5% CO'!C39</f>
        <v>4-Metilpent-2-ene</v>
      </c>
      <c r="E35">
        <f>+'10% CO'!G39</f>
        <v>0.37498289215783615</v>
      </c>
      <c r="F35" t="s">
        <v>375</v>
      </c>
      <c r="G35">
        <f>VLOOKUP(Tabella10[[#This Row],[Name]],'10% CO'!$C$8:$I$47,7,FALSE)</f>
        <v>32</v>
      </c>
      <c r="N35">
        <v>6</v>
      </c>
      <c r="O35" t="s">
        <v>60</v>
      </c>
      <c r="P35">
        <v>0.64344012024022157</v>
      </c>
      <c r="R35">
        <v>30</v>
      </c>
      <c r="S35" s="12">
        <v>9</v>
      </c>
      <c r="T35" s="11" t="s">
        <v>185</v>
      </c>
      <c r="U35" s="11" t="s">
        <v>186</v>
      </c>
      <c r="V35" s="11" t="s">
        <v>187</v>
      </c>
      <c r="W35">
        <f>+GETPIVOTDATA("mol",$N$17,"Cn",9,"Class","iso-paraffin")</f>
        <v>0.32918483586691982</v>
      </c>
      <c r="X35">
        <f t="shared" si="0"/>
        <v>2.9626635228022784</v>
      </c>
      <c r="Y35">
        <f t="shared" si="1"/>
        <v>2.2680463378490874</v>
      </c>
      <c r="Z35">
        <f t="shared" si="2"/>
        <v>0.69461718495319102</v>
      </c>
      <c r="AA35">
        <f t="shared" si="3"/>
        <v>2.6846558745749566E-2</v>
      </c>
      <c r="AB35">
        <f t="shared" si="4"/>
        <v>5.3785397759054101E-3</v>
      </c>
      <c r="AH35" s="15" t="s">
        <v>347</v>
      </c>
      <c r="AI35">
        <v>98.854119037044839</v>
      </c>
    </row>
    <row r="36" spans="1:35" x14ac:dyDescent="0.2">
      <c r="B36">
        <f>'5% CO'!B40</f>
        <v>6</v>
      </c>
      <c r="C36" t="str">
        <f>'5% CO'!H40</f>
        <v>Olefin</v>
      </c>
      <c r="D36" t="str">
        <f>'5% CO'!C40</f>
        <v>1-Esene</v>
      </c>
      <c r="E36">
        <f>+'10% CO'!G40</f>
        <v>3.4979095679170534E-2</v>
      </c>
      <c r="F36" t="s">
        <v>375</v>
      </c>
      <c r="G36">
        <f>VLOOKUP(Tabella10[[#This Row],[Name]],'10% CO'!$C$8:$I$47,7,FALSE)</f>
        <v>33</v>
      </c>
      <c r="N36">
        <v>6</v>
      </c>
      <c r="O36" t="s">
        <v>76</v>
      </c>
      <c r="P36">
        <v>5.4222619097311943E-3</v>
      </c>
      <c r="R36">
        <v>31</v>
      </c>
      <c r="S36" s="12">
        <v>9</v>
      </c>
      <c r="T36" s="10" t="s">
        <v>188</v>
      </c>
      <c r="U36" s="10" t="s">
        <v>189</v>
      </c>
      <c r="V36" s="10" t="s">
        <v>190</v>
      </c>
      <c r="W36">
        <f>+GETPIVOTDATA("mol",$N$17,"Cn",9,"Class","Olefin")</f>
        <v>6.0663999787827771E-2</v>
      </c>
      <c r="X36">
        <f t="shared" si="0"/>
        <v>0.54597599809044994</v>
      </c>
      <c r="Y36">
        <f t="shared" si="1"/>
        <v>0.4179681065675937</v>
      </c>
      <c r="Z36">
        <f t="shared" si="2"/>
        <v>0.12800789152285624</v>
      </c>
      <c r="AA36">
        <f t="shared" si="3"/>
        <v>4.9474321311521853E-3</v>
      </c>
      <c r="AB36">
        <f t="shared" si="4"/>
        <v>9.9118701797143655E-4</v>
      </c>
    </row>
    <row r="37" spans="1:35" x14ac:dyDescent="0.2">
      <c r="B37">
        <f>'5% CO'!B41</f>
        <v>6</v>
      </c>
      <c r="C37" t="str">
        <f>'5% CO'!H41</f>
        <v>paraffin</v>
      </c>
      <c r="D37" t="str">
        <f>'5% CO'!C41</f>
        <v>Esano</v>
      </c>
      <c r="E37">
        <f>+'10% CO'!G41</f>
        <v>1.4278339908757973E-3</v>
      </c>
      <c r="F37" t="s">
        <v>375</v>
      </c>
      <c r="G37">
        <f>VLOOKUP(Tabella10[[#This Row],[Name]],'10% CO'!$C$8:$I$47,7,FALSE)</f>
        <v>34</v>
      </c>
      <c r="N37">
        <v>7</v>
      </c>
      <c r="O37" t="s">
        <v>67</v>
      </c>
      <c r="P37">
        <v>7.8386067141575193E-3</v>
      </c>
      <c r="R37">
        <v>32</v>
      </c>
      <c r="S37" s="12">
        <v>9</v>
      </c>
      <c r="T37" s="11" t="s">
        <v>191</v>
      </c>
      <c r="U37" s="11" t="s">
        <v>192</v>
      </c>
      <c r="V37" s="11" t="s">
        <v>193</v>
      </c>
      <c r="W37">
        <f>+GETPIVOTDATA("mol",$N$17,"Cn",9,"Class","Naphthene")</f>
        <v>3.4198166365833553E-2</v>
      </c>
      <c r="X37">
        <f t="shared" si="0"/>
        <v>0.30778349729250198</v>
      </c>
      <c r="Y37">
        <f t="shared" si="1"/>
        <v>0.23562150359361989</v>
      </c>
      <c r="Z37">
        <f t="shared" si="2"/>
        <v>7.2161993698882099E-2</v>
      </c>
      <c r="AA37">
        <f t="shared" si="3"/>
        <v>2.7890199738982834E-3</v>
      </c>
      <c r="AB37">
        <f t="shared" si="4"/>
        <v>5.5876267075688328E-4</v>
      </c>
    </row>
    <row r="38" spans="1:35" x14ac:dyDescent="0.2">
      <c r="B38">
        <f>'5% CO'!B42</f>
        <v>6</v>
      </c>
      <c r="C38" t="str">
        <f>'5% CO'!H42</f>
        <v>Olefin</v>
      </c>
      <c r="D38" t="str">
        <f>'5% CO'!C42</f>
        <v>2,3-Dimetilbut-2-ene</v>
      </c>
      <c r="E38">
        <f>+'10% CO'!G42</f>
        <v>3.072920511351582E-3</v>
      </c>
      <c r="F38" t="s">
        <v>375</v>
      </c>
      <c r="G38">
        <f>VLOOKUP(Tabella10[[#This Row],[Name]],'10% CO'!$C$8:$I$47,7,FALSE)</f>
        <v>35</v>
      </c>
      <c r="N38">
        <v>7</v>
      </c>
      <c r="O38" t="s">
        <v>57</v>
      </c>
      <c r="P38">
        <v>0.30039693995985467</v>
      </c>
      <c r="R38">
        <v>33</v>
      </c>
      <c r="S38" s="12">
        <v>9</v>
      </c>
      <c r="T38" s="10" t="s">
        <v>194</v>
      </c>
      <c r="U38" s="10" t="s">
        <v>195</v>
      </c>
      <c r="V38" s="10" t="s">
        <v>196</v>
      </c>
      <c r="W38">
        <f>+GETPIVOTDATA("mol",$N$17,"Cn",9,"Class","Aromatic")</f>
        <v>8.574549938969897E-2</v>
      </c>
      <c r="X38">
        <f t="shared" si="0"/>
        <v>0.77170949450729076</v>
      </c>
      <c r="Y38">
        <f t="shared" si="1"/>
        <v>0.59077680588078063</v>
      </c>
      <c r="Z38">
        <f t="shared" si="2"/>
        <v>0.18093268862651019</v>
      </c>
      <c r="AA38">
        <f t="shared" si="3"/>
        <v>6.992945408578327E-3</v>
      </c>
      <c r="AB38">
        <f t="shared" si="4"/>
        <v>1.4009927822398642E-3</v>
      </c>
    </row>
    <row r="39" spans="1:35" x14ac:dyDescent="0.2">
      <c r="B39">
        <f>'5% CO'!B43</f>
        <v>7</v>
      </c>
      <c r="C39" t="str">
        <f>'5% CO'!H43</f>
        <v>iso-paraffin</v>
      </c>
      <c r="D39" t="str">
        <f>'5% CO'!C43</f>
        <v>2,2-Dimetilpentano</v>
      </c>
      <c r="E39">
        <f>+'10% CO'!G43</f>
        <v>5.4366470075007322E-4</v>
      </c>
      <c r="F39" t="s">
        <v>375</v>
      </c>
      <c r="G39">
        <f>VLOOKUP(Tabella10[[#This Row],[Name]],'10% CO'!$C$8:$I$47,7,FALSE)</f>
        <v>36</v>
      </c>
      <c r="N39">
        <v>7</v>
      </c>
      <c r="O39" t="s">
        <v>73</v>
      </c>
      <c r="P39">
        <v>3.1904118772068897E-2</v>
      </c>
      <c r="R39">
        <v>34</v>
      </c>
      <c r="S39" s="12">
        <v>10</v>
      </c>
      <c r="T39" s="11" t="s">
        <v>197</v>
      </c>
      <c r="U39" s="11" t="s">
        <v>198</v>
      </c>
      <c r="V39" s="11" t="s">
        <v>199</v>
      </c>
      <c r="W39">
        <f>+GETPIVOTDATA("mol",$N$17,"Cn",10,"Class","paraffin")</f>
        <v>9.1872102183663887E-2</v>
      </c>
      <c r="X39">
        <f t="shared" si="0"/>
        <v>0.91872102183663884</v>
      </c>
      <c r="Y39">
        <f t="shared" si="1"/>
        <v>0.70332045237140539</v>
      </c>
      <c r="Z39">
        <f t="shared" si="2"/>
        <v>0.21540056946523339</v>
      </c>
      <c r="AA39">
        <f t="shared" si="3"/>
        <v>8.3251093800767208E-3</v>
      </c>
      <c r="AB39">
        <f t="shared" si="4"/>
        <v>1.6678834841949758E-3</v>
      </c>
    </row>
    <row r="40" spans="1:35" x14ac:dyDescent="0.2">
      <c r="B40">
        <f>'5% CO'!B44</f>
        <v>7</v>
      </c>
      <c r="C40" t="str">
        <f>'5% CO'!H44</f>
        <v>Olefin</v>
      </c>
      <c r="D40" t="str">
        <f>'5% CO'!C44</f>
        <v>2-Metiles-1-ene</v>
      </c>
      <c r="E40">
        <f>+'10% CO'!G44</f>
        <v>7.3947323972854961E-5</v>
      </c>
      <c r="F40" t="s">
        <v>375</v>
      </c>
      <c r="G40">
        <f>VLOOKUP(Tabella10[[#This Row],[Name]],'10% CO'!$C$8:$I$47,7,FALSE)</f>
        <v>37</v>
      </c>
      <c r="N40">
        <v>7</v>
      </c>
      <c r="O40" t="s">
        <v>60</v>
      </c>
      <c r="P40">
        <v>0.21948940597245856</v>
      </c>
      <c r="R40">
        <v>35</v>
      </c>
      <c r="S40" s="12">
        <v>10</v>
      </c>
      <c r="T40" s="10" t="s">
        <v>200</v>
      </c>
      <c r="U40" s="10" t="s">
        <v>201</v>
      </c>
      <c r="V40" s="10" t="s">
        <v>202</v>
      </c>
      <c r="W40">
        <f>+GETPIVOTDATA("mol",$N$17,"Cn",10,"Class","iso-paraffin")</f>
        <v>0.11190261553226462</v>
      </c>
      <c r="X40">
        <f t="shared" si="0"/>
        <v>1.1190261553226462</v>
      </c>
      <c r="Y40">
        <f t="shared" si="1"/>
        <v>0.85666264629884947</v>
      </c>
      <c r="Z40">
        <f t="shared" si="2"/>
        <v>0.26236350902379668</v>
      </c>
      <c r="AA40">
        <f t="shared" si="3"/>
        <v>1.0140200257531788E-2</v>
      </c>
      <c r="AB40">
        <f t="shared" si="4"/>
        <v>2.0315255648702415E-3</v>
      </c>
    </row>
    <row r="41" spans="1:35" x14ac:dyDescent="0.2">
      <c r="B41">
        <f>'5% CO'!B45</f>
        <v>7</v>
      </c>
      <c r="C41" t="str">
        <f>'5% CO'!H45</f>
        <v>Olefin</v>
      </c>
      <c r="D41" t="str">
        <f>'5% CO'!C45</f>
        <v>1-eptene</v>
      </c>
      <c r="E41">
        <f>+'10% CO'!G45</f>
        <v>4.8650424584918749E-4</v>
      </c>
      <c r="F41" t="s">
        <v>375</v>
      </c>
      <c r="G41">
        <f>VLOOKUP(Tabella10[[#This Row],[Name]],'10% CO'!$C$8:$I$47,7,FALSE)</f>
        <v>38</v>
      </c>
      <c r="N41">
        <v>7</v>
      </c>
      <c r="O41" t="s">
        <v>76</v>
      </c>
      <c r="P41">
        <v>1.4067555324488899E-5</v>
      </c>
      <c r="R41">
        <v>36</v>
      </c>
      <c r="S41" s="12">
        <v>10</v>
      </c>
      <c r="T41" s="11" t="s">
        <v>203</v>
      </c>
      <c r="U41" s="11" t="s">
        <v>204</v>
      </c>
      <c r="V41" s="11" t="s">
        <v>205</v>
      </c>
      <c r="W41">
        <f>+GETPIVOTDATA("mol",$N$17,"Cn",10,"Class","Olefin")</f>
        <v>0.12208657441896106</v>
      </c>
      <c r="X41">
        <f t="shared" si="0"/>
        <v>1.2208657441896107</v>
      </c>
      <c r="Y41">
        <f t="shared" si="1"/>
        <v>0.93462523124987451</v>
      </c>
      <c r="Z41">
        <f t="shared" si="2"/>
        <v>0.28624051293973624</v>
      </c>
      <c r="AA41">
        <f t="shared" si="3"/>
        <v>1.1063032865459507E-2</v>
      </c>
      <c r="AB41">
        <f t="shared" si="4"/>
        <v>2.2164092937402438E-3</v>
      </c>
    </row>
    <row r="42" spans="1:35" x14ac:dyDescent="0.2">
      <c r="B42">
        <f>'5% CO'!B46</f>
        <v>7</v>
      </c>
      <c r="C42" t="str">
        <f>'5% CO'!H46</f>
        <v>paraffin</v>
      </c>
      <c r="D42" t="str">
        <f>'5% CO'!C46</f>
        <v>Eptano</v>
      </c>
      <c r="E42">
        <f>+'10% CO'!G46</f>
        <v>1.4067555324488899E-5</v>
      </c>
      <c r="F42" t="s">
        <v>375</v>
      </c>
      <c r="G42">
        <f>VLOOKUP(Tabella10[[#This Row],[Name]],'10% CO'!$C$8:$I$47,7,FALSE)</f>
        <v>39</v>
      </c>
      <c r="N42">
        <v>8</v>
      </c>
      <c r="O42" t="s">
        <v>67</v>
      </c>
      <c r="P42">
        <v>9.7895729961102018E-2</v>
      </c>
      <c r="R42">
        <v>37</v>
      </c>
      <c r="S42" s="12">
        <v>10</v>
      </c>
      <c r="T42" s="10" t="s">
        <v>206</v>
      </c>
      <c r="U42" s="10" t="s">
        <v>207</v>
      </c>
      <c r="V42" s="10" t="s">
        <v>208</v>
      </c>
      <c r="W42">
        <f>+GETPIVOTDATA("mol",$N$17,"Cn",10,"Class","Naphthene")</f>
        <v>7.1027524700234226E-2</v>
      </c>
      <c r="X42">
        <f t="shared" si="0"/>
        <v>0.71027524700234224</v>
      </c>
      <c r="Y42">
        <f t="shared" si="1"/>
        <v>0.54374624739862121</v>
      </c>
      <c r="Z42">
        <f t="shared" si="2"/>
        <v>0.16652899960372106</v>
      </c>
      <c r="AA42">
        <f t="shared" si="3"/>
        <v>6.4362510280154923E-3</v>
      </c>
      <c r="AB42">
        <f t="shared" si="4"/>
        <v>1.2894625523419902E-3</v>
      </c>
    </row>
    <row r="43" spans="1:35" x14ac:dyDescent="0.2">
      <c r="B43">
        <f>'5% CO'!B47</f>
        <v>7</v>
      </c>
      <c r="C43" t="str">
        <f>'5% CO'!H47</f>
        <v>Olefin</v>
      </c>
      <c r="D43" t="str">
        <f>'5% CO'!C47</f>
        <v>2-Eptene</v>
      </c>
      <c r="E43">
        <f>+'10% CO'!G47</f>
        <v>9.6392545184616624E-3</v>
      </c>
      <c r="F43" t="s">
        <v>375</v>
      </c>
      <c r="G43">
        <f>VLOOKUP(Tabella10[[#This Row],[Name]],'10% CO'!$C$8:$I$47,7,FALSE)</f>
        <v>40</v>
      </c>
      <c r="N43">
        <v>8</v>
      </c>
      <c r="O43" t="s">
        <v>57</v>
      </c>
      <c r="P43">
        <v>0.12520149527311439</v>
      </c>
      <c r="R43">
        <v>38</v>
      </c>
      <c r="S43" s="12">
        <v>10</v>
      </c>
      <c r="T43" s="11" t="s">
        <v>209</v>
      </c>
      <c r="U43" s="11" t="s">
        <v>210</v>
      </c>
      <c r="V43" s="11" t="s">
        <v>211</v>
      </c>
      <c r="W43">
        <f>+GETPIVOTDATA("mol",$N$17,"Cn",10,"Class","Aromatic")</f>
        <v>8.6946602571342374E-2</v>
      </c>
      <c r="X43">
        <f t="shared" si="0"/>
        <v>0.86946602571342368</v>
      </c>
      <c r="Y43">
        <f t="shared" si="1"/>
        <v>0.66561363459806477</v>
      </c>
      <c r="Z43">
        <f t="shared" si="2"/>
        <v>0.20385239111535894</v>
      </c>
      <c r="AA43">
        <f t="shared" si="3"/>
        <v>7.8787788613505112E-3</v>
      </c>
      <c r="AB43">
        <f t="shared" si="4"/>
        <v>1.578463962277684E-3</v>
      </c>
    </row>
    <row r="44" spans="1:35" x14ac:dyDescent="0.2">
      <c r="A44" t="s">
        <v>338</v>
      </c>
      <c r="B44">
        <f>+'5% CO'!T2</f>
        <v>3</v>
      </c>
      <c r="C44" t="str">
        <f>+'5% CO'!U2</f>
        <v>paraffin</v>
      </c>
      <c r="D44" t="str">
        <f>+'5% CO'!R2</f>
        <v>Propane</v>
      </c>
      <c r="E44">
        <f>+'10% CO'!Z2</f>
        <v>2.5842849251163549E-2</v>
      </c>
      <c r="F44" t="s">
        <v>376</v>
      </c>
      <c r="G44">
        <f>VLOOKUP(Tabella10[[#This Row],[Name]],Tabella278[],5,FALSE)</f>
        <v>1</v>
      </c>
      <c r="N44">
        <v>8</v>
      </c>
      <c r="O44" t="s">
        <v>73</v>
      </c>
      <c r="P44">
        <v>5.6200501434464568E-2</v>
      </c>
      <c r="R44">
        <v>39</v>
      </c>
      <c r="S44" s="12">
        <v>11</v>
      </c>
      <c r="T44" s="11" t="s">
        <v>212</v>
      </c>
      <c r="U44" s="11" t="s">
        <v>213</v>
      </c>
      <c r="V44" s="11" t="s">
        <v>214</v>
      </c>
      <c r="W44">
        <f>+GETPIVOTDATA("mol",$N$17,"Cn",11,"Class","paraffin")</f>
        <v>0.10596828772352648</v>
      </c>
      <c r="X44">
        <f t="shared" si="0"/>
        <v>1.1656511649587913</v>
      </c>
      <c r="Y44">
        <f t="shared" si="1"/>
        <v>0.89235609631217205</v>
      </c>
      <c r="Z44">
        <f t="shared" si="2"/>
        <v>0.27329506864661923</v>
      </c>
      <c r="AA44">
        <f t="shared" si="3"/>
        <v>1.0562698813504809E-2</v>
      </c>
      <c r="AB44">
        <f t="shared" si="4"/>
        <v>2.1161705024238591E-3</v>
      </c>
    </row>
    <row r="45" spans="1:35" x14ac:dyDescent="0.2">
      <c r="B45">
        <f>+'5% CO'!T3</f>
        <v>4</v>
      </c>
      <c r="C45" t="str">
        <f>+'5% CO'!U3</f>
        <v>Olefin</v>
      </c>
      <c r="D45" t="str">
        <f>+'5% CO'!R3</f>
        <v>Butene-1</v>
      </c>
      <c r="E45">
        <f>+'10% CO'!Z3</f>
        <v>0.16248893020371405</v>
      </c>
      <c r="F45" t="s">
        <v>376</v>
      </c>
      <c r="G45">
        <f>VLOOKUP(Tabella10[[#This Row],[Name]],Tabella278[],5,FALSE)</f>
        <v>2</v>
      </c>
      <c r="N45">
        <v>8</v>
      </c>
      <c r="O45" t="s">
        <v>60</v>
      </c>
      <c r="P45">
        <v>0.3437150254983527</v>
      </c>
      <c r="R45">
        <v>40</v>
      </c>
      <c r="S45" s="12">
        <v>11</v>
      </c>
      <c r="T45" s="10" t="s">
        <v>215</v>
      </c>
      <c r="U45" s="10" t="s">
        <v>216</v>
      </c>
      <c r="V45" s="10" t="s">
        <v>217</v>
      </c>
      <c r="W45">
        <f>+GETPIVOTDATA("mol",$N$17,"Cn",11,"Class","iso-paraffin")</f>
        <v>0.115915366514968</v>
      </c>
      <c r="X45">
        <f t="shared" si="0"/>
        <v>1.275069031664648</v>
      </c>
      <c r="Y45">
        <f t="shared" si="1"/>
        <v>0.97612017885730962</v>
      </c>
      <c r="Z45">
        <f t="shared" si="2"/>
        <v>0.29894885280733841</v>
      </c>
      <c r="AA45">
        <f t="shared" si="3"/>
        <v>1.1554202966354036E-2</v>
      </c>
      <c r="AB45">
        <f t="shared" si="4"/>
        <v>2.314812144899518E-3</v>
      </c>
    </row>
    <row r="46" spans="1:35" x14ac:dyDescent="0.2">
      <c r="B46">
        <f>+'5% CO'!T4</f>
        <v>4</v>
      </c>
      <c r="C46" t="str">
        <f>+'5% CO'!U4</f>
        <v>paraffin</v>
      </c>
      <c r="D46" t="str">
        <f>+'5% CO'!R4</f>
        <v>n-Butane</v>
      </c>
      <c r="E46">
        <f>+'10% CO'!Z4</f>
        <v>1.5526964304761763E-2</v>
      </c>
      <c r="F46" t="s">
        <v>376</v>
      </c>
      <c r="G46">
        <f>VLOOKUP(Tabella10[[#This Row],[Name]],Tabella278[],5,FALSE)</f>
        <v>3</v>
      </c>
      <c r="N46">
        <v>8</v>
      </c>
      <c r="O46" t="s">
        <v>76</v>
      </c>
      <c r="P46">
        <v>2.9504924850879053E-2</v>
      </c>
      <c r="R46">
        <v>41</v>
      </c>
      <c r="S46" s="12">
        <v>11</v>
      </c>
      <c r="T46" s="10" t="s">
        <v>219</v>
      </c>
      <c r="U46" s="10" t="s">
        <v>220</v>
      </c>
      <c r="V46" s="10" t="s">
        <v>221</v>
      </c>
      <c r="W46">
        <f>+GETPIVOTDATA("mol",$N$17,"Cn",11,"Class","Aromatic")</f>
        <v>4.6463625305658326E-2</v>
      </c>
      <c r="X46">
        <f t="shared" si="0"/>
        <v>0.51109987836224158</v>
      </c>
      <c r="Y46">
        <f t="shared" si="1"/>
        <v>0.39126893704694199</v>
      </c>
      <c r="Z46">
        <f t="shared" si="2"/>
        <v>0.1198309413152996</v>
      </c>
      <c r="AA46">
        <f t="shared" si="3"/>
        <v>4.6313976608517837E-3</v>
      </c>
      <c r="AB46">
        <f t="shared" si="4"/>
        <v>9.2787149268695182E-4</v>
      </c>
    </row>
    <row r="47" spans="1:35" x14ac:dyDescent="0.2">
      <c r="B47">
        <f>+'5% CO'!T5</f>
        <v>4</v>
      </c>
      <c r="C47" t="str">
        <f>+'5% CO'!U5</f>
        <v>iso-paraffin</v>
      </c>
      <c r="D47" t="str">
        <f>+'5% CO'!R5</f>
        <v>i-Butane</v>
      </c>
      <c r="E47">
        <f>+'10% CO'!Z5</f>
        <v>9.0662519919708761E-3</v>
      </c>
      <c r="F47" t="s">
        <v>376</v>
      </c>
      <c r="G47">
        <f>VLOOKUP(Tabella10[[#This Row],[Name]],Tabella278[],5,FALSE)</f>
        <v>4</v>
      </c>
      <c r="N47">
        <v>9</v>
      </c>
      <c r="O47" t="s">
        <v>67</v>
      </c>
      <c r="P47">
        <v>8.574549938969897E-2</v>
      </c>
      <c r="R47">
        <v>42</v>
      </c>
      <c r="S47" s="12">
        <v>11</v>
      </c>
      <c r="T47" s="17" t="s">
        <v>65</v>
      </c>
      <c r="V47" s="16" t="s">
        <v>357</v>
      </c>
      <c r="W47">
        <f>+GETPIVOTDATA("mol",$N$17,"Cn",11,"Class","Olefin")</f>
        <v>7.4629839052743285E-2</v>
      </c>
      <c r="X47">
        <f t="shared" si="0"/>
        <v>0.82092822958017608</v>
      </c>
      <c r="Y47">
        <f t="shared" si="1"/>
        <v>0.62845586426066535</v>
      </c>
      <c r="Z47">
        <f t="shared" si="2"/>
        <v>0.19247236531951079</v>
      </c>
      <c r="AA47">
        <f t="shared" si="3"/>
        <v>7.438947343106443E-3</v>
      </c>
      <c r="AB47">
        <f t="shared" si="4"/>
        <v>1.4903464743725673E-3</v>
      </c>
    </row>
    <row r="48" spans="1:35" x14ac:dyDescent="0.2">
      <c r="B48">
        <f>+'5% CO'!T6</f>
        <v>5</v>
      </c>
      <c r="C48" t="str">
        <f>+'5% CO'!U6</f>
        <v>Olefin</v>
      </c>
      <c r="D48" t="str">
        <f>+'5% CO'!R6</f>
        <v>1,4-Pentadiene</v>
      </c>
      <c r="E48">
        <f>+'10% CO'!Z6</f>
        <v>0.35146568150603996</v>
      </c>
      <c r="F48" t="s">
        <v>376</v>
      </c>
      <c r="G48">
        <f>VLOOKUP(Tabella10[[#This Row],[Name]],Tabella278[],5,FALSE)</f>
        <v>5</v>
      </c>
      <c r="N48">
        <v>9</v>
      </c>
      <c r="O48" t="s">
        <v>57</v>
      </c>
      <c r="P48">
        <v>0.32918483586691982</v>
      </c>
      <c r="R48">
        <v>43</v>
      </c>
      <c r="S48" s="12">
        <v>12</v>
      </c>
      <c r="T48" s="10" t="s">
        <v>222</v>
      </c>
      <c r="U48" s="10" t="s">
        <v>223</v>
      </c>
      <c r="V48" s="10" t="s">
        <v>224</v>
      </c>
      <c r="W48">
        <f>+GETPIVOTDATA("mol",$N$17,"Cn",12,"Class","iso-paraffin")</f>
        <v>8.1706206310825619E-2</v>
      </c>
      <c r="X48">
        <f t="shared" si="0"/>
        <v>0.98047447572990742</v>
      </c>
      <c r="Y48">
        <f t="shared" si="1"/>
        <v>0.75059537707148838</v>
      </c>
      <c r="Z48">
        <f t="shared" si="2"/>
        <v>0.22987909865841902</v>
      </c>
      <c r="AA48">
        <f t="shared" si="3"/>
        <v>8.8846962906181035E-3</v>
      </c>
      <c r="AB48">
        <f t="shared" si="4"/>
        <v>1.7799932143442584E-3</v>
      </c>
    </row>
    <row r="49" spans="2:28" x14ac:dyDescent="0.2">
      <c r="B49">
        <f>+'5% CO'!T7</f>
        <v>5</v>
      </c>
      <c r="C49" t="str">
        <f>+'5% CO'!U7</f>
        <v>paraffin</v>
      </c>
      <c r="D49" t="str">
        <f>+'5% CO'!R7</f>
        <v>n-Pentane</v>
      </c>
      <c r="E49">
        <f>+'10% CO'!Z7</f>
        <v>3.0922002549818205E-2</v>
      </c>
      <c r="F49" t="s">
        <v>376</v>
      </c>
      <c r="G49">
        <f>VLOOKUP(Tabella10[[#This Row],[Name]],Tabella278[],5,FALSE)</f>
        <v>6</v>
      </c>
      <c r="N49">
        <v>9</v>
      </c>
      <c r="O49" t="s">
        <v>73</v>
      </c>
      <c r="P49">
        <v>3.4198166365833553E-2</v>
      </c>
      <c r="R49">
        <v>44</v>
      </c>
      <c r="S49" s="12">
        <v>12</v>
      </c>
      <c r="T49" s="11" t="s">
        <v>225</v>
      </c>
      <c r="U49" s="11" t="s">
        <v>226</v>
      </c>
      <c r="V49" s="11" t="s">
        <v>227</v>
      </c>
      <c r="W49">
        <f>+GETPIVOTDATA("mol",$N$17,"Cn",12,"Class","paraffin")</f>
        <v>0.11879535695414049</v>
      </c>
      <c r="X49">
        <f t="shared" si="0"/>
        <v>1.4255442834496859</v>
      </c>
      <c r="Y49">
        <f t="shared" si="1"/>
        <v>1.0913154553783386</v>
      </c>
      <c r="Z49">
        <f t="shared" si="2"/>
        <v>0.33422882807134724</v>
      </c>
      <c r="AA49">
        <f t="shared" si="3"/>
        <v>1.2917753925056031E-2</v>
      </c>
      <c r="AB49">
        <f t="shared" si="4"/>
        <v>2.5879910330135771E-3</v>
      </c>
    </row>
    <row r="50" spans="2:28" x14ac:dyDescent="0.2">
      <c r="B50">
        <f>+'5% CO'!T8</f>
        <v>5</v>
      </c>
      <c r="C50" t="str">
        <f>+'5% CO'!U8</f>
        <v>iso-paraffin</v>
      </c>
      <c r="D50" t="str">
        <f>+'5% CO'!R8</f>
        <v>(C5-IsoParaffin)</v>
      </c>
      <c r="E50">
        <f>+'10% CO'!Z8</f>
        <v>2.6161670562118062E-2</v>
      </c>
      <c r="F50" t="s">
        <v>376</v>
      </c>
      <c r="G50">
        <f>VLOOKUP(Tabella10[[#This Row],[Name]],Tabella278[],5,FALSE)</f>
        <v>7</v>
      </c>
      <c r="N50">
        <v>9</v>
      </c>
      <c r="O50" t="s">
        <v>60</v>
      </c>
      <c r="P50">
        <v>6.0663999787827771E-2</v>
      </c>
      <c r="R50">
        <v>45</v>
      </c>
      <c r="S50" s="12">
        <v>12</v>
      </c>
      <c r="T50" s="11" t="s">
        <v>228</v>
      </c>
      <c r="U50" s="11" t="s">
        <v>229</v>
      </c>
      <c r="V50" s="11" t="s">
        <v>230</v>
      </c>
      <c r="W50">
        <f>+GETPIVOTDATA("mol",$N$17,"Cn",12,"Class","Olefin")</f>
        <v>8.0255019654067172E-3</v>
      </c>
      <c r="X50">
        <f t="shared" si="0"/>
        <v>9.6306023584880607E-2</v>
      </c>
      <c r="Y50">
        <f t="shared" si="1"/>
        <v>7.37264027532544E-2</v>
      </c>
      <c r="Z50">
        <f t="shared" si="2"/>
        <v>2.2579620831626204E-2</v>
      </c>
      <c r="AA50">
        <f t="shared" si="3"/>
        <v>8.7268949033251044E-4</v>
      </c>
      <c r="AB50">
        <f t="shared" si="4"/>
        <v>1.7483786954673158E-4</v>
      </c>
    </row>
    <row r="51" spans="2:28" x14ac:dyDescent="0.2">
      <c r="B51">
        <f>+'5% CO'!T9</f>
        <v>5</v>
      </c>
      <c r="C51" t="str">
        <f>+'5% CO'!U9</f>
        <v>Naphthene</v>
      </c>
      <c r="D51" t="str">
        <f>+'5% CO'!R9</f>
        <v>Cyclopentane</v>
      </c>
      <c r="E51">
        <f>+'10% CO'!Z9</f>
        <v>1.0942533730002032E-2</v>
      </c>
      <c r="F51" t="s">
        <v>376</v>
      </c>
      <c r="G51">
        <f>VLOOKUP(Tabella10[[#This Row],[Name]],Tabella278[],5,FALSE)</f>
        <v>8</v>
      </c>
      <c r="N51">
        <v>9</v>
      </c>
      <c r="O51" t="s">
        <v>76</v>
      </c>
      <c r="P51">
        <v>6.1344523855475869E-2</v>
      </c>
      <c r="R51">
        <v>46</v>
      </c>
      <c r="S51" s="12">
        <v>12</v>
      </c>
      <c r="T51" s="10" t="s">
        <v>231</v>
      </c>
      <c r="U51" s="10" t="s">
        <v>232</v>
      </c>
      <c r="V51" s="10" t="s">
        <v>233</v>
      </c>
      <c r="W51">
        <f>+GETPIVOTDATA("mol",$N$17,"Cn",12,"Class","Aromatic")</f>
        <v>2.8287145968481486E-2</v>
      </c>
      <c r="X51">
        <f t="shared" si="0"/>
        <v>0.33944575162177781</v>
      </c>
      <c r="Y51">
        <f t="shared" si="1"/>
        <v>0.25986032093715561</v>
      </c>
      <c r="Z51">
        <f t="shared" si="2"/>
        <v>7.9585430684622219E-2</v>
      </c>
      <c r="AA51">
        <f t="shared" si="3"/>
        <v>3.0759315871582869E-3</v>
      </c>
      <c r="AB51">
        <f t="shared" si="4"/>
        <v>6.1624361416950729E-4</v>
      </c>
    </row>
    <row r="52" spans="2:28" x14ac:dyDescent="0.2">
      <c r="B52">
        <f>+'5% CO'!T10</f>
        <v>6</v>
      </c>
      <c r="C52" t="str">
        <f>+'5% CO'!U10</f>
        <v>iso-paraffin</v>
      </c>
      <c r="D52" t="str">
        <f>+'5% CO'!R10</f>
        <v>3-Methylpentane</v>
      </c>
      <c r="E52">
        <f>+'10% CO'!Z10</f>
        <v>0.35161593062959318</v>
      </c>
      <c r="F52" t="s">
        <v>376</v>
      </c>
      <c r="G52">
        <f>VLOOKUP(Tabella10[[#This Row],[Name]],Tabella278[],5,FALSE)</f>
        <v>9</v>
      </c>
      <c r="N52">
        <v>10</v>
      </c>
      <c r="O52" t="s">
        <v>67</v>
      </c>
      <c r="P52">
        <v>8.6946602571342374E-2</v>
      </c>
      <c r="R52">
        <v>47</v>
      </c>
      <c r="S52" s="12">
        <v>12</v>
      </c>
      <c r="V52" s="16" t="s">
        <v>355</v>
      </c>
      <c r="W52">
        <f>+GETPIVOTDATA("mol",$N$17,"Cn",12,"Class","Naphthene")</f>
        <v>7.3512132158017685E-3</v>
      </c>
      <c r="X52">
        <f t="shared" si="0"/>
        <v>8.8214558589621225E-2</v>
      </c>
      <c r="Y52">
        <f t="shared" si="1"/>
        <v>6.7532038321017507E-2</v>
      </c>
      <c r="Z52">
        <f t="shared" si="2"/>
        <v>2.0682520268603725E-2</v>
      </c>
      <c r="AA52">
        <f t="shared" si="3"/>
        <v>7.9936763361050959E-4</v>
      </c>
      <c r="AB52">
        <f t="shared" si="4"/>
        <v>1.6014829511906096E-4</v>
      </c>
    </row>
    <row r="53" spans="2:28" x14ac:dyDescent="0.2">
      <c r="B53">
        <f>+'5% CO'!T11</f>
        <v>6</v>
      </c>
      <c r="C53" t="str">
        <f>+'5% CO'!U11</f>
        <v>Olefin</v>
      </c>
      <c r="D53" t="str">
        <f>+'5% CO'!R11</f>
        <v>1t,4-Hexadiene</v>
      </c>
      <c r="E53">
        <f>+'10% CO'!Z11</f>
        <v>0.14262306437975525</v>
      </c>
      <c r="F53" t="s">
        <v>376</v>
      </c>
      <c r="G53">
        <f>VLOOKUP(Tabella10[[#This Row],[Name]],Tabella278[],5,FALSE)</f>
        <v>10</v>
      </c>
      <c r="N53">
        <v>10</v>
      </c>
      <c r="O53" t="s">
        <v>57</v>
      </c>
      <c r="P53">
        <v>0.11190261553226462</v>
      </c>
      <c r="R53">
        <v>48</v>
      </c>
      <c r="S53" s="12">
        <v>13</v>
      </c>
      <c r="T53" s="10" t="s">
        <v>234</v>
      </c>
      <c r="U53" s="10" t="s">
        <v>235</v>
      </c>
      <c r="V53" s="10" t="s">
        <v>236</v>
      </c>
      <c r="W53">
        <f>+GETPIVOTDATA("mol",$N$17,"Cn",13,"Class","iso-paraffin")</f>
        <v>2.9514791246294841E-2</v>
      </c>
      <c r="X53">
        <f t="shared" si="0"/>
        <v>0.38369228620183293</v>
      </c>
      <c r="Y53">
        <f t="shared" si="1"/>
        <v>0.29373294600727712</v>
      </c>
      <c r="Z53">
        <f t="shared" si="2"/>
        <v>8.9959340194555815E-2</v>
      </c>
      <c r="AA53">
        <f t="shared" si="3"/>
        <v>3.4768772837440831E-3</v>
      </c>
      <c r="AB53">
        <f t="shared" si="4"/>
        <v>6.9657057143386191E-4</v>
      </c>
    </row>
    <row r="54" spans="2:28" x14ac:dyDescent="0.2">
      <c r="B54">
        <f>+'5% CO'!T12</f>
        <v>6</v>
      </c>
      <c r="C54" t="str">
        <f>+'5% CO'!U12</f>
        <v>Naphthene</v>
      </c>
      <c r="D54" t="str">
        <f>+'5% CO'!R12</f>
        <v>Cyclohexane</v>
      </c>
      <c r="E54">
        <f>+'10% CO'!Z12</f>
        <v>3.5330531711637518E-2</v>
      </c>
      <c r="F54" t="s">
        <v>376</v>
      </c>
      <c r="G54">
        <f>VLOOKUP(Tabella10[[#This Row],[Name]],Tabella278[],5,FALSE)</f>
        <v>11</v>
      </c>
      <c r="N54">
        <v>10</v>
      </c>
      <c r="O54" t="s">
        <v>73</v>
      </c>
      <c r="P54">
        <v>7.1027524700234226E-2</v>
      </c>
      <c r="R54">
        <v>49</v>
      </c>
      <c r="S54" s="12">
        <v>13</v>
      </c>
      <c r="T54" s="11" t="s">
        <v>237</v>
      </c>
      <c r="U54" s="11" t="s">
        <v>238</v>
      </c>
      <c r="V54" s="11" t="s">
        <v>239</v>
      </c>
      <c r="W54">
        <f>+GETPIVOTDATA("mol",$N$17,"Cn",13,"Class","Olefin")</f>
        <v>2.5505704876361067E-3</v>
      </c>
      <c r="X54">
        <f t="shared" si="0"/>
        <v>3.3157416339269385E-2</v>
      </c>
      <c r="Y54">
        <f t="shared" si="1"/>
        <v>2.5383428162535984E-2</v>
      </c>
      <c r="Z54">
        <f t="shared" si="2"/>
        <v>7.7739881767334021E-3</v>
      </c>
      <c r="AA54">
        <f t="shared" si="3"/>
        <v>3.0046021721950351E-4</v>
      </c>
      <c r="AB54">
        <f t="shared" si="4"/>
        <v>6.0195321295997968E-5</v>
      </c>
    </row>
    <row r="55" spans="2:28" x14ac:dyDescent="0.2">
      <c r="B55">
        <f>+'5% CO'!T13</f>
        <v>6</v>
      </c>
      <c r="C55" t="str">
        <f>+'5% CO'!U13</f>
        <v>paraffin</v>
      </c>
      <c r="D55" t="str">
        <f>+'5% CO'!R13</f>
        <v>n-Hexane</v>
      </c>
      <c r="E55">
        <f>+'10% CO'!Z13</f>
        <v>3.9944279188553972E-3</v>
      </c>
      <c r="F55" t="s">
        <v>376</v>
      </c>
      <c r="G55">
        <f>VLOOKUP(Tabella10[[#This Row],[Name]],Tabella278[],5,FALSE)</f>
        <v>12</v>
      </c>
      <c r="N55">
        <v>10</v>
      </c>
      <c r="O55" t="s">
        <v>60</v>
      </c>
      <c r="P55">
        <v>0.12208657441896106</v>
      </c>
      <c r="R55">
        <v>50</v>
      </c>
      <c r="S55" s="12">
        <v>13</v>
      </c>
      <c r="T55" s="10" t="s">
        <v>240</v>
      </c>
      <c r="U55" s="10" t="s">
        <v>241</v>
      </c>
      <c r="V55" s="10" t="s">
        <v>242</v>
      </c>
      <c r="W55">
        <f>+GETPIVOTDATA("mol",$N$17,"Cn",13,"Class","paraffin")</f>
        <v>0.12332089436191727</v>
      </c>
      <c r="X55">
        <f t="shared" si="0"/>
        <v>1.6031716267049245</v>
      </c>
      <c r="Y55">
        <f t="shared" si="1"/>
        <v>1.2272968256119887</v>
      </c>
      <c r="Z55">
        <f t="shared" si="2"/>
        <v>0.37587480109293575</v>
      </c>
      <c r="AA55">
        <f t="shared" si="3"/>
        <v>1.4527347072860632E-2</v>
      </c>
      <c r="AB55">
        <f t="shared" si="4"/>
        <v>2.910462931571618E-3</v>
      </c>
    </row>
    <row r="56" spans="2:28" x14ac:dyDescent="0.2">
      <c r="B56">
        <f>+'5% CO'!T14</f>
        <v>6</v>
      </c>
      <c r="C56" t="str">
        <f>+'5% CO'!U14</f>
        <v>Aromatic</v>
      </c>
      <c r="D56" t="str">
        <f>+'5% CO'!R14</f>
        <v>Benzene</v>
      </c>
      <c r="E56">
        <f>+'10% CO'!Z14</f>
        <v>2.9316902156736862E-3</v>
      </c>
      <c r="F56" t="s">
        <v>376</v>
      </c>
      <c r="G56">
        <f>VLOOKUP(Tabella10[[#This Row],[Name]],Tabella278[],5,FALSE)</f>
        <v>13</v>
      </c>
      <c r="N56">
        <v>10</v>
      </c>
      <c r="O56" t="s">
        <v>76</v>
      </c>
      <c r="P56">
        <v>9.1872102183663887E-2</v>
      </c>
      <c r="R56">
        <v>51</v>
      </c>
      <c r="S56" s="12">
        <v>14</v>
      </c>
      <c r="T56" s="11" t="s">
        <v>243</v>
      </c>
      <c r="U56" s="11" t="s">
        <v>244</v>
      </c>
      <c r="V56" s="11" t="s">
        <v>245</v>
      </c>
      <c r="W56">
        <f>+GETPIVOTDATA("mol",$N$17,"Cn",14,"Class","iso-paraffin")</f>
        <v>6.71357059389274E-3</v>
      </c>
      <c r="X56">
        <f t="shared" si="0"/>
        <v>9.3989988314498354E-2</v>
      </c>
      <c r="Y56">
        <f t="shared" si="1"/>
        <v>7.195337815127352E-2</v>
      </c>
      <c r="Z56">
        <f t="shared" si="2"/>
        <v>2.2036610163224831E-2</v>
      </c>
      <c r="AA56">
        <f t="shared" si="3"/>
        <v>8.517024371403431E-4</v>
      </c>
      <c r="AB56">
        <f t="shared" si="4"/>
        <v>1.7063324498228953E-4</v>
      </c>
    </row>
    <row r="57" spans="2:28" x14ac:dyDescent="0.2">
      <c r="B57">
        <f>+'5% CO'!T15</f>
        <v>7</v>
      </c>
      <c r="C57" t="str">
        <f>+'5% CO'!U15</f>
        <v>iso-paraffin</v>
      </c>
      <c r="D57" t="str">
        <f>+'5% CO'!R15</f>
        <v>3-Ethylpentane</v>
      </c>
      <c r="E57">
        <f>+'10% CO'!Z15</f>
        <v>0.2998532752591046</v>
      </c>
      <c r="F57" t="s">
        <v>376</v>
      </c>
      <c r="G57">
        <f>VLOOKUP(Tabella10[[#This Row],[Name]],Tabella278[],5,FALSE)</f>
        <v>14</v>
      </c>
      <c r="N57">
        <v>11</v>
      </c>
      <c r="O57" t="s">
        <v>67</v>
      </c>
      <c r="P57">
        <v>4.6463625305658326E-2</v>
      </c>
      <c r="R57">
        <v>52</v>
      </c>
      <c r="S57" s="12">
        <v>14</v>
      </c>
      <c r="T57" s="10" t="s">
        <v>246</v>
      </c>
      <c r="U57" s="10" t="s">
        <v>247</v>
      </c>
      <c r="V57" s="10" t="s">
        <v>248</v>
      </c>
      <c r="W57">
        <f>+GETPIVOTDATA("mol",$N$17,"Cn",14,"Class","paraffin")</f>
        <v>0.12105812565802891</v>
      </c>
      <c r="X57">
        <f t="shared" si="0"/>
        <v>1.6948137592124048</v>
      </c>
      <c r="Y57">
        <f t="shared" si="1"/>
        <v>1.2974528191720252</v>
      </c>
      <c r="Z57">
        <f t="shared" si="2"/>
        <v>0.39736094004037964</v>
      </c>
      <c r="AA57">
        <f t="shared" si="3"/>
        <v>1.5357774110899952E-2</v>
      </c>
      <c r="AB57">
        <f t="shared" si="4"/>
        <v>3.0768337836939207E-3</v>
      </c>
    </row>
    <row r="58" spans="2:28" x14ac:dyDescent="0.2">
      <c r="B58">
        <f>+'5% CO'!T16</f>
        <v>7</v>
      </c>
      <c r="C58" t="str">
        <f>+'5% CO'!U16</f>
        <v>Olefin</v>
      </c>
      <c r="D58" t="str">
        <f>+'5% CO'!R16</f>
        <v>2,4-Dimethylpentene-1</v>
      </c>
      <c r="E58">
        <f>+'10% CO'!Z16</f>
        <v>0.20928969988417484</v>
      </c>
      <c r="F58" t="s">
        <v>376</v>
      </c>
      <c r="G58">
        <f>VLOOKUP(Tabella10[[#This Row],[Name]],Tabella278[],5,FALSE)</f>
        <v>15</v>
      </c>
      <c r="N58">
        <v>11</v>
      </c>
      <c r="O58" t="s">
        <v>57</v>
      </c>
      <c r="P58">
        <v>0.115915366514968</v>
      </c>
      <c r="R58">
        <v>53</v>
      </c>
      <c r="S58" s="12">
        <v>15</v>
      </c>
      <c r="T58" s="11" t="s">
        <v>249</v>
      </c>
      <c r="U58" s="11" t="s">
        <v>250</v>
      </c>
      <c r="V58" s="11" t="s">
        <v>251</v>
      </c>
      <c r="W58">
        <f>+GETPIVOTDATA("mol",$N$17,"Cn",15,"Class","iso-paraffin")</f>
        <v>5.2953654520605962E-3</v>
      </c>
      <c r="X58">
        <f t="shared" si="0"/>
        <v>7.9430481780908946E-2</v>
      </c>
      <c r="Y58">
        <f t="shared" si="1"/>
        <v>6.0807449759390758E-2</v>
      </c>
      <c r="Z58">
        <f t="shared" si="2"/>
        <v>1.8623032021518184E-2</v>
      </c>
      <c r="AA58">
        <f t="shared" si="3"/>
        <v>7.1976958534844602E-4</v>
      </c>
      <c r="AB58">
        <f t="shared" si="4"/>
        <v>1.4420132505423919E-4</v>
      </c>
    </row>
    <row r="59" spans="2:28" x14ac:dyDescent="0.2">
      <c r="B59">
        <f>+'5% CO'!T17</f>
        <v>7</v>
      </c>
      <c r="C59" t="str">
        <f>+'5% CO'!U17</f>
        <v>Naphthene</v>
      </c>
      <c r="D59" t="str">
        <f>+'5% CO'!R17</f>
        <v>1c,3-Dimethylcyclopentane</v>
      </c>
      <c r="E59">
        <f>+'10% CO'!Z17</f>
        <v>3.1904118772068897E-2</v>
      </c>
      <c r="F59" t="s">
        <v>376</v>
      </c>
      <c r="G59">
        <f>VLOOKUP(Tabella10[[#This Row],[Name]],Tabella278[],5,FALSE)</f>
        <v>16</v>
      </c>
      <c r="N59">
        <v>11</v>
      </c>
      <c r="O59" t="s">
        <v>60</v>
      </c>
      <c r="P59">
        <v>7.4629839052743285E-2</v>
      </c>
      <c r="R59">
        <v>54</v>
      </c>
      <c r="S59" s="12">
        <v>15</v>
      </c>
      <c r="T59" s="10" t="s">
        <v>252</v>
      </c>
      <c r="U59" s="10" t="s">
        <v>253</v>
      </c>
      <c r="V59" s="10" t="s">
        <v>254</v>
      </c>
      <c r="W59">
        <f>+GETPIVOTDATA("mol",$N$17,"Cn",15,"Class","paraffin")</f>
        <v>0.10748151343469854</v>
      </c>
      <c r="X59">
        <f t="shared" si="0"/>
        <v>1.6122227015204782</v>
      </c>
      <c r="Y59">
        <f t="shared" si="1"/>
        <v>1.2342258126302641</v>
      </c>
      <c r="Z59">
        <f t="shared" si="2"/>
        <v>0.37799688889021421</v>
      </c>
      <c r="AA59">
        <f t="shared" si="3"/>
        <v>1.4609364558099086E-2</v>
      </c>
      <c r="AB59">
        <f t="shared" si="4"/>
        <v>2.9268946206701175E-3</v>
      </c>
    </row>
    <row r="60" spans="2:28" x14ac:dyDescent="0.2">
      <c r="B60">
        <f>+'5% CO'!T18</f>
        <v>7</v>
      </c>
      <c r="C60" t="str">
        <f>+'5% CO'!U18</f>
        <v>Aromatic</v>
      </c>
      <c r="D60" t="str">
        <f>+'5% CO'!R18</f>
        <v>Toluene</v>
      </c>
      <c r="E60">
        <f>+'10% CO'!Z18</f>
        <v>7.8386067141575193E-3</v>
      </c>
      <c r="F60" t="s">
        <v>376</v>
      </c>
      <c r="G60">
        <f>VLOOKUP(Tabella10[[#This Row],[Name]],Tabella278[],5,FALSE)</f>
        <v>17</v>
      </c>
      <c r="N60">
        <v>11</v>
      </c>
      <c r="O60" t="s">
        <v>76</v>
      </c>
      <c r="P60">
        <v>0.10596828772352648</v>
      </c>
      <c r="R60">
        <v>55</v>
      </c>
      <c r="S60" s="12">
        <v>16</v>
      </c>
      <c r="T60" s="11" t="s">
        <v>255</v>
      </c>
      <c r="U60" s="11" t="s">
        <v>256</v>
      </c>
      <c r="V60" s="11" t="s">
        <v>257</v>
      </c>
      <c r="W60">
        <f>+GETPIVOTDATA("mol",$N$17,"Cn",16,"Class","iso-paraffin")</f>
        <v>1.3504098055946915E-2</v>
      </c>
      <c r="X60">
        <f t="shared" si="0"/>
        <v>0.21606556889515063</v>
      </c>
      <c r="Y60">
        <f t="shared" si="1"/>
        <v>0.16540748502023889</v>
      </c>
      <c r="Z60">
        <f t="shared" si="2"/>
        <v>5.0658083874911733E-2</v>
      </c>
      <c r="AA60">
        <f t="shared" si="3"/>
        <v>1.9579061015983562E-3</v>
      </c>
      <c r="AB60">
        <f t="shared" si="4"/>
        <v>3.9225421569540671E-4</v>
      </c>
    </row>
    <row r="61" spans="2:28" x14ac:dyDescent="0.2">
      <c r="B61">
        <f>+'5% CO'!T19</f>
        <v>8</v>
      </c>
      <c r="C61" t="str">
        <f>+'5% CO'!U19</f>
        <v>Olefin</v>
      </c>
      <c r="D61" t="str">
        <f>+'5% CO'!R19</f>
        <v>Octene-1</v>
      </c>
      <c r="E61">
        <f>+'10% CO'!Z19</f>
        <v>0.3437150254983527</v>
      </c>
      <c r="F61" t="s">
        <v>376</v>
      </c>
      <c r="G61">
        <f>VLOOKUP(Tabella10[[#This Row],[Name]],Tabella278[],5,FALSE)</f>
        <v>18</v>
      </c>
      <c r="N61">
        <v>12</v>
      </c>
      <c r="O61" t="s">
        <v>67</v>
      </c>
      <c r="P61">
        <v>2.8287145968481486E-2</v>
      </c>
      <c r="R61">
        <v>56</v>
      </c>
      <c r="S61" s="12">
        <v>16</v>
      </c>
      <c r="T61" s="10" t="s">
        <v>258</v>
      </c>
      <c r="U61" s="10" t="s">
        <v>259</v>
      </c>
      <c r="V61" s="10" t="s">
        <v>260</v>
      </c>
      <c r="W61">
        <f>+GETPIVOTDATA("mol",$N$17,"Cn",16,"Class","paraffin")</f>
        <v>8.7116595099703056E-2</v>
      </c>
      <c r="X61">
        <f t="shared" si="0"/>
        <v>1.3938655215952489</v>
      </c>
      <c r="Y61">
        <f t="shared" si="1"/>
        <v>1.0670640008143759</v>
      </c>
      <c r="Z61">
        <f t="shared" si="2"/>
        <v>0.32680152078087299</v>
      </c>
      <c r="AA61">
        <f t="shared" si="3"/>
        <v>1.2630692726721458E-2</v>
      </c>
      <c r="AB61">
        <f t="shared" si="4"/>
        <v>2.5304801211688322E-3</v>
      </c>
    </row>
    <row r="62" spans="2:28" x14ac:dyDescent="0.2">
      <c r="B62">
        <f>+'5% CO'!T20</f>
        <v>8</v>
      </c>
      <c r="C62" t="str">
        <f>+'5% CO'!U20</f>
        <v>Aromatic</v>
      </c>
      <c r="D62" t="str">
        <f>+'5% CO'!R20</f>
        <v>Ethylbenzene</v>
      </c>
      <c r="E62">
        <f>+'10% CO'!Z20</f>
        <v>6.4753707638692537E-2</v>
      </c>
      <c r="F62" t="s">
        <v>376</v>
      </c>
      <c r="G62">
        <f>VLOOKUP(Tabella10[[#This Row],[Name]],Tabella278[],5,FALSE)</f>
        <v>19</v>
      </c>
      <c r="N62">
        <v>12</v>
      </c>
      <c r="O62" t="s">
        <v>57</v>
      </c>
      <c r="P62">
        <v>8.1706206310825619E-2</v>
      </c>
      <c r="R62">
        <v>57</v>
      </c>
      <c r="S62" s="12">
        <v>17</v>
      </c>
      <c r="T62" s="11" t="s">
        <v>261</v>
      </c>
      <c r="U62" s="11" t="s">
        <v>262</v>
      </c>
      <c r="V62" s="11" t="s">
        <v>263</v>
      </c>
      <c r="W62">
        <f>+GETPIVOTDATA("mol",$N$17,"Cn",17,"Class","iso-paraffin")</f>
        <v>5.0021964304932274E-3</v>
      </c>
      <c r="X62">
        <f t="shared" si="0"/>
        <v>8.5037339318384864E-2</v>
      </c>
      <c r="Y62">
        <f t="shared" si="1"/>
        <v>6.5099740330641864E-2</v>
      </c>
      <c r="Z62">
        <f t="shared" si="2"/>
        <v>1.9937598987742996E-2</v>
      </c>
      <c r="AA62">
        <f t="shared" si="3"/>
        <v>7.7057685019657159E-4</v>
      </c>
      <c r="AB62">
        <f t="shared" si="4"/>
        <v>1.5438024211689136E-4</v>
      </c>
    </row>
    <row r="63" spans="2:28" x14ac:dyDescent="0.2">
      <c r="B63">
        <f>+'5% CO'!T21</f>
        <v>8</v>
      </c>
      <c r="C63" t="str">
        <f>+'5% CO'!U21</f>
        <v>iso-paraffin</v>
      </c>
      <c r="D63" t="str">
        <f>+'5% CO'!R21</f>
        <v>2-Methyl-3-ethylpentane</v>
      </c>
      <c r="E63">
        <f>+'10% CO'!Z21</f>
        <v>0.12520149527311439</v>
      </c>
      <c r="F63" t="s">
        <v>376</v>
      </c>
      <c r="G63">
        <f>VLOOKUP(Tabella10[[#This Row],[Name]],Tabella278[],5,FALSE)</f>
        <v>20</v>
      </c>
      <c r="N63">
        <v>12</v>
      </c>
      <c r="O63" t="s">
        <v>73</v>
      </c>
      <c r="P63">
        <v>7.3512132158017685E-3</v>
      </c>
      <c r="R63">
        <v>58</v>
      </c>
      <c r="S63" s="12">
        <v>17</v>
      </c>
      <c r="T63" s="10" t="s">
        <v>264</v>
      </c>
      <c r="U63" s="10" t="s">
        <v>265</v>
      </c>
      <c r="V63" s="10" t="s">
        <v>266</v>
      </c>
      <c r="W63">
        <f>+GETPIVOTDATA("mol",$N$17,"Cn",17,"Class","paraffin")</f>
        <v>7.5802751580260952E-2</v>
      </c>
      <c r="X63">
        <f t="shared" si="0"/>
        <v>1.2886467768644363</v>
      </c>
      <c r="Y63">
        <f t="shared" si="1"/>
        <v>0.98651452672692519</v>
      </c>
      <c r="Z63">
        <f t="shared" si="2"/>
        <v>0.30213225013751105</v>
      </c>
      <c r="AA63">
        <f t="shared" si="3"/>
        <v>1.1677239460824442E-2</v>
      </c>
      <c r="AB63">
        <f t="shared" si="4"/>
        <v>2.3394617353987776E-3</v>
      </c>
    </row>
    <row r="64" spans="2:28" x14ac:dyDescent="0.2">
      <c r="B64">
        <f>+'5% CO'!T22</f>
        <v>8</v>
      </c>
      <c r="C64" t="str">
        <f>+'5% CO'!U22</f>
        <v>Naphthene</v>
      </c>
      <c r="D64" t="str">
        <f>+'5% CO'!R22</f>
        <v>1c,2t,3-Trimethylcyclopentane</v>
      </c>
      <c r="E64">
        <f>+'10% CO'!Z22</f>
        <v>5.6200501434464568E-2</v>
      </c>
      <c r="F64" t="s">
        <v>376</v>
      </c>
      <c r="G64">
        <f>VLOOKUP(Tabella10[[#This Row],[Name]],Tabella278[],5,FALSE)</f>
        <v>21</v>
      </c>
      <c r="N64">
        <v>12</v>
      </c>
      <c r="O64" t="s">
        <v>60</v>
      </c>
      <c r="P64">
        <v>8.0255019654067172E-3</v>
      </c>
      <c r="R64">
        <v>59</v>
      </c>
      <c r="S64" s="12">
        <v>18</v>
      </c>
      <c r="T64" s="10" t="s">
        <v>267</v>
      </c>
      <c r="U64" s="10" t="s">
        <v>268</v>
      </c>
      <c r="V64" s="10" t="s">
        <v>269</v>
      </c>
      <c r="W64">
        <f>+GETPIVOTDATA("mol",$N$17,"Cn",18,"Class","paraffin")</f>
        <v>7.0145829820540129E-2</v>
      </c>
      <c r="X64">
        <f t="shared" si="0"/>
        <v>1.2626249367697224</v>
      </c>
      <c r="Y64">
        <f t="shared" si="1"/>
        <v>0.96659368904938614</v>
      </c>
      <c r="Z64">
        <f t="shared" si="2"/>
        <v>0.29603124772033629</v>
      </c>
      <c r="AA64">
        <f t="shared" si="3"/>
        <v>1.144143919076392E-2</v>
      </c>
      <c r="AB64">
        <f t="shared" si="4"/>
        <v>2.2922206292405982E-3</v>
      </c>
    </row>
    <row r="65" spans="2:28" x14ac:dyDescent="0.2">
      <c r="B65">
        <f>+'5% CO'!T23</f>
        <v>8</v>
      </c>
      <c r="C65" t="str">
        <f>+'5% CO'!U23</f>
        <v>paraffin</v>
      </c>
      <c r="D65" t="str">
        <f>+'5% CO'!R23</f>
        <v>n-Octane</v>
      </c>
      <c r="E65">
        <f>+'10% CO'!Z23</f>
        <v>1.2203160522741721E-3</v>
      </c>
      <c r="F65" t="s">
        <v>376</v>
      </c>
      <c r="G65">
        <f>VLOOKUP(Tabella10[[#This Row],[Name]],Tabella278[],5,FALSE)</f>
        <v>22</v>
      </c>
      <c r="N65">
        <v>12</v>
      </c>
      <c r="O65" t="s">
        <v>76</v>
      </c>
      <c r="P65">
        <v>0.11879535695414049</v>
      </c>
      <c r="R65">
        <v>60</v>
      </c>
      <c r="S65" s="12">
        <v>19</v>
      </c>
      <c r="T65" s="11" t="s">
        <v>270</v>
      </c>
      <c r="U65" s="11" t="s">
        <v>271</v>
      </c>
      <c r="V65" s="11" t="s">
        <v>272</v>
      </c>
      <c r="W65">
        <f>+GETPIVOTDATA("mol",$N$17,"Cn",19,"Class","paraffin")</f>
        <v>3.1678761854437465E-2</v>
      </c>
      <c r="X65">
        <f t="shared" si="0"/>
        <v>0.60189647523431189</v>
      </c>
      <c r="Y65">
        <f t="shared" si="1"/>
        <v>0.46077763671529859</v>
      </c>
      <c r="Z65">
        <f t="shared" si="2"/>
        <v>0.1411188385190133</v>
      </c>
      <c r="AA65">
        <f t="shared" si="3"/>
        <v>5.454162768356992E-3</v>
      </c>
      <c r="AB65">
        <f t="shared" si="4"/>
        <v>1.0927073250501771E-3</v>
      </c>
    </row>
    <row r="66" spans="2:28" x14ac:dyDescent="0.2">
      <c r="B66">
        <f>+'5% CO'!T24</f>
        <v>9</v>
      </c>
      <c r="C66" t="str">
        <f>+'5% CO'!U24</f>
        <v>iso-paraffin</v>
      </c>
      <c r="D66" t="str">
        <f>+'5% CO'!R24</f>
        <v>I8 (C9)</v>
      </c>
      <c r="E66">
        <f>+'10% CO'!Z24</f>
        <v>0.32918483586691982</v>
      </c>
      <c r="F66" t="s">
        <v>376</v>
      </c>
      <c r="G66">
        <f>VLOOKUP(Tabella10[[#This Row],[Name]],Tabella278[],5,FALSE)</f>
        <v>23</v>
      </c>
      <c r="N66">
        <v>13</v>
      </c>
      <c r="O66" t="s">
        <v>57</v>
      </c>
      <c r="P66">
        <v>2.9514791246294841E-2</v>
      </c>
      <c r="R66">
        <v>61</v>
      </c>
      <c r="S66" s="12">
        <v>20</v>
      </c>
      <c r="T66" s="10" t="s">
        <v>273</v>
      </c>
      <c r="U66" s="10" t="s">
        <v>274</v>
      </c>
      <c r="V66" s="10" t="s">
        <v>275</v>
      </c>
      <c r="W66">
        <f>+GETPIVOTDATA("mol",$N$17,"Cn",20,"Class","paraffin")</f>
        <v>2.4890455742772294E-2</v>
      </c>
      <c r="X66">
        <f t="shared" si="0"/>
        <v>0.49780911485544588</v>
      </c>
      <c r="Y66">
        <f t="shared" si="1"/>
        <v>0.38109428600513412</v>
      </c>
      <c r="Z66">
        <f t="shared" si="2"/>
        <v>0.11671482885031174</v>
      </c>
      <c r="AA66">
        <f t="shared" si="3"/>
        <v>4.5109616881148047E-3</v>
      </c>
      <c r="AB66">
        <f t="shared" si="4"/>
        <v>9.0374290041743974E-4</v>
      </c>
    </row>
    <row r="67" spans="2:28" x14ac:dyDescent="0.2">
      <c r="B67">
        <f>+'5% CO'!T25</f>
        <v>9</v>
      </c>
      <c r="C67" t="str">
        <f>+'5% CO'!U25</f>
        <v>Olefin</v>
      </c>
      <c r="D67" t="str">
        <f>+'5% CO'!R25</f>
        <v>3,5,5-Trimethylhexene-1</v>
      </c>
      <c r="E67">
        <f>+'10% CO'!Z25</f>
        <v>6.0663999787827771E-2</v>
      </c>
      <c r="F67" t="s">
        <v>376</v>
      </c>
      <c r="G67">
        <f>VLOOKUP(Tabella10[[#This Row],[Name]],Tabella278[],5,FALSE)</f>
        <v>24</v>
      </c>
      <c r="N67">
        <v>13</v>
      </c>
      <c r="O67" t="s">
        <v>60</v>
      </c>
      <c r="P67">
        <v>2.5505704876361067E-3</v>
      </c>
      <c r="R67">
        <v>62</v>
      </c>
      <c r="S67" s="12">
        <v>21</v>
      </c>
      <c r="T67" s="11" t="s">
        <v>276</v>
      </c>
      <c r="U67" s="11" t="s">
        <v>277</v>
      </c>
      <c r="V67" s="11" t="s">
        <v>278</v>
      </c>
      <c r="W67">
        <f>+GETPIVOTDATA("mol",$N$17,"Cn",21,"Class","paraffin")</f>
        <v>2.2627687038883907E-2</v>
      </c>
      <c r="X67">
        <f t="shared" si="0"/>
        <v>0.47518142781656203</v>
      </c>
      <c r="Y67">
        <f t="shared" si="1"/>
        <v>0.36377181845944628</v>
      </c>
      <c r="Z67">
        <f t="shared" si="2"/>
        <v>0.11140960935711577</v>
      </c>
      <c r="AA67">
        <f t="shared" si="3"/>
        <v>4.305917975018678E-3</v>
      </c>
      <c r="AB67">
        <f t="shared" si="4"/>
        <v>8.6266367767119255E-4</v>
      </c>
    </row>
    <row r="68" spans="2:28" x14ac:dyDescent="0.2">
      <c r="B68">
        <f>+'5% CO'!T26</f>
        <v>9</v>
      </c>
      <c r="C68" t="str">
        <f>+'5% CO'!U26</f>
        <v>Aromatic</v>
      </c>
      <c r="D68" t="str">
        <f>+'5% CO'!R26</f>
        <v>1,3-Methylethylbenzene</v>
      </c>
      <c r="E68">
        <f>+'10% CO'!Z26</f>
        <v>8.5458769786887961E-2</v>
      </c>
      <c r="F68" t="s">
        <v>376</v>
      </c>
      <c r="G68">
        <f>VLOOKUP(Tabella10[[#This Row],[Name]],Tabella278[],5,FALSE)</f>
        <v>25</v>
      </c>
      <c r="N68">
        <v>13</v>
      </c>
      <c r="O68" t="s">
        <v>76</v>
      </c>
      <c r="P68">
        <v>0.12332089436191727</v>
      </c>
      <c r="R68">
        <v>63</v>
      </c>
      <c r="S68" s="12">
        <v>22</v>
      </c>
      <c r="T68" s="10" t="s">
        <v>279</v>
      </c>
      <c r="U68" s="10" t="s">
        <v>280</v>
      </c>
      <c r="V68" s="10" t="s">
        <v>281</v>
      </c>
      <c r="W68">
        <f>+GETPIVOTDATA("mol",$N$17,"Cn",22,"Class","paraffin")</f>
        <v>2.0364918334995517E-2</v>
      </c>
      <c r="X68">
        <f t="shared" si="0"/>
        <v>0.44802820336990135</v>
      </c>
      <c r="Y68">
        <f t="shared" si="1"/>
        <v>0.34298485740462076</v>
      </c>
      <c r="Z68">
        <f t="shared" si="2"/>
        <v>0.10504334596528059</v>
      </c>
      <c r="AA68">
        <f t="shared" si="3"/>
        <v>4.0598655193033245E-3</v>
      </c>
      <c r="AB68">
        <f t="shared" si="4"/>
        <v>8.1336861037569592E-4</v>
      </c>
    </row>
    <row r="69" spans="2:28" x14ac:dyDescent="0.2">
      <c r="B69">
        <f>+'5% CO'!T27</f>
        <v>9</v>
      </c>
      <c r="C69" t="str">
        <f>+'5% CO'!U27</f>
        <v>paraffin</v>
      </c>
      <c r="D69" t="str">
        <f>+'5% CO'!R27</f>
        <v>n-Nonane</v>
      </c>
      <c r="E69">
        <f>+'10% CO'!Z27</f>
        <v>2.6271608945205818E-2</v>
      </c>
      <c r="F69" t="s">
        <v>376</v>
      </c>
      <c r="G69">
        <f>VLOOKUP(Tabella10[[#This Row],[Name]],Tabella278[],5,FALSE)</f>
        <v>26</v>
      </c>
      <c r="N69">
        <v>14</v>
      </c>
      <c r="O69" t="s">
        <v>57</v>
      </c>
      <c r="P69">
        <v>6.71357059389274E-3</v>
      </c>
      <c r="R69">
        <v>64</v>
      </c>
      <c r="S69" s="12">
        <v>23</v>
      </c>
      <c r="T69" s="11" t="s">
        <v>282</v>
      </c>
      <c r="U69" s="11" t="s">
        <v>283</v>
      </c>
      <c r="V69" s="11" t="s">
        <v>284</v>
      </c>
      <c r="W69">
        <f>+GETPIVOTDATA("mol",$N$17,"Cn",23,"Class","paraffin")</f>
        <v>1.8102149631107126E-2</v>
      </c>
      <c r="X69">
        <f t="shared" si="0"/>
        <v>0.41634944151546388</v>
      </c>
      <c r="Y69">
        <f t="shared" si="1"/>
        <v>0.31873340284065771</v>
      </c>
      <c r="Z69">
        <f t="shared" si="2"/>
        <v>9.7616038674806199E-2</v>
      </c>
      <c r="AA69">
        <f t="shared" si="3"/>
        <v>3.7728043209687466E-3</v>
      </c>
      <c r="AB69">
        <f t="shared" si="4"/>
        <v>7.5585769853094963E-4</v>
      </c>
    </row>
    <row r="70" spans="2:28" x14ac:dyDescent="0.2">
      <c r="B70">
        <f>+'5% CO'!T28</f>
        <v>9</v>
      </c>
      <c r="C70" t="str">
        <f>+'5% CO'!U28</f>
        <v>Naphthene</v>
      </c>
      <c r="D70" t="str">
        <f>+'5% CO'!R28</f>
        <v>1,1,3-Trimethylcyclohexane</v>
      </c>
      <c r="E70">
        <f>+'10% CO'!Z28</f>
        <v>3.4198166365833553E-2</v>
      </c>
      <c r="F70" t="s">
        <v>376</v>
      </c>
      <c r="G70">
        <f>VLOOKUP(Tabella10[[#This Row],[Name]],Tabella278[],5,FALSE)</f>
        <v>27</v>
      </c>
      <c r="N70">
        <v>14</v>
      </c>
      <c r="O70" t="s">
        <v>76</v>
      </c>
      <c r="P70">
        <v>0.12105812565802891</v>
      </c>
      <c r="R70">
        <v>65</v>
      </c>
      <c r="S70" s="12">
        <v>24</v>
      </c>
      <c r="T70" s="10" t="s">
        <v>285</v>
      </c>
      <c r="U70" s="10" t="s">
        <v>286</v>
      </c>
      <c r="V70" s="10" t="s">
        <v>287</v>
      </c>
      <c r="W70">
        <f>+GETPIVOTDATA("mol",$N$17,"Cn",24,"Class","paraffin")</f>
        <v>1.6970765279162928E-2</v>
      </c>
      <c r="X70">
        <f t="shared" si="0"/>
        <v>0.40729836669991026</v>
      </c>
      <c r="Y70">
        <f t="shared" si="1"/>
        <v>0.3118044158223825</v>
      </c>
      <c r="Z70">
        <f t="shared" si="2"/>
        <v>9.5493950877527795E-2</v>
      </c>
      <c r="AA70">
        <f t="shared" si="3"/>
        <v>3.690786835730295E-3</v>
      </c>
      <c r="AB70">
        <f t="shared" si="4"/>
        <v>7.3942600943245076E-4</v>
      </c>
    </row>
    <row r="71" spans="2:28" x14ac:dyDescent="0.2">
      <c r="B71">
        <f>+'5% CO'!T29</f>
        <v>10</v>
      </c>
      <c r="C71" t="str">
        <f>+'5% CO'!U29</f>
        <v>Olefin</v>
      </c>
      <c r="D71" t="str">
        <f>+'5% CO'!R29</f>
        <v>Decene-1</v>
      </c>
      <c r="E71">
        <f>+'10% CO'!Z29</f>
        <v>0.12208657441896106</v>
      </c>
      <c r="F71" t="s">
        <v>376</v>
      </c>
      <c r="G71">
        <f>VLOOKUP(Tabella10[[#This Row],[Name]],Tabella278[],5,FALSE)</f>
        <v>28</v>
      </c>
      <c r="N71">
        <v>15</v>
      </c>
      <c r="O71" t="s">
        <v>57</v>
      </c>
      <c r="P71">
        <v>5.2953654520605962E-3</v>
      </c>
      <c r="R71">
        <v>66</v>
      </c>
      <c r="S71" s="12">
        <v>25</v>
      </c>
      <c r="T71" s="11" t="s">
        <v>288</v>
      </c>
      <c r="U71" s="11" t="s">
        <v>289</v>
      </c>
      <c r="V71" s="11" t="s">
        <v>290</v>
      </c>
      <c r="W71">
        <f>+GETPIVOTDATA("mol",$N$17,"Cn",25,"Class","paraffin")</f>
        <v>1.4707996575274537E-2</v>
      </c>
      <c r="X71">
        <f t="shared" ref="X71:X73" si="5">+W71*S71</f>
        <v>0.36769991438186345</v>
      </c>
      <c r="Y71">
        <f t="shared" ref="Y71:Y73" si="6">X71*$Y$4</f>
        <v>0.28149009761742866</v>
      </c>
      <c r="Z71">
        <f t="shared" ref="Z71:Z73" si="7">+X71*$Z$4</f>
        <v>8.6209816764434816E-2</v>
      </c>
      <c r="AA71">
        <f t="shared" ref="AA71:AA73" si="8">+Y71/$AA$3</f>
        <v>3.3319603378120723E-3</v>
      </c>
      <c r="AB71">
        <f t="shared" ref="AB71:AB73" si="9">+Z71/$AB$3</f>
        <v>6.6753736962651803E-4</v>
      </c>
    </row>
    <row r="72" spans="2:28" x14ac:dyDescent="0.2">
      <c r="B72">
        <f>+'5% CO'!T30</f>
        <v>10</v>
      </c>
      <c r="C72" t="str">
        <f>+'5% CO'!U30</f>
        <v>iso-paraffin</v>
      </c>
      <c r="D72" t="str">
        <f>+'5% CO'!R30</f>
        <v>I15 (C10)</v>
      </c>
      <c r="E72">
        <f>+'10% CO'!Z30</f>
        <v>0.11190261553226462</v>
      </c>
      <c r="F72" t="s">
        <v>376</v>
      </c>
      <c r="G72">
        <f>VLOOKUP(Tabella10[[#This Row],[Name]],Tabella278[],5,FALSE)</f>
        <v>29</v>
      </c>
      <c r="N72">
        <v>15</v>
      </c>
      <c r="O72" t="s">
        <v>76</v>
      </c>
      <c r="P72">
        <v>0.10748151343469854</v>
      </c>
      <c r="R72">
        <v>67</v>
      </c>
      <c r="S72" s="12">
        <v>26</v>
      </c>
      <c r="T72" s="10" t="s">
        <v>291</v>
      </c>
      <c r="U72" s="10" t="s">
        <v>292</v>
      </c>
      <c r="V72" s="10" t="s">
        <v>293</v>
      </c>
      <c r="W72">
        <f>+GETPIVOTDATA("mol",$N$17,"Cn",26,"Class","paraffin")</f>
        <v>1.2445227871386149E-2</v>
      </c>
      <c r="X72">
        <f t="shared" si="5"/>
        <v>0.32357592465603985</v>
      </c>
      <c r="Y72">
        <f t="shared" si="6"/>
        <v>0.24771128590333721</v>
      </c>
      <c r="Z72">
        <f t="shared" si="7"/>
        <v>7.5864638752702634E-2</v>
      </c>
      <c r="AA72">
        <f t="shared" si="8"/>
        <v>2.9321250972746235E-3</v>
      </c>
      <c r="AB72">
        <f t="shared" si="9"/>
        <v>5.8743288527133587E-4</v>
      </c>
    </row>
    <row r="73" spans="2:28" x14ac:dyDescent="0.2">
      <c r="B73">
        <f>+'5% CO'!T31</f>
        <v>10</v>
      </c>
      <c r="C73" t="str">
        <f>+'5% CO'!U31</f>
        <v>Aromatic</v>
      </c>
      <c r="D73" t="str">
        <f>+'5% CO'!R31</f>
        <v>1,2-Methyl-n-propylbenzene</v>
      </c>
      <c r="E73">
        <f>+'10% CO'!Z31</f>
        <v>8.6946602571342374E-2</v>
      </c>
      <c r="F73" t="s">
        <v>376</v>
      </c>
      <c r="G73">
        <f>VLOOKUP(Tabella10[[#This Row],[Name]],Tabella278[],5,FALSE)</f>
        <v>30</v>
      </c>
      <c r="N73">
        <v>16</v>
      </c>
      <c r="O73" t="s">
        <v>57</v>
      </c>
      <c r="P73">
        <v>1.3504098055946915E-2</v>
      </c>
      <c r="R73">
        <v>68</v>
      </c>
      <c r="S73" s="12">
        <v>27</v>
      </c>
      <c r="T73" s="11" t="s">
        <v>294</v>
      </c>
      <c r="U73" s="11" t="s">
        <v>295</v>
      </c>
      <c r="V73" s="11" t="s">
        <v>296</v>
      </c>
      <c r="W73">
        <f>+GETPIVOTDATA("mol",$N$17,"Cn",27,"Class","paraffin")</f>
        <v>1.0182459167497758E-2</v>
      </c>
      <c r="X73">
        <f t="shared" si="5"/>
        <v>0.27492639752243947</v>
      </c>
      <c r="Y73">
        <f t="shared" si="6"/>
        <v>0.21046798068010819</v>
      </c>
      <c r="Z73">
        <f t="shared" si="7"/>
        <v>6.4458416842331265E-2</v>
      </c>
      <c r="AA73">
        <f t="shared" si="8"/>
        <v>2.4912811141179492E-3</v>
      </c>
      <c r="AB73">
        <f t="shared" si="9"/>
        <v>4.9911255636690428E-4</v>
      </c>
    </row>
    <row r="74" spans="2:28" x14ac:dyDescent="0.2">
      <c r="B74">
        <f>+'5% CO'!T32</f>
        <v>10</v>
      </c>
      <c r="C74" t="str">
        <f>+'5% CO'!U32</f>
        <v>Naphthene</v>
      </c>
      <c r="D74" t="str">
        <f>+'5% CO'!R32</f>
        <v>Sec-butylcyclohexane</v>
      </c>
      <c r="E74">
        <f>+'10% CO'!Z32</f>
        <v>7.1027524700234226E-2</v>
      </c>
      <c r="F74" t="s">
        <v>376</v>
      </c>
      <c r="G74">
        <f>VLOOKUP(Tabella10[[#This Row],[Name]],Tabella278[],5,FALSE)</f>
        <v>31</v>
      </c>
      <c r="N74">
        <v>16</v>
      </c>
      <c r="O74" t="s">
        <v>76</v>
      </c>
      <c r="P74">
        <v>8.7116595099703056E-2</v>
      </c>
      <c r="S74" s="12"/>
    </row>
    <row r="75" spans="2:28" x14ac:dyDescent="0.2">
      <c r="B75">
        <f>+'5% CO'!T33</f>
        <v>11</v>
      </c>
      <c r="C75" t="str">
        <f>+'5% CO'!U33</f>
        <v>Olefin</v>
      </c>
      <c r="D75" t="str">
        <f>+'5% CO'!R33</f>
        <v>Undecene-1</v>
      </c>
      <c r="E75">
        <f>+'10% CO'!Z33</f>
        <v>7.4629839052743285E-2</v>
      </c>
      <c r="F75" t="s">
        <v>376</v>
      </c>
      <c r="G75">
        <f>VLOOKUP(Tabella10[[#This Row],[Name]],Tabella278[],5,FALSE)</f>
        <v>32</v>
      </c>
      <c r="N75">
        <v>17</v>
      </c>
      <c r="O75" t="s">
        <v>57</v>
      </c>
      <c r="P75">
        <v>5.0021964304932274E-3</v>
      </c>
      <c r="S75" s="12"/>
    </row>
    <row r="76" spans="2:28" x14ac:dyDescent="0.2">
      <c r="B76">
        <f>+'5% CO'!T34</f>
        <v>11</v>
      </c>
      <c r="C76" t="str">
        <f>+'5% CO'!U34</f>
        <v>iso-paraffin</v>
      </c>
      <c r="D76" t="str">
        <f>+'5% CO'!R34</f>
        <v>I26 (C11)</v>
      </c>
      <c r="E76">
        <f>+'10% CO'!Z34</f>
        <v>0.115915366514968</v>
      </c>
      <c r="F76" t="s">
        <v>376</v>
      </c>
      <c r="G76">
        <f>VLOOKUP(Tabella10[[#This Row],[Name]],Tabella278[],5,FALSE)</f>
        <v>33</v>
      </c>
      <c r="N76">
        <v>17</v>
      </c>
      <c r="O76" t="s">
        <v>76</v>
      </c>
      <c r="P76">
        <v>7.5802751580260952E-2</v>
      </c>
      <c r="S76" s="12"/>
    </row>
    <row r="77" spans="2:28" x14ac:dyDescent="0.2">
      <c r="B77">
        <f>+'5% CO'!T35</f>
        <v>11</v>
      </c>
      <c r="C77" t="str">
        <f>+'5% CO'!U35</f>
        <v>Aromatic</v>
      </c>
      <c r="D77" t="str">
        <f>+'5% CO'!R35</f>
        <v>1,2-Ethyl-i-propylbenzene</v>
      </c>
      <c r="E77">
        <f>+'10% CO'!Z35</f>
        <v>4.6463625305658326E-2</v>
      </c>
      <c r="F77" t="s">
        <v>376</v>
      </c>
      <c r="G77">
        <f>VLOOKUP(Tabella10[[#This Row],[Name]],Tabella278[],5,FALSE)</f>
        <v>34</v>
      </c>
      <c r="N77">
        <v>18</v>
      </c>
      <c r="O77" t="s">
        <v>76</v>
      </c>
      <c r="P77">
        <v>7.0145829820540129E-2</v>
      </c>
    </row>
    <row r="78" spans="2:28" x14ac:dyDescent="0.2">
      <c r="B78">
        <f>+'5% CO'!T36</f>
        <v>11</v>
      </c>
      <c r="C78" t="str">
        <f>+'5% CO'!U36</f>
        <v>paraffin</v>
      </c>
      <c r="D78" t="str">
        <f>+'5% CO'!R36</f>
        <v>n-Undecane</v>
      </c>
      <c r="E78">
        <f>+'10% CO'!Z36</f>
        <v>3.012311696604712E-3</v>
      </c>
      <c r="F78" t="s">
        <v>376</v>
      </c>
      <c r="G78">
        <f>VLOOKUP(Tabella10[[#This Row],[Name]],Tabella278[],5,FALSE)</f>
        <v>35</v>
      </c>
      <c r="N78">
        <v>19</v>
      </c>
      <c r="O78" t="s">
        <v>76</v>
      </c>
      <c r="P78">
        <v>3.1678761854437465E-2</v>
      </c>
    </row>
    <row r="79" spans="2:28" x14ac:dyDescent="0.2">
      <c r="B79">
        <f>+'5% CO'!T37</f>
        <v>12</v>
      </c>
      <c r="C79" t="str">
        <f>+'5% CO'!U37</f>
        <v>iso-paraffin</v>
      </c>
      <c r="D79" t="str">
        <f>+'5% CO'!R37</f>
        <v>I47 (C12)</v>
      </c>
      <c r="E79">
        <f>+'10% CO'!Z37</f>
        <v>8.1706206310825619E-2</v>
      </c>
      <c r="F79" t="s">
        <v>376</v>
      </c>
      <c r="G79">
        <f>VLOOKUP(Tabella10[[#This Row],[Name]],Tabella278[],5,FALSE)</f>
        <v>36</v>
      </c>
      <c r="N79">
        <v>20</v>
      </c>
      <c r="O79" t="s">
        <v>76</v>
      </c>
      <c r="P79">
        <v>2.4890455742772294E-2</v>
      </c>
    </row>
    <row r="80" spans="2:28" x14ac:dyDescent="0.2">
      <c r="B80">
        <f>+'5% CO'!T38</f>
        <v>12</v>
      </c>
      <c r="C80" t="str">
        <f>+'5% CO'!U38</f>
        <v>Olefin</v>
      </c>
      <c r="D80" t="str">
        <f>+'5% CO'!R38</f>
        <v>Dodecene-1</v>
      </c>
      <c r="E80">
        <f>+'10% CO'!Z38</f>
        <v>8.0255019654067172E-3</v>
      </c>
      <c r="F80" t="s">
        <v>376</v>
      </c>
      <c r="G80">
        <f>VLOOKUP(Tabella10[[#This Row],[Name]],Tabella278[],5,FALSE)</f>
        <v>37</v>
      </c>
      <c r="N80">
        <v>21</v>
      </c>
      <c r="O80" t="s">
        <v>76</v>
      </c>
      <c r="P80">
        <v>2.2627687038883907E-2</v>
      </c>
    </row>
    <row r="81" spans="1:16" x14ac:dyDescent="0.2">
      <c r="B81">
        <f>+'5% CO'!T39</f>
        <v>12</v>
      </c>
      <c r="C81" t="str">
        <f>+'5% CO'!U39</f>
        <v>Naphthene</v>
      </c>
      <c r="D81" t="str">
        <f>+'5% CO'!R39</f>
        <v>1t-M-2-(4-MP)cyclopentane</v>
      </c>
      <c r="E81">
        <f>+'10% CO'!Z39</f>
        <v>7.3512132158017685E-3</v>
      </c>
      <c r="F81" t="s">
        <v>376</v>
      </c>
      <c r="G81">
        <f>VLOOKUP(Tabella10[[#This Row],[Name]],Tabella278[],5,FALSE)</f>
        <v>38</v>
      </c>
      <c r="N81">
        <v>22</v>
      </c>
      <c r="O81" t="s">
        <v>76</v>
      </c>
      <c r="P81">
        <v>2.0364918334995517E-2</v>
      </c>
    </row>
    <row r="82" spans="1:16" x14ac:dyDescent="0.2">
      <c r="B82">
        <f>+'5% CO'!T40</f>
        <v>12</v>
      </c>
      <c r="C82" t="str">
        <f>+'5% CO'!U40</f>
        <v>Aromatic</v>
      </c>
      <c r="D82" t="str">
        <f>+'5% CO'!R40</f>
        <v>1,3-Di-i-propylbenzene</v>
      </c>
      <c r="E82">
        <f>+'10% CO'!Z40</f>
        <v>2.8287145968481486E-2</v>
      </c>
      <c r="F82" t="s">
        <v>376</v>
      </c>
      <c r="G82">
        <f>VLOOKUP(Tabella10[[#This Row],[Name]],Tabella278[],5,FALSE)</f>
        <v>39</v>
      </c>
      <c r="N82">
        <v>23</v>
      </c>
      <c r="O82" t="s">
        <v>76</v>
      </c>
      <c r="P82">
        <v>1.8102149631107126E-2</v>
      </c>
    </row>
    <row r="83" spans="1:16" x14ac:dyDescent="0.2">
      <c r="B83">
        <f>+'5% CO'!T41</f>
        <v>13</v>
      </c>
      <c r="C83" t="str">
        <f>+'5% CO'!U41</f>
        <v>iso-paraffin</v>
      </c>
      <c r="D83" t="str">
        <f>+'5% CO'!R41</f>
        <v>(C13-IsoParaffin)</v>
      </c>
      <c r="E83">
        <f>+'10% CO'!Z41</f>
        <v>2.9514791246294841E-2</v>
      </c>
      <c r="F83" t="s">
        <v>376</v>
      </c>
      <c r="G83">
        <f>VLOOKUP(Tabella10[[#This Row],[Name]],Tabella278[],5,FALSE)</f>
        <v>40</v>
      </c>
      <c r="N83">
        <v>24</v>
      </c>
      <c r="O83" t="s">
        <v>76</v>
      </c>
      <c r="P83">
        <v>1.6970765279162928E-2</v>
      </c>
    </row>
    <row r="84" spans="1:16" x14ac:dyDescent="0.2">
      <c r="B84">
        <f>+'5% CO'!T42</f>
        <v>13</v>
      </c>
      <c r="C84" t="str">
        <f>+'5% CO'!U42</f>
        <v>Olefin</v>
      </c>
      <c r="D84" t="str">
        <f>+'5% CO'!R42</f>
        <v>Tridecene-1</v>
      </c>
      <c r="E84">
        <f>+'10% CO'!Z42</f>
        <v>2.5505704876361067E-3</v>
      </c>
      <c r="F84" t="s">
        <v>376</v>
      </c>
      <c r="G84">
        <f>VLOOKUP(Tabella10[[#This Row],[Name]],Tabella278[],5,FALSE)</f>
        <v>41</v>
      </c>
      <c r="N84">
        <v>25</v>
      </c>
      <c r="O84" t="s">
        <v>76</v>
      </c>
      <c r="P84">
        <v>1.4707996575274537E-2</v>
      </c>
    </row>
    <row r="85" spans="1:16" x14ac:dyDescent="0.2">
      <c r="B85">
        <f>+'5% CO'!T43</f>
        <v>14</v>
      </c>
      <c r="C85" t="str">
        <f>+'5% CO'!U43</f>
        <v>iso-paraffin</v>
      </c>
      <c r="D85" t="str">
        <f>+'5% CO'!R43</f>
        <v>(C14-IsoParaffin)</v>
      </c>
      <c r="E85">
        <f>+'10% CO'!Z43</f>
        <v>6.71357059389274E-3</v>
      </c>
      <c r="F85" t="s">
        <v>376</v>
      </c>
      <c r="G85">
        <f>VLOOKUP(Tabella10[[#This Row],[Name]],Tabella278[],5,FALSE)</f>
        <v>42</v>
      </c>
      <c r="N85">
        <v>26</v>
      </c>
      <c r="O85" t="s">
        <v>76</v>
      </c>
      <c r="P85">
        <v>1.2445227871386149E-2</v>
      </c>
    </row>
    <row r="86" spans="1:16" x14ac:dyDescent="0.2">
      <c r="B86">
        <f>+'5% CO'!T44</f>
        <v>15</v>
      </c>
      <c r="C86" t="str">
        <f>+'5% CO'!U44</f>
        <v>iso-paraffin</v>
      </c>
      <c r="D86" t="str">
        <f>+'5% CO'!R44</f>
        <v>(C15-IsoParaffin)</v>
      </c>
      <c r="E86">
        <f>+'10% CO'!Z44</f>
        <v>5.2953654520605962E-3</v>
      </c>
      <c r="F86" t="s">
        <v>376</v>
      </c>
      <c r="G86">
        <f>VLOOKUP(Tabella10[[#This Row],[Name]],Tabella278[],5,FALSE)</f>
        <v>43</v>
      </c>
      <c r="N86">
        <v>27</v>
      </c>
      <c r="O86" t="s">
        <v>76</v>
      </c>
      <c r="P86">
        <v>1.0182459167497758E-2</v>
      </c>
    </row>
    <row r="87" spans="1:16" x14ac:dyDescent="0.2">
      <c r="B87">
        <f>+'5% CO'!T45</f>
        <v>16</v>
      </c>
      <c r="C87" t="str">
        <f>+'5% CO'!U45</f>
        <v>iso-paraffin</v>
      </c>
      <c r="D87" t="str">
        <f>+'5% CO'!R45</f>
        <v>(C16-IsoParaffin)</v>
      </c>
      <c r="E87">
        <f>+'10% CO'!Z45</f>
        <v>1.3504098055946915E-2</v>
      </c>
      <c r="F87" t="s">
        <v>376</v>
      </c>
      <c r="G87">
        <f>VLOOKUP(Tabella10[[#This Row],[Name]],Tabella278[],5,FALSE)</f>
        <v>44</v>
      </c>
      <c r="N87">
        <v>28</v>
      </c>
      <c r="O87" t="s">
        <v>76</v>
      </c>
      <c r="P87">
        <v>0</v>
      </c>
    </row>
    <row r="88" spans="1:16" x14ac:dyDescent="0.2">
      <c r="B88">
        <f>+'5% CO'!T46</f>
        <v>17</v>
      </c>
      <c r="C88" t="str">
        <f>+'5% CO'!U46</f>
        <v>iso-paraffin</v>
      </c>
      <c r="D88" t="str">
        <f>+'5% CO'!R46</f>
        <v>(C17-IsoParaffin)</v>
      </c>
      <c r="E88">
        <f>+'10% CO'!Z46</f>
        <v>5.0021964304932274E-3</v>
      </c>
      <c r="F88" t="s">
        <v>376</v>
      </c>
      <c r="G88">
        <f>VLOOKUP(Tabella10[[#This Row],[Name]],Tabella278[],5,FALSE)</f>
        <v>45</v>
      </c>
      <c r="N88">
        <v>29</v>
      </c>
      <c r="O88" t="s">
        <v>76</v>
      </c>
      <c r="P88">
        <v>0</v>
      </c>
    </row>
    <row r="89" spans="1:16" x14ac:dyDescent="0.2">
      <c r="A89" t="s">
        <v>339</v>
      </c>
      <c r="B89">
        <f>+'5% CO'!AF4</f>
        <v>1</v>
      </c>
      <c r="C89" t="s">
        <v>76</v>
      </c>
      <c r="D89" t="s">
        <v>340</v>
      </c>
      <c r="E89">
        <f>+'10% CO'!AK4</f>
        <v>0</v>
      </c>
      <c r="F89" t="s">
        <v>374</v>
      </c>
      <c r="N89">
        <v>30</v>
      </c>
      <c r="O89" t="s">
        <v>76</v>
      </c>
      <c r="P89">
        <v>0</v>
      </c>
    </row>
    <row r="90" spans="1:16" x14ac:dyDescent="0.2">
      <c r="B90">
        <f>+'5% CO'!AF5</f>
        <v>2</v>
      </c>
      <c r="C90" t="s">
        <v>76</v>
      </c>
      <c r="D90" t="s">
        <v>120</v>
      </c>
      <c r="E90">
        <f>+'10% CO'!AK5</f>
        <v>0</v>
      </c>
      <c r="F90" t="s">
        <v>374</v>
      </c>
      <c r="N90">
        <v>31</v>
      </c>
      <c r="O90" t="s">
        <v>76</v>
      </c>
      <c r="P90">
        <v>0</v>
      </c>
    </row>
    <row r="91" spans="1:16" x14ac:dyDescent="0.2">
      <c r="B91">
        <f>+'5% CO'!AF6</f>
        <v>3</v>
      </c>
      <c r="C91" t="s">
        <v>76</v>
      </c>
      <c r="D91" t="s">
        <v>126</v>
      </c>
      <c r="E91">
        <f>+'10% CO'!AK6</f>
        <v>0</v>
      </c>
      <c r="F91" t="s">
        <v>374</v>
      </c>
      <c r="N91">
        <v>32</v>
      </c>
      <c r="O91" t="s">
        <v>76</v>
      </c>
      <c r="P91">
        <v>0</v>
      </c>
    </row>
    <row r="92" spans="1:16" x14ac:dyDescent="0.2">
      <c r="B92">
        <f>+'5% CO'!AF7</f>
        <v>4</v>
      </c>
      <c r="C92" t="s">
        <v>76</v>
      </c>
      <c r="D92" t="s">
        <v>132</v>
      </c>
      <c r="E92">
        <f>+'10% CO'!AK7</f>
        <v>0</v>
      </c>
      <c r="F92" t="s">
        <v>374</v>
      </c>
      <c r="N92">
        <v>33</v>
      </c>
      <c r="O92" t="s">
        <v>76</v>
      </c>
      <c r="P92">
        <v>0</v>
      </c>
    </row>
    <row r="93" spans="1:16" x14ac:dyDescent="0.2">
      <c r="B93">
        <f>+'5% CO'!AF8</f>
        <v>5</v>
      </c>
      <c r="C93" t="s">
        <v>76</v>
      </c>
      <c r="D93" t="s">
        <v>141</v>
      </c>
      <c r="E93">
        <f>+'10% CO'!AK8</f>
        <v>0</v>
      </c>
      <c r="F93" t="s">
        <v>374</v>
      </c>
      <c r="N93">
        <v>34</v>
      </c>
      <c r="O93" t="s">
        <v>76</v>
      </c>
      <c r="P93">
        <v>0</v>
      </c>
    </row>
    <row r="94" spans="1:16" x14ac:dyDescent="0.2">
      <c r="B94">
        <f>+'5% CO'!AF9</f>
        <v>6</v>
      </c>
      <c r="C94" t="s">
        <v>76</v>
      </c>
      <c r="D94" t="s">
        <v>151</v>
      </c>
      <c r="E94">
        <f>+'10% CO'!AK9</f>
        <v>0</v>
      </c>
      <c r="F94" t="s">
        <v>374</v>
      </c>
      <c r="N94">
        <v>35</v>
      </c>
      <c r="O94" t="s">
        <v>76</v>
      </c>
      <c r="P94">
        <v>0</v>
      </c>
    </row>
    <row r="95" spans="1:16" x14ac:dyDescent="0.2">
      <c r="B95">
        <f>+'5% CO'!AF10</f>
        <v>7</v>
      </c>
      <c r="C95" t="s">
        <v>76</v>
      </c>
      <c r="D95" t="s">
        <v>157</v>
      </c>
      <c r="E95">
        <f>+'10% CO'!AK10</f>
        <v>0</v>
      </c>
      <c r="F95" t="s">
        <v>374</v>
      </c>
      <c r="N95">
        <v>36</v>
      </c>
      <c r="O95" t="s">
        <v>76</v>
      </c>
      <c r="P95">
        <v>0</v>
      </c>
    </row>
    <row r="96" spans="1:16" x14ac:dyDescent="0.2">
      <c r="B96">
        <f>+'5% CO'!AF11</f>
        <v>8</v>
      </c>
      <c r="C96" t="s">
        <v>76</v>
      </c>
      <c r="D96" t="s">
        <v>169</v>
      </c>
      <c r="E96">
        <f>+'10% CO'!AK11</f>
        <v>2.8284608798604879E-2</v>
      </c>
      <c r="F96" t="s">
        <v>374</v>
      </c>
      <c r="N96">
        <v>37</v>
      </c>
      <c r="O96" t="s">
        <v>76</v>
      </c>
      <c r="P96">
        <v>0</v>
      </c>
    </row>
    <row r="97" spans="2:16" x14ac:dyDescent="0.2">
      <c r="B97">
        <f>+'5% CO'!AF12</f>
        <v>9</v>
      </c>
      <c r="C97" t="s">
        <v>76</v>
      </c>
      <c r="D97" t="s">
        <v>184</v>
      </c>
      <c r="E97">
        <f>+'10% CO'!AK12</f>
        <v>3.507291491027005E-2</v>
      </c>
      <c r="F97" t="s">
        <v>374</v>
      </c>
      <c r="N97">
        <v>38</v>
      </c>
      <c r="O97" t="s">
        <v>76</v>
      </c>
      <c r="P97">
        <v>0</v>
      </c>
    </row>
    <row r="98" spans="2:16" x14ac:dyDescent="0.2">
      <c r="B98">
        <f>+'5% CO'!AF13</f>
        <v>10</v>
      </c>
      <c r="C98" t="s">
        <v>76</v>
      </c>
      <c r="D98" t="s">
        <v>199</v>
      </c>
      <c r="E98">
        <f>+'10% CO'!AK13</f>
        <v>8.9379363803591419E-2</v>
      </c>
      <c r="F98" t="s">
        <v>374</v>
      </c>
      <c r="N98">
        <v>39</v>
      </c>
      <c r="O98" t="s">
        <v>76</v>
      </c>
      <c r="P98">
        <v>0</v>
      </c>
    </row>
    <row r="99" spans="2:16" x14ac:dyDescent="0.2">
      <c r="B99">
        <f>+'5% CO'!AF14</f>
        <v>11</v>
      </c>
      <c r="C99" t="s">
        <v>76</v>
      </c>
      <c r="D99" t="s">
        <v>214</v>
      </c>
      <c r="E99">
        <f>+'10% CO'!AK14</f>
        <v>0.10295597602692177</v>
      </c>
      <c r="F99" t="s">
        <v>374</v>
      </c>
    </row>
    <row r="100" spans="2:16" x14ac:dyDescent="0.2">
      <c r="B100">
        <f>+'5% CO'!AF15</f>
        <v>12</v>
      </c>
      <c r="C100" t="s">
        <v>76</v>
      </c>
      <c r="D100" t="s">
        <v>227</v>
      </c>
      <c r="E100">
        <f>+'10% CO'!AK15</f>
        <v>0.11879535695414049</v>
      </c>
      <c r="F100" t="s">
        <v>374</v>
      </c>
    </row>
    <row r="101" spans="2:16" x14ac:dyDescent="0.2">
      <c r="B101">
        <f>+'5% CO'!AF16</f>
        <v>13</v>
      </c>
      <c r="C101" t="s">
        <v>76</v>
      </c>
      <c r="D101" t="s">
        <v>242</v>
      </c>
      <c r="E101">
        <f>+'10% CO'!AK16</f>
        <v>0.12332089436191727</v>
      </c>
      <c r="F101" t="s">
        <v>374</v>
      </c>
    </row>
    <row r="102" spans="2:16" x14ac:dyDescent="0.2">
      <c r="B102">
        <f>+'5% CO'!AF17</f>
        <v>14</v>
      </c>
      <c r="C102" t="s">
        <v>76</v>
      </c>
      <c r="D102" t="s">
        <v>341</v>
      </c>
      <c r="E102">
        <f>+'10% CO'!AK17</f>
        <v>0.12105812565802891</v>
      </c>
      <c r="F102" t="s">
        <v>374</v>
      </c>
    </row>
    <row r="103" spans="2:16" x14ac:dyDescent="0.2">
      <c r="B103">
        <f>+'5% CO'!AF18</f>
        <v>15</v>
      </c>
      <c r="C103" t="s">
        <v>76</v>
      </c>
      <c r="D103" t="s">
        <v>254</v>
      </c>
      <c r="E103">
        <f>+'10% CO'!AK18</f>
        <v>0.10748151343469854</v>
      </c>
      <c r="F103" t="s">
        <v>374</v>
      </c>
    </row>
    <row r="104" spans="2:16" x14ac:dyDescent="0.2">
      <c r="B104">
        <f>+'5% CO'!AF19</f>
        <v>16</v>
      </c>
      <c r="C104" t="s">
        <v>76</v>
      </c>
      <c r="D104" t="s">
        <v>260</v>
      </c>
      <c r="E104">
        <f>+'10% CO'!AK19</f>
        <v>8.7116595099703056E-2</v>
      </c>
      <c r="F104" t="s">
        <v>374</v>
      </c>
    </row>
    <row r="105" spans="2:16" x14ac:dyDescent="0.2">
      <c r="B105">
        <f>+'5% CO'!AF20</f>
        <v>17</v>
      </c>
      <c r="C105" t="s">
        <v>76</v>
      </c>
      <c r="D105" t="s">
        <v>266</v>
      </c>
      <c r="E105">
        <f>+'10% CO'!AK20</f>
        <v>7.5802751580260952E-2</v>
      </c>
      <c r="F105" t="s">
        <v>374</v>
      </c>
    </row>
    <row r="106" spans="2:16" x14ac:dyDescent="0.2">
      <c r="B106">
        <f>+'5% CO'!AF21</f>
        <v>18</v>
      </c>
      <c r="C106" t="s">
        <v>76</v>
      </c>
      <c r="D106" t="s">
        <v>269</v>
      </c>
      <c r="E106">
        <f>+'10% CO'!AK21</f>
        <v>7.0145829820540129E-2</v>
      </c>
      <c r="F106" t="s">
        <v>374</v>
      </c>
    </row>
    <row r="107" spans="2:16" x14ac:dyDescent="0.2">
      <c r="B107">
        <f>+'5% CO'!AF22</f>
        <v>19</v>
      </c>
      <c r="C107" t="s">
        <v>76</v>
      </c>
      <c r="D107" t="s">
        <v>272</v>
      </c>
      <c r="E107">
        <f>+'10% CO'!AK22</f>
        <v>3.1678761854437465E-2</v>
      </c>
      <c r="F107" t="s">
        <v>374</v>
      </c>
    </row>
    <row r="108" spans="2:16" x14ac:dyDescent="0.2">
      <c r="B108">
        <f>+'5% CO'!AF23</f>
        <v>20</v>
      </c>
      <c r="C108" t="s">
        <v>76</v>
      </c>
      <c r="D108" t="s">
        <v>275</v>
      </c>
      <c r="E108">
        <f>+'10% CO'!AK23</f>
        <v>2.4890455742772294E-2</v>
      </c>
      <c r="F108" t="s">
        <v>374</v>
      </c>
    </row>
    <row r="109" spans="2:16" x14ac:dyDescent="0.2">
      <c r="B109">
        <f>+'5% CO'!AF24</f>
        <v>21</v>
      </c>
      <c r="C109" t="s">
        <v>76</v>
      </c>
      <c r="D109" t="s">
        <v>278</v>
      </c>
      <c r="E109">
        <f>+'10% CO'!AK24</f>
        <v>2.2627687038883907E-2</v>
      </c>
      <c r="F109" t="s">
        <v>374</v>
      </c>
    </row>
    <row r="110" spans="2:16" x14ac:dyDescent="0.2">
      <c r="B110">
        <f>+'5% CO'!AF25</f>
        <v>22</v>
      </c>
      <c r="C110" t="s">
        <v>76</v>
      </c>
      <c r="D110" t="s">
        <v>281</v>
      </c>
      <c r="E110">
        <f>+'10% CO'!AK25</f>
        <v>2.0364918334995517E-2</v>
      </c>
      <c r="F110" t="s">
        <v>374</v>
      </c>
    </row>
    <row r="111" spans="2:16" x14ac:dyDescent="0.2">
      <c r="B111">
        <f>+'5% CO'!AF26</f>
        <v>23</v>
      </c>
      <c r="C111" t="s">
        <v>76</v>
      </c>
      <c r="D111" t="s">
        <v>284</v>
      </c>
      <c r="E111">
        <f>+'10% CO'!AK26</f>
        <v>1.8102149631107126E-2</v>
      </c>
      <c r="F111" t="s">
        <v>374</v>
      </c>
    </row>
    <row r="112" spans="2:16" x14ac:dyDescent="0.2">
      <c r="B112">
        <f>+'5% CO'!AF27</f>
        <v>24</v>
      </c>
      <c r="C112" t="s">
        <v>76</v>
      </c>
      <c r="D112" t="s">
        <v>287</v>
      </c>
      <c r="E112">
        <f>+'10% CO'!AK27</f>
        <v>1.6970765279162928E-2</v>
      </c>
      <c r="F112" t="s">
        <v>374</v>
      </c>
    </row>
    <row r="113" spans="2:6" x14ac:dyDescent="0.2">
      <c r="B113">
        <f>+'5% CO'!AF28</f>
        <v>25</v>
      </c>
      <c r="C113" t="s">
        <v>76</v>
      </c>
      <c r="D113" t="s">
        <v>290</v>
      </c>
      <c r="E113">
        <f>+'10% CO'!AK28</f>
        <v>1.4707996575274537E-2</v>
      </c>
      <c r="F113" t="s">
        <v>374</v>
      </c>
    </row>
    <row r="114" spans="2:6" x14ac:dyDescent="0.2">
      <c r="B114">
        <f>+'5% CO'!AF29</f>
        <v>26</v>
      </c>
      <c r="C114" t="s">
        <v>76</v>
      </c>
      <c r="D114" t="s">
        <v>293</v>
      </c>
      <c r="E114">
        <f>+'10% CO'!AK29</f>
        <v>1.2445227871386149E-2</v>
      </c>
      <c r="F114" t="s">
        <v>374</v>
      </c>
    </row>
    <row r="115" spans="2:6" x14ac:dyDescent="0.2">
      <c r="B115">
        <f>+'5% CO'!AF30</f>
        <v>27</v>
      </c>
      <c r="C115" t="s">
        <v>76</v>
      </c>
      <c r="D115" t="s">
        <v>296</v>
      </c>
      <c r="E115">
        <f>+'10% CO'!AK30</f>
        <v>1.0182459167497758E-2</v>
      </c>
      <c r="F115" t="s">
        <v>374</v>
      </c>
    </row>
    <row r="116" spans="2:6" x14ac:dyDescent="0.2">
      <c r="B116">
        <f>+'5% CO'!AF31</f>
        <v>28</v>
      </c>
      <c r="C116" t="s">
        <v>76</v>
      </c>
      <c r="D116" t="s">
        <v>297</v>
      </c>
      <c r="E116">
        <f>+'10% CO'!AK31</f>
        <v>0</v>
      </c>
      <c r="F116" t="s">
        <v>374</v>
      </c>
    </row>
    <row r="117" spans="2:6" x14ac:dyDescent="0.2">
      <c r="B117">
        <f>+'5% CO'!AF32</f>
        <v>29</v>
      </c>
      <c r="C117" t="s">
        <v>76</v>
      </c>
      <c r="D117" t="s">
        <v>298</v>
      </c>
      <c r="E117">
        <f>+'10% CO'!AK32</f>
        <v>0</v>
      </c>
      <c r="F117" t="s">
        <v>374</v>
      </c>
    </row>
    <row r="118" spans="2:6" x14ac:dyDescent="0.2">
      <c r="B118">
        <f>+'5% CO'!AF33</f>
        <v>30</v>
      </c>
      <c r="C118" t="s">
        <v>76</v>
      </c>
      <c r="D118" t="s">
        <v>299</v>
      </c>
      <c r="E118">
        <f>+'10% CO'!AK33</f>
        <v>0</v>
      </c>
      <c r="F118" t="s">
        <v>374</v>
      </c>
    </row>
    <row r="119" spans="2:6" x14ac:dyDescent="0.2">
      <c r="B119">
        <f>+'5% CO'!AF34</f>
        <v>31</v>
      </c>
      <c r="C119" t="s">
        <v>76</v>
      </c>
      <c r="D119" t="s">
        <v>300</v>
      </c>
      <c r="E119">
        <f>+'10% CO'!AK34</f>
        <v>0</v>
      </c>
      <c r="F119" t="s">
        <v>374</v>
      </c>
    </row>
    <row r="120" spans="2:6" x14ac:dyDescent="0.2">
      <c r="B120">
        <f>+'5% CO'!AF35</f>
        <v>32</v>
      </c>
      <c r="C120" t="s">
        <v>76</v>
      </c>
      <c r="D120" t="s">
        <v>301</v>
      </c>
      <c r="E120">
        <f>+'10% CO'!AK35</f>
        <v>0</v>
      </c>
      <c r="F120" t="s">
        <v>374</v>
      </c>
    </row>
    <row r="121" spans="2:6" x14ac:dyDescent="0.2">
      <c r="B121">
        <f>+'5% CO'!AF36</f>
        <v>33</v>
      </c>
      <c r="C121" t="s">
        <v>76</v>
      </c>
      <c r="D121" t="s">
        <v>302</v>
      </c>
      <c r="E121">
        <f>+'10% CO'!AK36</f>
        <v>0</v>
      </c>
      <c r="F121" t="s">
        <v>374</v>
      </c>
    </row>
    <row r="122" spans="2:6" x14ac:dyDescent="0.2">
      <c r="B122">
        <f>+'5% CO'!AF37</f>
        <v>34</v>
      </c>
      <c r="C122" t="s">
        <v>76</v>
      </c>
      <c r="D122" t="s">
        <v>303</v>
      </c>
      <c r="E122">
        <f>+'10% CO'!AK37</f>
        <v>0</v>
      </c>
      <c r="F122" t="s">
        <v>374</v>
      </c>
    </row>
    <row r="123" spans="2:6" x14ac:dyDescent="0.2">
      <c r="B123">
        <f>+'5% CO'!AF38</f>
        <v>35</v>
      </c>
      <c r="C123" t="s">
        <v>76</v>
      </c>
      <c r="D123" t="s">
        <v>304</v>
      </c>
      <c r="E123">
        <f>+'10% CO'!AK38</f>
        <v>0</v>
      </c>
      <c r="F123" t="s">
        <v>374</v>
      </c>
    </row>
    <row r="124" spans="2:6" x14ac:dyDescent="0.2">
      <c r="B124">
        <f>+'5% CO'!AF39</f>
        <v>36</v>
      </c>
      <c r="C124" t="s">
        <v>76</v>
      </c>
      <c r="D124" t="s">
        <v>305</v>
      </c>
      <c r="E124">
        <f>+'10% CO'!AK39</f>
        <v>0</v>
      </c>
      <c r="F124" t="s">
        <v>374</v>
      </c>
    </row>
    <row r="125" spans="2:6" x14ac:dyDescent="0.2">
      <c r="B125">
        <f>+'5% CO'!AF40</f>
        <v>37</v>
      </c>
      <c r="C125" t="s">
        <v>76</v>
      </c>
      <c r="D125" t="s">
        <v>306</v>
      </c>
      <c r="E125">
        <f>+'10% CO'!AK40</f>
        <v>0</v>
      </c>
      <c r="F125" t="s">
        <v>374</v>
      </c>
    </row>
    <row r="126" spans="2:6" x14ac:dyDescent="0.2">
      <c r="B126">
        <f>+'5% CO'!AF41</f>
        <v>38</v>
      </c>
      <c r="C126" t="s">
        <v>76</v>
      </c>
      <c r="D126" t="s">
        <v>307</v>
      </c>
      <c r="E126">
        <f>+'10% CO'!AK41</f>
        <v>0</v>
      </c>
      <c r="F126" t="s">
        <v>374</v>
      </c>
    </row>
    <row r="127" spans="2:6" x14ac:dyDescent="0.2">
      <c r="B127">
        <f>+'5% CO'!AF42</f>
        <v>39</v>
      </c>
      <c r="C127" t="s">
        <v>76</v>
      </c>
      <c r="D127" t="s">
        <v>308</v>
      </c>
      <c r="E127">
        <f>+'10% CO'!AK42</f>
        <v>0</v>
      </c>
      <c r="F127" t="s">
        <v>374</v>
      </c>
    </row>
  </sheetData>
  <phoneticPr fontId="6" type="noConversion"/>
  <pageMargins left="0.7" right="0.7" top="0.75" bottom="0.75" header="0.3" footer="0.3"/>
  <drawing r:id="rId3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6BDE-A040-AC40-A220-F7ABC58507A0}">
  <dimension ref="E1:BX75"/>
  <sheetViews>
    <sheetView zoomScaleNormal="125" workbookViewId="0">
      <selection activeCell="BJ13" sqref="BJ10:BJ13"/>
    </sheetView>
  </sheetViews>
  <sheetFormatPr baseColWidth="10" defaultRowHeight="16" x14ac:dyDescent="0.2"/>
  <cols>
    <col min="5" max="5" width="13.83203125" customWidth="1"/>
    <col min="6" max="6" width="0.83203125" customWidth="1"/>
    <col min="7" max="7" width="16.33203125" hidden="1" customWidth="1"/>
    <col min="8" max="8" width="0.6640625" customWidth="1"/>
    <col min="13" max="13" width="5.1640625" style="19" customWidth="1"/>
    <col min="14" max="14" width="4.83203125" style="19" bestFit="1" customWidth="1"/>
    <col min="15" max="15" width="2.1640625" style="19" bestFit="1" customWidth="1"/>
    <col min="16" max="16" width="4.83203125" style="19" bestFit="1" customWidth="1"/>
    <col min="17" max="17" width="3.5" style="19" bestFit="1" customWidth="1"/>
    <col min="18" max="18" width="2.1640625" style="19" bestFit="1" customWidth="1"/>
    <col min="19" max="19" width="2.33203125" style="19" bestFit="1" customWidth="1"/>
    <col min="20" max="20" width="7.83203125" style="19" bestFit="1" customWidth="1"/>
    <col min="21" max="21" width="2.1640625" style="19" bestFit="1" customWidth="1"/>
    <col min="22" max="23" width="4.83203125" style="19" bestFit="1" customWidth="1"/>
    <col min="24" max="24" width="8.1640625" customWidth="1"/>
    <col min="26" max="26" width="5.1640625" style="19" customWidth="1"/>
    <col min="27" max="27" width="4.83203125" style="19" bestFit="1" customWidth="1"/>
    <col min="28" max="28" width="2.1640625" style="19" bestFit="1" customWidth="1"/>
    <col min="29" max="29" width="4.83203125" style="19" bestFit="1" customWidth="1"/>
    <col min="30" max="30" width="3.5" style="19" bestFit="1" customWidth="1"/>
    <col min="31" max="31" width="2.1640625" style="19" bestFit="1" customWidth="1"/>
    <col min="32" max="32" width="2.33203125" style="19" bestFit="1" customWidth="1"/>
    <col min="33" max="33" width="7.83203125" style="19" bestFit="1" customWidth="1"/>
    <col min="34" max="34" width="2.1640625" style="19" bestFit="1" customWidth="1"/>
    <col min="35" max="36" width="4.83203125" style="19" bestFit="1" customWidth="1"/>
    <col min="50" max="50" width="5.1640625" style="19" customWidth="1"/>
    <col min="51" max="51" width="4.83203125" style="19" bestFit="1" customWidth="1"/>
    <col min="52" max="52" width="2.1640625" style="19" bestFit="1" customWidth="1"/>
    <col min="53" max="53" width="4.83203125" style="19" bestFit="1" customWidth="1"/>
    <col min="54" max="54" width="3.5" style="19" bestFit="1" customWidth="1"/>
    <col min="55" max="55" width="2.1640625" style="19" bestFit="1" customWidth="1"/>
    <col min="56" max="56" width="2.33203125" style="19" bestFit="1" customWidth="1"/>
    <col min="57" max="57" width="7.83203125" style="19" bestFit="1" customWidth="1"/>
    <col min="58" max="58" width="2.1640625" style="19" bestFit="1" customWidth="1"/>
    <col min="59" max="60" width="4.83203125" style="19" bestFit="1" customWidth="1"/>
    <col min="61" max="61" width="8.1640625" customWidth="1"/>
    <col min="63" max="63" width="5.1640625" style="19" customWidth="1"/>
    <col min="64" max="64" width="4.83203125" style="19" bestFit="1" customWidth="1"/>
    <col min="65" max="65" width="2.1640625" style="19" bestFit="1" customWidth="1"/>
    <col min="66" max="66" width="4.83203125" style="19" bestFit="1" customWidth="1"/>
    <col min="67" max="67" width="3.5" style="19" bestFit="1" customWidth="1"/>
    <col min="68" max="68" width="2.1640625" style="19" bestFit="1" customWidth="1"/>
    <col min="69" max="69" width="2.33203125" style="19" bestFit="1" customWidth="1"/>
    <col min="70" max="70" width="7.83203125" style="19" bestFit="1" customWidth="1"/>
    <col min="71" max="71" width="2.1640625" style="19" bestFit="1" customWidth="1"/>
    <col min="72" max="73" width="4.83203125" style="19" bestFit="1" customWidth="1"/>
  </cols>
  <sheetData>
    <row r="1" spans="5:76" ht="40" customHeight="1" x14ac:dyDescent="0.2">
      <c r="E1" s="27" t="s">
        <v>381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P1" s="27" t="s">
        <v>381</v>
      </c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</row>
    <row r="3" spans="5:76" x14ac:dyDescent="0.2">
      <c r="L3" s="9">
        <f>SUM(L6:L73)</f>
        <v>0.28691484087126523</v>
      </c>
      <c r="Y3" s="9">
        <f>SUM(Y6:Y73)</f>
        <v>0.81532617702264132</v>
      </c>
      <c r="AW3" s="9">
        <f>SUM(AW6:AW73)</f>
        <v>0.17946378559720022</v>
      </c>
      <c r="BJ3" s="9">
        <f>SUM(BJ6:BJ73)</f>
        <v>0.89577938687992553</v>
      </c>
    </row>
    <row r="5" spans="5:76" x14ac:dyDescent="0.2">
      <c r="E5" t="s">
        <v>365</v>
      </c>
      <c r="F5" t="s">
        <v>366</v>
      </c>
      <c r="G5" t="s">
        <v>336</v>
      </c>
      <c r="H5" t="s">
        <v>367</v>
      </c>
      <c r="I5" t="s">
        <v>368</v>
      </c>
      <c r="J5" t="s">
        <v>55</v>
      </c>
      <c r="L5" t="s">
        <v>369</v>
      </c>
      <c r="Y5" t="s">
        <v>373</v>
      </c>
      <c r="AP5" t="s">
        <v>365</v>
      </c>
      <c r="AQ5" t="s">
        <v>366</v>
      </c>
      <c r="AR5" t="s">
        <v>336</v>
      </c>
      <c r="AS5" t="s">
        <v>367</v>
      </c>
      <c r="AT5" t="s">
        <v>368</v>
      </c>
      <c r="AU5" t="s">
        <v>55</v>
      </c>
      <c r="AW5" t="s">
        <v>369</v>
      </c>
      <c r="BJ5" t="s">
        <v>373</v>
      </c>
    </row>
    <row r="6" spans="5:76" x14ac:dyDescent="0.2">
      <c r="E6">
        <f>+'5% CO Elab'!R6</f>
        <v>1</v>
      </c>
      <c r="F6">
        <f>+'5% CO Elab'!S6</f>
        <v>1</v>
      </c>
      <c r="G6" t="str">
        <f>+'5% CO Elab'!T6</f>
        <v>METHANE</v>
      </c>
      <c r="H6" t="str">
        <f>+'5% CO Elab'!U6</f>
        <v>CH4</v>
      </c>
      <c r="I6" t="str">
        <f>+'5% CO Elab'!V6</f>
        <v>CH4</v>
      </c>
      <c r="J6">
        <f>+'5% CO Elab'!W6</f>
        <v>10.675347629281321</v>
      </c>
      <c r="L6">
        <f>+'5% CO Elab'!AB6</f>
        <v>3.3838688744120049E-2</v>
      </c>
      <c r="M6" s="20">
        <v>1</v>
      </c>
      <c r="N6" s="20" t="s">
        <v>309</v>
      </c>
      <c r="O6" s="20" t="s">
        <v>310</v>
      </c>
      <c r="P6" s="20">
        <v>4</v>
      </c>
      <c r="Q6" s="20" t="s">
        <v>42</v>
      </c>
      <c r="R6" s="20" t="s">
        <v>311</v>
      </c>
      <c r="S6" s="20">
        <v>1</v>
      </c>
      <c r="T6" s="20" t="s">
        <v>114</v>
      </c>
      <c r="U6" s="20" t="s">
        <v>310</v>
      </c>
      <c r="V6" s="20">
        <v>2</v>
      </c>
      <c r="W6" s="20" t="s">
        <v>312</v>
      </c>
      <c r="X6" s="1"/>
      <c r="Y6">
        <f>+'5% CO Elab'!AA6</f>
        <v>9.6159434086511925E-2</v>
      </c>
      <c r="Z6" s="20">
        <f>M6</f>
        <v>1</v>
      </c>
      <c r="AA6" s="20" t="s">
        <v>41</v>
      </c>
      <c r="AB6" s="20" t="str">
        <f t="shared" ref="AB6:AB21" si="0">O6</f>
        <v>+</v>
      </c>
      <c r="AC6" s="20">
        <f>+P6-Z6</f>
        <v>3</v>
      </c>
      <c r="AD6" s="20" t="str">
        <f>Q6</f>
        <v>H2</v>
      </c>
      <c r="AE6" s="20" t="str">
        <f>R6</f>
        <v>=</v>
      </c>
      <c r="AF6" s="20">
        <f t="shared" ref="AF6:AF69" si="1">S6</f>
        <v>1</v>
      </c>
      <c r="AG6" s="20" t="str">
        <f t="shared" ref="AG6:AG69" si="2">T6</f>
        <v>CH4</v>
      </c>
      <c r="AH6" s="20" t="str">
        <f t="shared" ref="AH6:AH69" si="3">U6</f>
        <v>+</v>
      </c>
      <c r="AI6" s="20">
        <f>+Z6</f>
        <v>1</v>
      </c>
      <c r="AJ6" s="20" t="str">
        <f>+W6</f>
        <v>H2O</v>
      </c>
      <c r="AL6">
        <f>+V6*L6</f>
        <v>6.7677377488240098E-2</v>
      </c>
      <c r="AM6">
        <f>+AI6*Y6</f>
        <v>9.6159434086511925E-2</v>
      </c>
      <c r="AP6">
        <f>+'10% CO Elab'!S6</f>
        <v>1</v>
      </c>
      <c r="AQ6" t="str">
        <f>+'10% CO Elab'!T6</f>
        <v>METHANE</v>
      </c>
      <c r="AR6" t="str">
        <f>+'10% CO Elab'!U6</f>
        <v>CH4</v>
      </c>
      <c r="AS6" t="str">
        <f>+'10% CO Elab'!V6</f>
        <v>CH4</v>
      </c>
      <c r="AT6">
        <f>+'10% CO Elab'!W6</f>
        <v>12.764487853091264</v>
      </c>
      <c r="AU6">
        <f>+'10% CO Elab'!X6</f>
        <v>12.764487853091264</v>
      </c>
      <c r="AW6">
        <f>+'10% CO Elab'!AB6</f>
        <v>2.3173170057453958E-2</v>
      </c>
      <c r="AX6" s="20">
        <v>1</v>
      </c>
      <c r="AY6" s="20" t="s">
        <v>309</v>
      </c>
      <c r="AZ6" s="20" t="s">
        <v>310</v>
      </c>
      <c r="BA6" s="20">
        <v>4</v>
      </c>
      <c r="BB6" s="20" t="s">
        <v>42</v>
      </c>
      <c r="BC6" s="20" t="s">
        <v>311</v>
      </c>
      <c r="BD6" s="20">
        <v>1</v>
      </c>
      <c r="BE6" s="20" t="s">
        <v>114</v>
      </c>
      <c r="BF6" s="20" t="s">
        <v>310</v>
      </c>
      <c r="BG6" s="20">
        <v>2</v>
      </c>
      <c r="BH6" s="20" t="s">
        <v>312</v>
      </c>
      <c r="BI6" s="1"/>
      <c r="BJ6">
        <f>+'10% CO Elab'!AA6</f>
        <v>0.11566705782480829</v>
      </c>
      <c r="BK6" s="20">
        <f>AX6</f>
        <v>1</v>
      </c>
      <c r="BL6" s="20" t="s">
        <v>41</v>
      </c>
      <c r="BM6" s="20" t="str">
        <f t="shared" ref="BM6:BM21" si="4">AZ6</f>
        <v>+</v>
      </c>
      <c r="BN6" s="20">
        <f>+BA6-BK6</f>
        <v>3</v>
      </c>
      <c r="BO6" s="20" t="str">
        <f>BB6</f>
        <v>H2</v>
      </c>
      <c r="BP6" s="20" t="str">
        <f>BC6</f>
        <v>=</v>
      </c>
      <c r="BQ6" s="20">
        <f t="shared" ref="BQ6:BQ69" si="5">BD6</f>
        <v>1</v>
      </c>
      <c r="BR6" s="20" t="str">
        <f t="shared" ref="BR6:BR69" si="6">BE6</f>
        <v>CH4</v>
      </c>
      <c r="BS6" s="20" t="str">
        <f t="shared" ref="BS6:BS69" si="7">BF6</f>
        <v>+</v>
      </c>
      <c r="BT6" s="20">
        <f>+BK6</f>
        <v>1</v>
      </c>
      <c r="BU6" s="20" t="str">
        <f>+BH6</f>
        <v>H2O</v>
      </c>
      <c r="BW6">
        <f>+BG6*AW6</f>
        <v>4.6346340114907916E-2</v>
      </c>
      <c r="BX6">
        <f>+BT6*BJ6</f>
        <v>0.11566705782480829</v>
      </c>
    </row>
    <row r="7" spans="5:76" x14ac:dyDescent="0.2">
      <c r="E7">
        <f>+'5% CO Elab'!R7</f>
        <v>2</v>
      </c>
      <c r="F7">
        <f>+'5% CO Elab'!S7</f>
        <v>1</v>
      </c>
      <c r="G7" t="str">
        <f>+'5% CO Elab'!T7</f>
        <v>METHANOL</v>
      </c>
      <c r="H7" t="str">
        <f>+'5% CO Elab'!U7</f>
        <v>CH4O</v>
      </c>
      <c r="I7" t="str">
        <f>+'5% CO Elab'!V7</f>
        <v>MEOH</v>
      </c>
      <c r="J7">
        <f>+'5% CO Elab'!W7</f>
        <v>0.80481481478060724</v>
      </c>
      <c r="L7">
        <f>+'5% CO Elab'!AB7</f>
        <v>2.5510998760656768E-3</v>
      </c>
      <c r="M7" s="20">
        <v>1</v>
      </c>
      <c r="N7" s="20" t="s">
        <v>309</v>
      </c>
      <c r="O7" s="20" t="s">
        <v>310</v>
      </c>
      <c r="P7" s="20">
        <v>3</v>
      </c>
      <c r="Q7" s="20" t="s">
        <v>42</v>
      </c>
      <c r="R7" s="20" t="s">
        <v>311</v>
      </c>
      <c r="S7" s="20">
        <v>1</v>
      </c>
      <c r="T7" s="20" t="s">
        <v>116</v>
      </c>
      <c r="U7" s="20" t="s">
        <v>310</v>
      </c>
      <c r="V7" s="20">
        <v>1</v>
      </c>
      <c r="W7" s="20" t="s">
        <v>312</v>
      </c>
      <c r="X7" s="1"/>
      <c r="Y7">
        <f>+'5% CO Elab'!AA7</f>
        <v>7.2494629515829764E-3</v>
      </c>
      <c r="Z7" s="20">
        <f t="shared" ref="Z7:Z70" si="8">M7</f>
        <v>1</v>
      </c>
      <c r="AA7" s="20" t="s">
        <v>41</v>
      </c>
      <c r="AB7" s="20" t="str">
        <f t="shared" si="0"/>
        <v>+</v>
      </c>
      <c r="AC7" s="20">
        <f t="shared" ref="AC7:AC70" si="9">+P7-Z7</f>
        <v>2</v>
      </c>
      <c r="AD7" s="20" t="str">
        <f t="shared" ref="AD7:AD21" si="10">Q7</f>
        <v>H2</v>
      </c>
      <c r="AE7" s="20" t="str">
        <f t="shared" ref="AE7:AH70" si="11">R7</f>
        <v>=</v>
      </c>
      <c r="AF7" s="20">
        <f t="shared" si="1"/>
        <v>1</v>
      </c>
      <c r="AG7" s="20" t="str">
        <f t="shared" si="2"/>
        <v>CH4O</v>
      </c>
      <c r="AH7" s="20" t="str">
        <f t="shared" si="3"/>
        <v>+</v>
      </c>
      <c r="AI7" s="20">
        <v>0</v>
      </c>
      <c r="AJ7" s="20" t="str">
        <f t="shared" ref="AJ7:AJ70" si="12">+W7</f>
        <v>H2O</v>
      </c>
      <c r="AL7">
        <f t="shared" ref="AL7:AL70" si="13">+V7*L7</f>
        <v>2.5510998760656768E-3</v>
      </c>
      <c r="AM7">
        <f t="shared" ref="AM7:AM70" si="14">+AI7*Y7</f>
        <v>0</v>
      </c>
      <c r="AP7">
        <f>+'10% CO Elab'!S7</f>
        <v>1</v>
      </c>
      <c r="AQ7" t="str">
        <f>+'10% CO Elab'!T7</f>
        <v>METHANOL</v>
      </c>
      <c r="AR7" t="str">
        <f>+'10% CO Elab'!U7</f>
        <v>CH4O</v>
      </c>
      <c r="AS7" t="str">
        <f>+'10% CO Elab'!V7</f>
        <v>MEOH</v>
      </c>
      <c r="AT7">
        <f>+'10% CO Elab'!W7</f>
        <v>0.91088223941800006</v>
      </c>
      <c r="AU7">
        <f>+'10% CO Elab'!X7</f>
        <v>0.91088223941800006</v>
      </c>
      <c r="AW7">
        <f>+'10% CO Elab'!AB7</f>
        <v>1.6536526399871132E-3</v>
      </c>
      <c r="AX7" s="20">
        <v>1</v>
      </c>
      <c r="AY7" s="20" t="s">
        <v>309</v>
      </c>
      <c r="AZ7" s="20" t="s">
        <v>310</v>
      </c>
      <c r="BA7" s="20">
        <v>3</v>
      </c>
      <c r="BB7" s="20" t="s">
        <v>42</v>
      </c>
      <c r="BC7" s="20" t="s">
        <v>311</v>
      </c>
      <c r="BD7" s="20">
        <v>1</v>
      </c>
      <c r="BE7" s="20" t="s">
        <v>116</v>
      </c>
      <c r="BF7" s="20" t="s">
        <v>310</v>
      </c>
      <c r="BG7" s="20">
        <v>1</v>
      </c>
      <c r="BH7" s="20" t="s">
        <v>312</v>
      </c>
      <c r="BI7" s="1"/>
      <c r="BJ7">
        <f>+'10% CO Elab'!AA7</f>
        <v>8.2540772392083982E-3</v>
      </c>
      <c r="BK7" s="20">
        <f t="shared" ref="BK7:BK70" si="15">AX7</f>
        <v>1</v>
      </c>
      <c r="BL7" s="20" t="s">
        <v>41</v>
      </c>
      <c r="BM7" s="20" t="str">
        <f t="shared" si="4"/>
        <v>+</v>
      </c>
      <c r="BN7" s="20">
        <f t="shared" ref="BN7:BN70" si="16">+BA7-BK7</f>
        <v>2</v>
      </c>
      <c r="BO7" s="20" t="str">
        <f t="shared" ref="BO7:BO21" si="17">BB7</f>
        <v>H2</v>
      </c>
      <c r="BP7" s="20" t="str">
        <f t="shared" ref="BP7:BP70" si="18">BC7</f>
        <v>=</v>
      </c>
      <c r="BQ7" s="20">
        <f t="shared" si="5"/>
        <v>1</v>
      </c>
      <c r="BR7" s="20" t="str">
        <f t="shared" si="6"/>
        <v>CH4O</v>
      </c>
      <c r="BS7" s="20" t="str">
        <f t="shared" si="7"/>
        <v>+</v>
      </c>
      <c r="BT7" s="20">
        <v>0</v>
      </c>
      <c r="BU7" s="20" t="str">
        <f t="shared" ref="BU7:BU70" si="19">+BH7</f>
        <v>H2O</v>
      </c>
      <c r="BW7">
        <f t="shared" ref="BW7:BW70" si="20">+BG7*AW7</f>
        <v>1.6536526399871132E-3</v>
      </c>
      <c r="BX7">
        <f t="shared" ref="BX7:BX70" si="21">+BT7*BJ7</f>
        <v>0</v>
      </c>
    </row>
    <row r="8" spans="5:76" x14ac:dyDescent="0.2">
      <c r="E8">
        <f>+'5% CO Elab'!R8</f>
        <v>3</v>
      </c>
      <c r="F8">
        <f>+'5% CO Elab'!S8</f>
        <v>2</v>
      </c>
      <c r="G8" t="str">
        <f>+'5% CO Elab'!T8</f>
        <v>ETHANE</v>
      </c>
      <c r="H8" t="str">
        <f>+'5% CO Elab'!U8</f>
        <v>C2H6</v>
      </c>
      <c r="I8" t="str">
        <f>+'5% CO Elab'!V8</f>
        <v>C2</v>
      </c>
      <c r="J8">
        <f>+'5% CO Elab'!W8</f>
        <v>0.73823716073728918</v>
      </c>
      <c r="L8">
        <f>+'5% CO Elab'!AB8</f>
        <v>4.6801244079418894E-3</v>
      </c>
      <c r="M8" s="20">
        <v>2</v>
      </c>
      <c r="N8" s="20" t="s">
        <v>309</v>
      </c>
      <c r="O8" s="20" t="s">
        <v>310</v>
      </c>
      <c r="P8" s="20">
        <v>7</v>
      </c>
      <c r="Q8" s="20" t="s">
        <v>42</v>
      </c>
      <c r="R8" s="20" t="s">
        <v>311</v>
      </c>
      <c r="S8" s="20">
        <v>1</v>
      </c>
      <c r="T8" s="20" t="s">
        <v>119</v>
      </c>
      <c r="U8" s="20" t="s">
        <v>310</v>
      </c>
      <c r="V8" s="20">
        <v>4</v>
      </c>
      <c r="W8" s="20" t="s">
        <v>312</v>
      </c>
      <c r="X8" s="1"/>
      <c r="Y8">
        <f>+'5% CO Elab'!AA8</f>
        <v>1.329951399491992E-2</v>
      </c>
      <c r="Z8" s="20">
        <f t="shared" si="8"/>
        <v>2</v>
      </c>
      <c r="AA8" s="20" t="s">
        <v>41</v>
      </c>
      <c r="AB8" s="20" t="str">
        <f t="shared" si="0"/>
        <v>+</v>
      </c>
      <c r="AC8" s="20">
        <f t="shared" si="9"/>
        <v>5</v>
      </c>
      <c r="AD8" s="20" t="str">
        <f t="shared" si="10"/>
        <v>H2</v>
      </c>
      <c r="AE8" s="20" t="str">
        <f t="shared" si="11"/>
        <v>=</v>
      </c>
      <c r="AF8" s="20">
        <f t="shared" si="1"/>
        <v>1</v>
      </c>
      <c r="AG8" s="20" t="str">
        <f t="shared" si="2"/>
        <v>C2H6</v>
      </c>
      <c r="AH8" s="20" t="str">
        <f t="shared" si="3"/>
        <v>+</v>
      </c>
      <c r="AI8" s="20">
        <f t="shared" ref="AI8:AI70" si="22">+Z8</f>
        <v>2</v>
      </c>
      <c r="AJ8" s="20" t="str">
        <f t="shared" si="12"/>
        <v>H2O</v>
      </c>
      <c r="AL8">
        <f t="shared" si="13"/>
        <v>1.8720497631767558E-2</v>
      </c>
      <c r="AM8">
        <f t="shared" si="14"/>
        <v>2.6599027989839839E-2</v>
      </c>
      <c r="AP8">
        <f>+'10% CO Elab'!S8</f>
        <v>2</v>
      </c>
      <c r="AQ8" t="str">
        <f>+'10% CO Elab'!T8</f>
        <v>ETHANE</v>
      </c>
      <c r="AR8" t="str">
        <f>+'10% CO Elab'!U8</f>
        <v>C2H6</v>
      </c>
      <c r="AS8" t="str">
        <f>+'10% CO Elab'!V8</f>
        <v>C2</v>
      </c>
      <c r="AT8">
        <f>+'10% CO Elab'!W8</f>
        <v>0.854520583802166</v>
      </c>
      <c r="AU8">
        <f>+'10% CO Elab'!X8</f>
        <v>1.709041167604332</v>
      </c>
      <c r="AW8">
        <f>+'10% CO Elab'!AB8</f>
        <v>3.1026627991575634E-3</v>
      </c>
      <c r="AX8" s="20">
        <v>2</v>
      </c>
      <c r="AY8" s="20" t="s">
        <v>309</v>
      </c>
      <c r="AZ8" s="20" t="s">
        <v>310</v>
      </c>
      <c r="BA8" s="20">
        <v>7</v>
      </c>
      <c r="BB8" s="20" t="s">
        <v>42</v>
      </c>
      <c r="BC8" s="20" t="s">
        <v>311</v>
      </c>
      <c r="BD8" s="20">
        <v>1</v>
      </c>
      <c r="BE8" s="20" t="s">
        <v>119</v>
      </c>
      <c r="BF8" s="20" t="s">
        <v>310</v>
      </c>
      <c r="BG8" s="20">
        <v>4</v>
      </c>
      <c r="BH8" s="20" t="s">
        <v>312</v>
      </c>
      <c r="BI8" s="1"/>
      <c r="BJ8">
        <f>+'10% CO Elab'!AA8</f>
        <v>1.5486697612422787E-2</v>
      </c>
      <c r="BK8" s="20">
        <f t="shared" si="15"/>
        <v>2</v>
      </c>
      <c r="BL8" s="20" t="s">
        <v>41</v>
      </c>
      <c r="BM8" s="20" t="str">
        <f t="shared" si="4"/>
        <v>+</v>
      </c>
      <c r="BN8" s="20">
        <f t="shared" si="16"/>
        <v>5</v>
      </c>
      <c r="BO8" s="20" t="str">
        <f t="shared" si="17"/>
        <v>H2</v>
      </c>
      <c r="BP8" s="20" t="str">
        <f t="shared" si="18"/>
        <v>=</v>
      </c>
      <c r="BQ8" s="20">
        <f t="shared" si="5"/>
        <v>1</v>
      </c>
      <c r="BR8" s="20" t="str">
        <f t="shared" si="6"/>
        <v>C2H6</v>
      </c>
      <c r="BS8" s="20" t="str">
        <f t="shared" si="7"/>
        <v>+</v>
      </c>
      <c r="BT8" s="20">
        <f t="shared" ref="BT8:BT71" si="23">+BK8</f>
        <v>2</v>
      </c>
      <c r="BU8" s="20" t="str">
        <f t="shared" si="19"/>
        <v>H2O</v>
      </c>
      <c r="BW8">
        <f t="shared" si="20"/>
        <v>1.2410651196630254E-2</v>
      </c>
      <c r="BX8">
        <f t="shared" si="21"/>
        <v>3.0973395224845574E-2</v>
      </c>
    </row>
    <row r="9" spans="5:76" x14ac:dyDescent="0.2">
      <c r="E9">
        <f>+'5% CO Elab'!R9</f>
        <v>4</v>
      </c>
      <c r="F9">
        <f>+'5% CO Elab'!S9</f>
        <v>2</v>
      </c>
      <c r="G9" t="str">
        <f>+'5% CO Elab'!T9</f>
        <v>ETHYLENE</v>
      </c>
      <c r="H9" t="str">
        <f>+'5% CO Elab'!U9</f>
        <v>C2H4</v>
      </c>
      <c r="I9" t="str">
        <f>+'5% CO Elab'!V9</f>
        <v>C2-O</v>
      </c>
      <c r="J9">
        <f>+'5% CO Elab'!W9</f>
        <v>3.1359739905749899</v>
      </c>
      <c r="L9">
        <f>+'5% CO Elab'!AB9</f>
        <v>1.9880804159605078E-2</v>
      </c>
      <c r="M9" s="20">
        <v>2</v>
      </c>
      <c r="N9" s="20" t="s">
        <v>309</v>
      </c>
      <c r="O9" s="20" t="s">
        <v>310</v>
      </c>
      <c r="P9" s="20">
        <v>6</v>
      </c>
      <c r="Q9" s="20" t="s">
        <v>42</v>
      </c>
      <c r="R9" s="20" t="s">
        <v>311</v>
      </c>
      <c r="S9" s="20">
        <v>1</v>
      </c>
      <c r="T9" s="20" t="s">
        <v>122</v>
      </c>
      <c r="U9" s="20" t="s">
        <v>310</v>
      </c>
      <c r="V9" s="20">
        <v>4</v>
      </c>
      <c r="W9" s="20" t="s">
        <v>312</v>
      </c>
      <c r="X9" s="1"/>
      <c r="Y9">
        <f>+'5% CO Elab'!AA9</f>
        <v>5.6495300146776103E-2</v>
      </c>
      <c r="Z9" s="20">
        <f t="shared" si="8"/>
        <v>2</v>
      </c>
      <c r="AA9" s="20" t="s">
        <v>41</v>
      </c>
      <c r="AB9" s="20" t="str">
        <f t="shared" si="0"/>
        <v>+</v>
      </c>
      <c r="AC9" s="20">
        <f t="shared" si="9"/>
        <v>4</v>
      </c>
      <c r="AD9" s="20" t="str">
        <f t="shared" si="10"/>
        <v>H2</v>
      </c>
      <c r="AE9" s="20" t="str">
        <f t="shared" si="11"/>
        <v>=</v>
      </c>
      <c r="AF9" s="20">
        <f t="shared" si="1"/>
        <v>1</v>
      </c>
      <c r="AG9" s="20" t="str">
        <f t="shared" si="2"/>
        <v>C2H4</v>
      </c>
      <c r="AH9" s="20" t="str">
        <f t="shared" si="3"/>
        <v>+</v>
      </c>
      <c r="AI9" s="20">
        <f t="shared" si="22"/>
        <v>2</v>
      </c>
      <c r="AJ9" s="20" t="str">
        <f t="shared" si="12"/>
        <v>H2O</v>
      </c>
      <c r="AL9">
        <f t="shared" si="13"/>
        <v>7.952321663842031E-2</v>
      </c>
      <c r="AM9">
        <f t="shared" si="14"/>
        <v>0.11299060029355221</v>
      </c>
      <c r="AP9">
        <f>+'10% CO Elab'!S9</f>
        <v>2</v>
      </c>
      <c r="AQ9" t="str">
        <f>+'10% CO Elab'!T9</f>
        <v>ETHYLENE</v>
      </c>
      <c r="AR9" t="str">
        <f>+'10% CO Elab'!U9</f>
        <v>C2H4</v>
      </c>
      <c r="AS9" t="str">
        <f>+'10% CO Elab'!V9</f>
        <v>C2-O</v>
      </c>
      <c r="AT9">
        <f>+'10% CO Elab'!W9</f>
        <v>3.6794307430909692</v>
      </c>
      <c r="AU9">
        <f>+'10% CO Elab'!X9</f>
        <v>7.3588614861819384</v>
      </c>
      <c r="AW9">
        <f>+'10% CO Elab'!AB9</f>
        <v>1.3359576240831665E-2</v>
      </c>
      <c r="AX9" s="20">
        <v>2</v>
      </c>
      <c r="AY9" s="20" t="s">
        <v>309</v>
      </c>
      <c r="AZ9" s="20" t="s">
        <v>310</v>
      </c>
      <c r="BA9" s="20">
        <v>6</v>
      </c>
      <c r="BB9" s="20" t="s">
        <v>42</v>
      </c>
      <c r="BC9" s="20" t="s">
        <v>311</v>
      </c>
      <c r="BD9" s="20">
        <v>1</v>
      </c>
      <c r="BE9" s="20" t="s">
        <v>122</v>
      </c>
      <c r="BF9" s="20" t="s">
        <v>310</v>
      </c>
      <c r="BG9" s="20">
        <v>4</v>
      </c>
      <c r="BH9" s="20" t="s">
        <v>312</v>
      </c>
      <c r="BI9" s="1"/>
      <c r="BJ9">
        <f>+'10% CO Elab'!AA9</f>
        <v>6.6683275258930613E-2</v>
      </c>
      <c r="BK9" s="20">
        <f t="shared" si="15"/>
        <v>2</v>
      </c>
      <c r="BL9" s="20" t="s">
        <v>41</v>
      </c>
      <c r="BM9" s="20" t="str">
        <f t="shared" si="4"/>
        <v>+</v>
      </c>
      <c r="BN9" s="20">
        <f t="shared" si="16"/>
        <v>4</v>
      </c>
      <c r="BO9" s="20" t="str">
        <f t="shared" si="17"/>
        <v>H2</v>
      </c>
      <c r="BP9" s="20" t="str">
        <f t="shared" si="18"/>
        <v>=</v>
      </c>
      <c r="BQ9" s="20">
        <f t="shared" si="5"/>
        <v>1</v>
      </c>
      <c r="BR9" s="20" t="str">
        <f t="shared" si="6"/>
        <v>C2H4</v>
      </c>
      <c r="BS9" s="20" t="str">
        <f t="shared" si="7"/>
        <v>+</v>
      </c>
      <c r="BT9" s="20">
        <f t="shared" si="23"/>
        <v>2</v>
      </c>
      <c r="BU9" s="20" t="str">
        <f t="shared" si="19"/>
        <v>H2O</v>
      </c>
      <c r="BW9">
        <f t="shared" si="20"/>
        <v>5.343830496332666E-2</v>
      </c>
      <c r="BX9">
        <f t="shared" si="21"/>
        <v>0.13336655051786123</v>
      </c>
    </row>
    <row r="10" spans="5:76" x14ac:dyDescent="0.2">
      <c r="E10">
        <f>+'5% CO Elab'!R10</f>
        <v>5</v>
      </c>
      <c r="F10">
        <f>+'5% CO Elab'!S10</f>
        <v>3</v>
      </c>
      <c r="G10" t="str">
        <f>+'5% CO Elab'!T10</f>
        <v>PROPANE</v>
      </c>
      <c r="H10" t="str">
        <f>+'5% CO Elab'!U10</f>
        <v>C3H8</v>
      </c>
      <c r="I10" t="str">
        <f>+'5% CO Elab'!V10</f>
        <v>C3</v>
      </c>
      <c r="J10">
        <f>+'5% CO Elab'!W10</f>
        <v>0.34478411114996343</v>
      </c>
      <c r="L10">
        <f>+'5% CO Elab'!AB10</f>
        <v>3.2786872970169902E-3</v>
      </c>
      <c r="M10" s="20">
        <v>3</v>
      </c>
      <c r="N10" s="20" t="s">
        <v>309</v>
      </c>
      <c r="O10" s="20" t="s">
        <v>310</v>
      </c>
      <c r="P10" s="20">
        <v>10</v>
      </c>
      <c r="Q10" s="20" t="s">
        <v>42</v>
      </c>
      <c r="R10" s="20" t="s">
        <v>311</v>
      </c>
      <c r="S10" s="20">
        <v>1</v>
      </c>
      <c r="T10" s="20" t="s">
        <v>125</v>
      </c>
      <c r="U10" s="20" t="s">
        <v>310</v>
      </c>
      <c r="V10" s="20">
        <v>6</v>
      </c>
      <c r="W10" s="20" t="s">
        <v>312</v>
      </c>
      <c r="X10" s="1"/>
      <c r="Y10">
        <f>+'5% CO Elab'!AA10</f>
        <v>9.3170488198238179E-3</v>
      </c>
      <c r="Z10" s="20">
        <f t="shared" si="8"/>
        <v>3</v>
      </c>
      <c r="AA10" s="20" t="s">
        <v>41</v>
      </c>
      <c r="AB10" s="20" t="str">
        <f t="shared" si="0"/>
        <v>+</v>
      </c>
      <c r="AC10" s="20">
        <f t="shared" si="9"/>
        <v>7</v>
      </c>
      <c r="AD10" s="20" t="str">
        <f t="shared" si="10"/>
        <v>H2</v>
      </c>
      <c r="AE10" s="20" t="str">
        <f t="shared" si="11"/>
        <v>=</v>
      </c>
      <c r="AF10" s="20">
        <f t="shared" si="1"/>
        <v>1</v>
      </c>
      <c r="AG10" s="20" t="str">
        <f t="shared" si="2"/>
        <v>C3H8</v>
      </c>
      <c r="AH10" s="20" t="str">
        <f t="shared" si="3"/>
        <v>+</v>
      </c>
      <c r="AI10" s="20">
        <f t="shared" si="22"/>
        <v>3</v>
      </c>
      <c r="AJ10" s="20" t="str">
        <f t="shared" si="12"/>
        <v>H2O</v>
      </c>
      <c r="AL10">
        <f t="shared" si="13"/>
        <v>1.9672123782101942E-2</v>
      </c>
      <c r="AM10">
        <f t="shared" si="14"/>
        <v>2.7951146459471454E-2</v>
      </c>
      <c r="AP10">
        <f>+'10% CO Elab'!S10</f>
        <v>3</v>
      </c>
      <c r="AQ10" t="str">
        <f>+'10% CO Elab'!T10</f>
        <v>PROPANE</v>
      </c>
      <c r="AR10" t="str">
        <f>+'10% CO Elab'!U10</f>
        <v>C3H8</v>
      </c>
      <c r="AS10" t="str">
        <f>+'10% CO Elab'!V10</f>
        <v>C3</v>
      </c>
      <c r="AT10">
        <f>+'10% CO Elab'!W10</f>
        <v>0.39063532844270554</v>
      </c>
      <c r="AU10">
        <f>+'10% CO Elab'!X10</f>
        <v>1.1719059853281166</v>
      </c>
      <c r="AW10">
        <f>+'10% CO Elab'!AB10</f>
        <v>2.1275257575477146E-3</v>
      </c>
      <c r="AX10" s="20">
        <v>3</v>
      </c>
      <c r="AY10" s="20" t="s">
        <v>309</v>
      </c>
      <c r="AZ10" s="20" t="s">
        <v>310</v>
      </c>
      <c r="BA10" s="20">
        <v>10</v>
      </c>
      <c r="BB10" s="20" t="s">
        <v>42</v>
      </c>
      <c r="BC10" s="20" t="s">
        <v>311</v>
      </c>
      <c r="BD10" s="20">
        <v>1</v>
      </c>
      <c r="BE10" s="20" t="s">
        <v>125</v>
      </c>
      <c r="BF10" s="20" t="s">
        <v>310</v>
      </c>
      <c r="BG10" s="20">
        <v>6</v>
      </c>
      <c r="BH10" s="20" t="s">
        <v>312</v>
      </c>
      <c r="BI10" s="1"/>
      <c r="BJ10">
        <f>+'10% CO Elab'!AA10</f>
        <v>1.0619377677370652E-2</v>
      </c>
      <c r="BK10" s="20">
        <f t="shared" si="15"/>
        <v>3</v>
      </c>
      <c r="BL10" s="20" t="s">
        <v>41</v>
      </c>
      <c r="BM10" s="20" t="str">
        <f t="shared" si="4"/>
        <v>+</v>
      </c>
      <c r="BN10" s="20">
        <f t="shared" si="16"/>
        <v>7</v>
      </c>
      <c r="BO10" s="20" t="str">
        <f t="shared" si="17"/>
        <v>H2</v>
      </c>
      <c r="BP10" s="20" t="str">
        <f t="shared" si="18"/>
        <v>=</v>
      </c>
      <c r="BQ10" s="20">
        <f t="shared" si="5"/>
        <v>1</v>
      </c>
      <c r="BR10" s="20" t="str">
        <f t="shared" si="6"/>
        <v>C3H8</v>
      </c>
      <c r="BS10" s="20" t="str">
        <f t="shared" si="7"/>
        <v>+</v>
      </c>
      <c r="BT10" s="20">
        <f t="shared" si="23"/>
        <v>3</v>
      </c>
      <c r="BU10" s="20" t="str">
        <f t="shared" si="19"/>
        <v>H2O</v>
      </c>
      <c r="BW10">
        <f t="shared" si="20"/>
        <v>1.2765154545286287E-2</v>
      </c>
      <c r="BX10">
        <f t="shared" si="21"/>
        <v>3.1858133032111956E-2</v>
      </c>
    </row>
    <row r="11" spans="5:76" x14ac:dyDescent="0.2">
      <c r="E11">
        <f>+'5% CO Elab'!R11</f>
        <v>6</v>
      </c>
      <c r="F11">
        <f>+'5% CO Elab'!S11</f>
        <v>3</v>
      </c>
      <c r="G11" t="str">
        <f>+'5% CO Elab'!T11</f>
        <v>PROPYLENE</v>
      </c>
      <c r="H11" t="str">
        <f>+'5% CO Elab'!U11</f>
        <v>C3H6-2</v>
      </c>
      <c r="I11" t="str">
        <f>+'5% CO Elab'!V11</f>
        <v>C3-O</v>
      </c>
      <c r="J11">
        <f>+'5% CO Elab'!W11</f>
        <v>3.1630215635472081</v>
      </c>
      <c r="L11">
        <f>+'5% CO Elab'!AB11</f>
        <v>3.0078412215702101E-2</v>
      </c>
      <c r="M11" s="20">
        <v>3</v>
      </c>
      <c r="N11" s="20" t="s">
        <v>309</v>
      </c>
      <c r="O11" s="20" t="s">
        <v>310</v>
      </c>
      <c r="P11" s="20">
        <v>9</v>
      </c>
      <c r="Q11" s="20" t="s">
        <v>42</v>
      </c>
      <c r="R11" s="20" t="s">
        <v>311</v>
      </c>
      <c r="S11" s="20">
        <v>1</v>
      </c>
      <c r="T11" s="20" t="s">
        <v>313</v>
      </c>
      <c r="U11" s="20" t="s">
        <v>310</v>
      </c>
      <c r="V11" s="20">
        <v>6</v>
      </c>
      <c r="W11" s="20" t="s">
        <v>312</v>
      </c>
      <c r="X11" s="1"/>
      <c r="Y11">
        <f>+'5% CO Elab'!AA11</f>
        <v>8.5473852688376498E-2</v>
      </c>
      <c r="Z11" s="20">
        <f t="shared" si="8"/>
        <v>3</v>
      </c>
      <c r="AA11" s="20" t="s">
        <v>41</v>
      </c>
      <c r="AB11" s="20" t="str">
        <f t="shared" si="0"/>
        <v>+</v>
      </c>
      <c r="AC11" s="20">
        <f t="shared" si="9"/>
        <v>6</v>
      </c>
      <c r="AD11" s="20" t="str">
        <f t="shared" si="10"/>
        <v>H2</v>
      </c>
      <c r="AE11" s="20" t="str">
        <f t="shared" si="11"/>
        <v>=</v>
      </c>
      <c r="AF11" s="20">
        <f t="shared" si="1"/>
        <v>1</v>
      </c>
      <c r="AG11" s="20" t="str">
        <f t="shared" si="2"/>
        <v>C3H6</v>
      </c>
      <c r="AH11" s="20" t="str">
        <f t="shared" si="3"/>
        <v>+</v>
      </c>
      <c r="AI11" s="20">
        <f t="shared" si="22"/>
        <v>3</v>
      </c>
      <c r="AJ11" s="20" t="str">
        <f t="shared" si="12"/>
        <v>H2O</v>
      </c>
      <c r="AL11">
        <f t="shared" si="13"/>
        <v>0.18047047329421262</v>
      </c>
      <c r="AM11">
        <f t="shared" si="14"/>
        <v>0.25642155806512951</v>
      </c>
      <c r="AP11">
        <f>+'10% CO Elab'!S11</f>
        <v>3</v>
      </c>
      <c r="AQ11" t="str">
        <f>+'10% CO Elab'!T11</f>
        <v>PROPYLENE</v>
      </c>
      <c r="AR11" t="str">
        <f>+'10% CO Elab'!U11</f>
        <v>C3H6-2</v>
      </c>
      <c r="AS11" t="str">
        <f>+'10% CO Elab'!V11</f>
        <v>C3-O</v>
      </c>
      <c r="AT11">
        <f>+'10% CO Elab'!W11</f>
        <v>3.6599446857857001</v>
      </c>
      <c r="AU11">
        <f>+'10% CO Elab'!X11</f>
        <v>10.979834057357101</v>
      </c>
      <c r="AW11">
        <f>+'10% CO Elab'!AB11</f>
        <v>1.9933237019935889E-2</v>
      </c>
      <c r="AX11" s="20">
        <v>3</v>
      </c>
      <c r="AY11" s="20" t="s">
        <v>309</v>
      </c>
      <c r="AZ11" s="20" t="s">
        <v>310</v>
      </c>
      <c r="BA11" s="20">
        <v>9</v>
      </c>
      <c r="BB11" s="20" t="s">
        <v>42</v>
      </c>
      <c r="BC11" s="20" t="s">
        <v>311</v>
      </c>
      <c r="BD11" s="20">
        <v>1</v>
      </c>
      <c r="BE11" s="20" t="s">
        <v>313</v>
      </c>
      <c r="BF11" s="20" t="s">
        <v>310</v>
      </c>
      <c r="BG11" s="20">
        <v>6</v>
      </c>
      <c r="BH11" s="20" t="s">
        <v>312</v>
      </c>
      <c r="BI11" s="1"/>
      <c r="BJ11">
        <f>+'10% CO Elab'!AA11</f>
        <v>9.9495186601752869E-2</v>
      </c>
      <c r="BK11" s="20">
        <f t="shared" si="15"/>
        <v>3</v>
      </c>
      <c r="BL11" s="20" t="s">
        <v>41</v>
      </c>
      <c r="BM11" s="20" t="str">
        <f t="shared" si="4"/>
        <v>+</v>
      </c>
      <c r="BN11" s="20">
        <f t="shared" si="16"/>
        <v>6</v>
      </c>
      <c r="BO11" s="20" t="str">
        <f t="shared" si="17"/>
        <v>H2</v>
      </c>
      <c r="BP11" s="20" t="str">
        <f t="shared" si="18"/>
        <v>=</v>
      </c>
      <c r="BQ11" s="20">
        <f t="shared" si="5"/>
        <v>1</v>
      </c>
      <c r="BR11" s="20" t="str">
        <f t="shared" si="6"/>
        <v>C3H6</v>
      </c>
      <c r="BS11" s="20" t="str">
        <f t="shared" si="7"/>
        <v>+</v>
      </c>
      <c r="BT11" s="20">
        <f t="shared" si="23"/>
        <v>3</v>
      </c>
      <c r="BU11" s="20" t="str">
        <f t="shared" si="19"/>
        <v>H2O</v>
      </c>
      <c r="BW11">
        <f t="shared" si="20"/>
        <v>0.11959942211961533</v>
      </c>
      <c r="BX11">
        <f t="shared" si="21"/>
        <v>0.29848555980525859</v>
      </c>
    </row>
    <row r="12" spans="5:76" x14ac:dyDescent="0.2">
      <c r="E12">
        <f>+'5% CO Elab'!R12</f>
        <v>7</v>
      </c>
      <c r="F12">
        <f>+'5% CO Elab'!S12</f>
        <v>4</v>
      </c>
      <c r="G12" t="str">
        <f>+'5% CO Elab'!T12</f>
        <v>N-BUTANE</v>
      </c>
      <c r="H12" t="str">
        <f>+'5% CO Elab'!U12</f>
        <v>C4H10-1</v>
      </c>
      <c r="I12" t="str">
        <f>+'5% CO Elab'!V12</f>
        <v>C4</v>
      </c>
      <c r="J12">
        <f>+'5% CO Elab'!W12</f>
        <v>0.2525480101226053</v>
      </c>
      <c r="L12">
        <f>+'5% CO Elab'!AB12</f>
        <v>3.2021040641506647E-3</v>
      </c>
      <c r="M12" s="20">
        <v>4</v>
      </c>
      <c r="N12" s="20" t="s">
        <v>309</v>
      </c>
      <c r="O12" s="20" t="s">
        <v>310</v>
      </c>
      <c r="P12" s="20">
        <v>13</v>
      </c>
      <c r="Q12" s="20" t="s">
        <v>42</v>
      </c>
      <c r="R12" s="20" t="s">
        <v>311</v>
      </c>
      <c r="S12" s="20">
        <v>1</v>
      </c>
      <c r="T12" s="20" t="s">
        <v>314</v>
      </c>
      <c r="U12" s="20" t="s">
        <v>310</v>
      </c>
      <c r="V12" s="20">
        <v>8</v>
      </c>
      <c r="W12" s="20" t="s">
        <v>312</v>
      </c>
      <c r="X12" s="1"/>
      <c r="Y12">
        <f>+'5% CO Elab'!AA12</f>
        <v>9.0994221739266398E-3</v>
      </c>
      <c r="Z12" s="20">
        <f t="shared" si="8"/>
        <v>4</v>
      </c>
      <c r="AA12" s="20" t="s">
        <v>41</v>
      </c>
      <c r="AB12" s="20" t="str">
        <f t="shared" si="0"/>
        <v>+</v>
      </c>
      <c r="AC12" s="20">
        <f t="shared" si="9"/>
        <v>9</v>
      </c>
      <c r="AD12" s="20" t="str">
        <f t="shared" si="10"/>
        <v>H2</v>
      </c>
      <c r="AE12" s="20" t="str">
        <f t="shared" si="11"/>
        <v>=</v>
      </c>
      <c r="AF12" s="20">
        <f t="shared" si="1"/>
        <v>1</v>
      </c>
      <c r="AG12" s="20" t="str">
        <f t="shared" si="2"/>
        <v>C4H10</v>
      </c>
      <c r="AH12" s="20" t="str">
        <f t="shared" si="3"/>
        <v>+</v>
      </c>
      <c r="AI12" s="20">
        <f t="shared" si="22"/>
        <v>4</v>
      </c>
      <c r="AJ12" s="20" t="str">
        <f t="shared" si="12"/>
        <v>H2O</v>
      </c>
      <c r="AL12">
        <f t="shared" si="13"/>
        <v>2.5616832513205318E-2</v>
      </c>
      <c r="AM12">
        <f t="shared" si="14"/>
        <v>3.6397688695706559E-2</v>
      </c>
      <c r="AP12">
        <f>+'10% CO Elab'!S12</f>
        <v>4</v>
      </c>
      <c r="AQ12" t="str">
        <f>+'10% CO Elab'!T12</f>
        <v>N-BUTANE</v>
      </c>
      <c r="AR12" t="str">
        <f>+'10% CO Elab'!U12</f>
        <v>C4H10-1</v>
      </c>
      <c r="AS12" t="str">
        <f>+'10% CO Elab'!V12</f>
        <v>C4</v>
      </c>
      <c r="AT12">
        <f>+'10% CO Elab'!W12</f>
        <v>0.26992945538882374</v>
      </c>
      <c r="AU12">
        <f>+'10% CO Elab'!X12</f>
        <v>1.0797178215552949</v>
      </c>
      <c r="AW12">
        <f>+'10% CO Elab'!AB12</f>
        <v>1.9601636180730272E-3</v>
      </c>
      <c r="AX12" s="20">
        <v>4</v>
      </c>
      <c r="AY12" s="20" t="s">
        <v>309</v>
      </c>
      <c r="AZ12" s="20" t="s">
        <v>310</v>
      </c>
      <c r="BA12" s="20">
        <v>13</v>
      </c>
      <c r="BB12" s="20" t="s">
        <v>42</v>
      </c>
      <c r="BC12" s="20" t="s">
        <v>311</v>
      </c>
      <c r="BD12" s="20">
        <v>1</v>
      </c>
      <c r="BE12" s="20" t="s">
        <v>314</v>
      </c>
      <c r="BF12" s="20" t="s">
        <v>310</v>
      </c>
      <c r="BG12" s="20">
        <v>8</v>
      </c>
      <c r="BH12" s="20" t="s">
        <v>312</v>
      </c>
      <c r="BI12" s="1"/>
      <c r="BJ12">
        <f>+'10% CO Elab'!AA12</f>
        <v>9.7840027063888346E-3</v>
      </c>
      <c r="BK12" s="20">
        <f t="shared" si="15"/>
        <v>4</v>
      </c>
      <c r="BL12" s="20" t="s">
        <v>41</v>
      </c>
      <c r="BM12" s="20" t="str">
        <f t="shared" si="4"/>
        <v>+</v>
      </c>
      <c r="BN12" s="20">
        <f t="shared" si="16"/>
        <v>9</v>
      </c>
      <c r="BO12" s="20" t="str">
        <f t="shared" si="17"/>
        <v>H2</v>
      </c>
      <c r="BP12" s="20" t="str">
        <f t="shared" si="18"/>
        <v>=</v>
      </c>
      <c r="BQ12" s="20">
        <f t="shared" si="5"/>
        <v>1</v>
      </c>
      <c r="BR12" s="20" t="str">
        <f t="shared" si="6"/>
        <v>C4H10</v>
      </c>
      <c r="BS12" s="20" t="str">
        <f t="shared" si="7"/>
        <v>+</v>
      </c>
      <c r="BT12" s="20">
        <f t="shared" si="23"/>
        <v>4</v>
      </c>
      <c r="BU12" s="20" t="str">
        <f t="shared" si="19"/>
        <v>H2O</v>
      </c>
      <c r="BW12">
        <f t="shared" si="20"/>
        <v>1.5681308944584218E-2</v>
      </c>
      <c r="BX12">
        <f t="shared" si="21"/>
        <v>3.9136010825555338E-2</v>
      </c>
    </row>
    <row r="13" spans="5:76" x14ac:dyDescent="0.2">
      <c r="E13">
        <f>+'5% CO Elab'!R13</f>
        <v>8</v>
      </c>
      <c r="F13">
        <f>+'5% CO Elab'!S13</f>
        <v>4</v>
      </c>
      <c r="G13" t="str">
        <f>+'5% CO Elab'!T13</f>
        <v>ISOBUTANE</v>
      </c>
      <c r="H13" t="str">
        <f>+'5% CO Elab'!U13</f>
        <v>C4H10-2</v>
      </c>
      <c r="I13" t="str">
        <f>+'5% CO Elab'!V13</f>
        <v>C4-IP</v>
      </c>
      <c r="J13">
        <f>+'5% CO Elab'!W13</f>
        <v>9.861334818537966E-3</v>
      </c>
      <c r="L13">
        <f>+'5% CO Elab'!AB13</f>
        <v>1.2503373233889697E-4</v>
      </c>
      <c r="M13" s="20">
        <v>4</v>
      </c>
      <c r="N13" s="20" t="s">
        <v>309</v>
      </c>
      <c r="O13" s="20" t="s">
        <v>310</v>
      </c>
      <c r="P13" s="20">
        <v>13</v>
      </c>
      <c r="Q13" s="20" t="s">
        <v>42</v>
      </c>
      <c r="R13" s="20" t="s">
        <v>311</v>
      </c>
      <c r="S13" s="20">
        <v>1</v>
      </c>
      <c r="T13" s="20" t="s">
        <v>314</v>
      </c>
      <c r="U13" s="20" t="s">
        <v>310</v>
      </c>
      <c r="V13" s="20">
        <v>8</v>
      </c>
      <c r="W13" s="20" t="s">
        <v>312</v>
      </c>
      <c r="X13" s="1"/>
      <c r="Y13">
        <f>+'5% CO Elab'!AA13</f>
        <v>3.5530847647049959E-4</v>
      </c>
      <c r="Z13" s="20">
        <f t="shared" si="8"/>
        <v>4</v>
      </c>
      <c r="AA13" s="20" t="s">
        <v>41</v>
      </c>
      <c r="AB13" s="20" t="str">
        <f t="shared" si="0"/>
        <v>+</v>
      </c>
      <c r="AC13" s="20">
        <f t="shared" si="9"/>
        <v>9</v>
      </c>
      <c r="AD13" s="20" t="str">
        <f t="shared" si="10"/>
        <v>H2</v>
      </c>
      <c r="AE13" s="20" t="str">
        <f t="shared" si="11"/>
        <v>=</v>
      </c>
      <c r="AF13" s="20">
        <f t="shared" si="1"/>
        <v>1</v>
      </c>
      <c r="AG13" s="20" t="str">
        <f t="shared" si="2"/>
        <v>C4H10</v>
      </c>
      <c r="AH13" s="20" t="str">
        <f t="shared" si="3"/>
        <v>+</v>
      </c>
      <c r="AI13" s="20">
        <f t="shared" si="22"/>
        <v>4</v>
      </c>
      <c r="AJ13" s="20" t="str">
        <f t="shared" si="12"/>
        <v>H2O</v>
      </c>
      <c r="AL13">
        <f t="shared" si="13"/>
        <v>1.0002698587111758E-3</v>
      </c>
      <c r="AM13">
        <f t="shared" si="14"/>
        <v>1.4212339058819984E-3</v>
      </c>
      <c r="AP13">
        <f>+'10% CO Elab'!S13</f>
        <v>4</v>
      </c>
      <c r="AQ13" t="str">
        <f>+'10% CO Elab'!T13</f>
        <v>ISOBUTANE</v>
      </c>
      <c r="AR13" t="str">
        <f>+'10% CO Elab'!U13</f>
        <v>C4H10-2</v>
      </c>
      <c r="AS13" t="str">
        <f>+'10% CO Elab'!V13</f>
        <v>C4-IP</v>
      </c>
      <c r="AT13">
        <f>+'10% CO Elab'!W13</f>
        <v>9.0662519919708761E-3</v>
      </c>
      <c r="AU13">
        <f>+'10% CO Elab'!X13</f>
        <v>3.6265007967883504E-2</v>
      </c>
      <c r="AW13">
        <f>+'10% CO Elab'!AB13</f>
        <v>6.5836969445755536E-5</v>
      </c>
      <c r="AX13" s="20">
        <v>4</v>
      </c>
      <c r="AY13" s="20" t="s">
        <v>309</v>
      </c>
      <c r="AZ13" s="20" t="s">
        <v>310</v>
      </c>
      <c r="BA13" s="20">
        <v>13</v>
      </c>
      <c r="BB13" s="20" t="s">
        <v>42</v>
      </c>
      <c r="BC13" s="20" t="s">
        <v>311</v>
      </c>
      <c r="BD13" s="20">
        <v>1</v>
      </c>
      <c r="BE13" s="20" t="s">
        <v>314</v>
      </c>
      <c r="BF13" s="20" t="s">
        <v>310</v>
      </c>
      <c r="BG13" s="20">
        <v>8</v>
      </c>
      <c r="BH13" s="20" t="s">
        <v>312</v>
      </c>
      <c r="BI13" s="1"/>
      <c r="BJ13">
        <f>+'10% CO Elab'!AA13</f>
        <v>3.2862006074317059E-4</v>
      </c>
      <c r="BK13" s="20">
        <f t="shared" si="15"/>
        <v>4</v>
      </c>
      <c r="BL13" s="20" t="s">
        <v>41</v>
      </c>
      <c r="BM13" s="20" t="str">
        <f t="shared" si="4"/>
        <v>+</v>
      </c>
      <c r="BN13" s="20">
        <f t="shared" si="16"/>
        <v>9</v>
      </c>
      <c r="BO13" s="20" t="str">
        <f t="shared" si="17"/>
        <v>H2</v>
      </c>
      <c r="BP13" s="20" t="str">
        <f t="shared" si="18"/>
        <v>=</v>
      </c>
      <c r="BQ13" s="20">
        <f t="shared" si="5"/>
        <v>1</v>
      </c>
      <c r="BR13" s="20" t="str">
        <f t="shared" si="6"/>
        <v>C4H10</v>
      </c>
      <c r="BS13" s="20" t="str">
        <f t="shared" si="7"/>
        <v>+</v>
      </c>
      <c r="BT13" s="20">
        <f t="shared" si="23"/>
        <v>4</v>
      </c>
      <c r="BU13" s="20" t="str">
        <f t="shared" si="19"/>
        <v>H2O</v>
      </c>
      <c r="BW13">
        <f t="shared" si="20"/>
        <v>5.2669575556604429E-4</v>
      </c>
      <c r="BX13">
        <f t="shared" si="21"/>
        <v>1.3144802429726824E-3</v>
      </c>
    </row>
    <row r="14" spans="5:76" x14ac:dyDescent="0.2">
      <c r="E14">
        <f>+'5% CO Elab'!R14</f>
        <v>9</v>
      </c>
      <c r="F14">
        <f>+'5% CO Elab'!S14</f>
        <v>4</v>
      </c>
      <c r="G14" t="str">
        <f>+'5% CO Elab'!T14</f>
        <v>1-BUTENE</v>
      </c>
      <c r="H14" t="str">
        <f>+'5% CO Elab'!U14</f>
        <v>C4H8-1</v>
      </c>
      <c r="I14" t="str">
        <f>+'5% CO Elab'!V14</f>
        <v>C4-O</v>
      </c>
      <c r="J14">
        <f>+'5% CO Elab'!W14</f>
        <v>1.9261955109942335</v>
      </c>
      <c r="L14">
        <f>+'5% CO Elab'!AB14</f>
        <v>2.4422597790848009E-2</v>
      </c>
      <c r="M14" s="20">
        <v>4</v>
      </c>
      <c r="N14" s="20" t="s">
        <v>309</v>
      </c>
      <c r="O14" s="20" t="s">
        <v>310</v>
      </c>
      <c r="P14" s="20">
        <v>12</v>
      </c>
      <c r="Q14" s="20" t="s">
        <v>42</v>
      </c>
      <c r="R14" s="20" t="s">
        <v>311</v>
      </c>
      <c r="S14" s="20">
        <v>1</v>
      </c>
      <c r="T14" s="20" t="s">
        <v>315</v>
      </c>
      <c r="U14" s="20" t="s">
        <v>310</v>
      </c>
      <c r="V14" s="20">
        <v>8</v>
      </c>
      <c r="W14" s="20" t="s">
        <v>312</v>
      </c>
      <c r="X14" s="1"/>
      <c r="Y14">
        <f>+'5% CO Elab'!AA14</f>
        <v>6.9401719441582077E-2</v>
      </c>
      <c r="Z14" s="20">
        <f t="shared" si="8"/>
        <v>4</v>
      </c>
      <c r="AA14" s="20" t="s">
        <v>41</v>
      </c>
      <c r="AB14" s="20" t="str">
        <f t="shared" si="0"/>
        <v>+</v>
      </c>
      <c r="AC14" s="20">
        <f t="shared" si="9"/>
        <v>8</v>
      </c>
      <c r="AD14" s="20" t="str">
        <f t="shared" si="10"/>
        <v>H2</v>
      </c>
      <c r="AE14" s="20" t="str">
        <f t="shared" si="11"/>
        <v>=</v>
      </c>
      <c r="AF14" s="20">
        <f t="shared" si="1"/>
        <v>1</v>
      </c>
      <c r="AG14" s="20" t="str">
        <f t="shared" si="2"/>
        <v>C4H8</v>
      </c>
      <c r="AH14" s="20" t="str">
        <f t="shared" si="3"/>
        <v>+</v>
      </c>
      <c r="AI14" s="20">
        <f t="shared" si="22"/>
        <v>4</v>
      </c>
      <c r="AJ14" s="20" t="str">
        <f t="shared" si="12"/>
        <v>H2O</v>
      </c>
      <c r="AL14">
        <f t="shared" si="13"/>
        <v>0.19538078232678407</v>
      </c>
      <c r="AM14">
        <f t="shared" si="14"/>
        <v>0.27760687776632831</v>
      </c>
      <c r="AP14">
        <f>+'10% CO Elab'!S14</f>
        <v>4</v>
      </c>
      <c r="AQ14" t="str">
        <f>+'10% CO Elab'!T14</f>
        <v>1-BUTENE</v>
      </c>
      <c r="AR14" t="str">
        <f>+'10% CO Elab'!U14</f>
        <v>C4H8-1</v>
      </c>
      <c r="AS14" t="str">
        <f>+'10% CO Elab'!V14</f>
        <v>C4-O</v>
      </c>
      <c r="AT14">
        <f>+'10% CO Elab'!W14</f>
        <v>2.1937453695289362</v>
      </c>
      <c r="AU14">
        <f>+'10% CO Elab'!X14</f>
        <v>8.7749814781157447</v>
      </c>
      <c r="AW14">
        <f>+'10% CO Elab'!AB14</f>
        <v>1.5930458031979688E-2</v>
      </c>
      <c r="AX14" s="20">
        <v>4</v>
      </c>
      <c r="AY14" s="20" t="s">
        <v>309</v>
      </c>
      <c r="AZ14" s="20" t="s">
        <v>310</v>
      </c>
      <c r="BA14" s="20">
        <v>12</v>
      </c>
      <c r="BB14" s="20" t="s">
        <v>42</v>
      </c>
      <c r="BC14" s="20" t="s">
        <v>311</v>
      </c>
      <c r="BD14" s="20">
        <v>1</v>
      </c>
      <c r="BE14" s="20" t="s">
        <v>315</v>
      </c>
      <c r="BF14" s="20" t="s">
        <v>310</v>
      </c>
      <c r="BG14" s="20">
        <v>8</v>
      </c>
      <c r="BH14" s="20" t="s">
        <v>312</v>
      </c>
      <c r="BI14" s="1"/>
      <c r="BJ14">
        <f>+'10% CO Elab'!AA14</f>
        <v>7.9515629747340916E-2</v>
      </c>
      <c r="BK14" s="20">
        <f t="shared" si="15"/>
        <v>4</v>
      </c>
      <c r="BL14" s="20" t="s">
        <v>41</v>
      </c>
      <c r="BM14" s="20" t="str">
        <f t="shared" si="4"/>
        <v>+</v>
      </c>
      <c r="BN14" s="20">
        <f t="shared" si="16"/>
        <v>8</v>
      </c>
      <c r="BO14" s="20" t="str">
        <f t="shared" si="17"/>
        <v>H2</v>
      </c>
      <c r="BP14" s="20" t="str">
        <f t="shared" si="18"/>
        <v>=</v>
      </c>
      <c r="BQ14" s="20">
        <f t="shared" si="5"/>
        <v>1</v>
      </c>
      <c r="BR14" s="20" t="str">
        <f t="shared" si="6"/>
        <v>C4H8</v>
      </c>
      <c r="BS14" s="20" t="str">
        <f t="shared" si="7"/>
        <v>+</v>
      </c>
      <c r="BT14" s="20">
        <f t="shared" si="23"/>
        <v>4</v>
      </c>
      <c r="BU14" s="20" t="str">
        <f t="shared" si="19"/>
        <v>H2O</v>
      </c>
      <c r="BW14">
        <f t="shared" si="20"/>
        <v>0.1274436642558375</v>
      </c>
      <c r="BX14">
        <f t="shared" si="21"/>
        <v>0.31806251898936366</v>
      </c>
    </row>
    <row r="15" spans="5:76" x14ac:dyDescent="0.2">
      <c r="E15">
        <f>+'5% CO Elab'!R15</f>
        <v>10</v>
      </c>
      <c r="F15">
        <f>+'5% CO Elab'!S15</f>
        <v>5</v>
      </c>
      <c r="G15" t="str">
        <f>+'5% CO Elab'!T15</f>
        <v>N-PENTANE</v>
      </c>
      <c r="H15" t="str">
        <f>+'5% CO Elab'!U15</f>
        <v>C5H12-1</v>
      </c>
      <c r="I15" t="str">
        <f>+'5% CO Elab'!V15</f>
        <v>C5</v>
      </c>
      <c r="J15">
        <f>+'5% CO Elab'!W15</f>
        <v>3.3633768471634337E-2</v>
      </c>
      <c r="L15">
        <f>+'5% CO Elab'!AB15</f>
        <v>5.3306115272615836E-4</v>
      </c>
      <c r="M15" s="20">
        <v>5</v>
      </c>
      <c r="N15" s="20" t="s">
        <v>309</v>
      </c>
      <c r="O15" s="20" t="s">
        <v>310</v>
      </c>
      <c r="P15" s="20">
        <v>16</v>
      </c>
      <c r="Q15" s="20" t="s">
        <v>42</v>
      </c>
      <c r="R15" s="20" t="s">
        <v>311</v>
      </c>
      <c r="S15" s="20">
        <v>1</v>
      </c>
      <c r="T15" s="20" t="s">
        <v>316</v>
      </c>
      <c r="U15" s="20" t="s">
        <v>310</v>
      </c>
      <c r="V15" s="20">
        <v>10</v>
      </c>
      <c r="W15" s="20" t="s">
        <v>312</v>
      </c>
      <c r="X15" s="1"/>
      <c r="Y15">
        <f>+'5% CO Elab'!AA15</f>
        <v>1.5148003862459963E-3</v>
      </c>
      <c r="Z15" s="20">
        <f t="shared" si="8"/>
        <v>5</v>
      </c>
      <c r="AA15" s="20" t="s">
        <v>41</v>
      </c>
      <c r="AB15" s="20" t="str">
        <f t="shared" si="0"/>
        <v>+</v>
      </c>
      <c r="AC15" s="20">
        <f t="shared" si="9"/>
        <v>11</v>
      </c>
      <c r="AD15" s="20" t="str">
        <f t="shared" si="10"/>
        <v>H2</v>
      </c>
      <c r="AE15" s="20" t="str">
        <f t="shared" si="11"/>
        <v>=</v>
      </c>
      <c r="AF15" s="20">
        <f t="shared" si="1"/>
        <v>1</v>
      </c>
      <c r="AG15" s="20" t="str">
        <f t="shared" si="2"/>
        <v>C5H12</v>
      </c>
      <c r="AH15" s="20" t="str">
        <f t="shared" si="3"/>
        <v>+</v>
      </c>
      <c r="AI15" s="20">
        <f t="shared" si="22"/>
        <v>5</v>
      </c>
      <c r="AJ15" s="20" t="str">
        <f t="shared" si="12"/>
        <v>H2O</v>
      </c>
      <c r="AL15">
        <f t="shared" si="13"/>
        <v>5.3306115272615841E-3</v>
      </c>
      <c r="AM15">
        <f t="shared" si="14"/>
        <v>7.5740019312299815E-3</v>
      </c>
      <c r="AP15">
        <f>+'10% CO Elab'!S15</f>
        <v>5</v>
      </c>
      <c r="AQ15" t="str">
        <f>+'10% CO Elab'!T15</f>
        <v>N-PENTANE</v>
      </c>
      <c r="AR15" t="str">
        <f>+'10% CO Elab'!U15</f>
        <v>C5H12-1</v>
      </c>
      <c r="AS15" t="str">
        <f>+'10% CO Elab'!V15</f>
        <v>C5</v>
      </c>
      <c r="AT15">
        <f>+'10% CO Elab'!W15</f>
        <v>3.0922002549818205E-2</v>
      </c>
      <c r="AU15">
        <f>+'10% CO Elab'!X15</f>
        <v>0.15461001274909103</v>
      </c>
      <c r="AW15">
        <f>+'10% CO Elab'!AB15</f>
        <v>2.8068530122437609E-4</v>
      </c>
      <c r="AX15" s="20">
        <v>5</v>
      </c>
      <c r="AY15" s="20" t="s">
        <v>309</v>
      </c>
      <c r="AZ15" s="20" t="s">
        <v>310</v>
      </c>
      <c r="BA15" s="20">
        <v>16</v>
      </c>
      <c r="BB15" s="20" t="s">
        <v>42</v>
      </c>
      <c r="BC15" s="20" t="s">
        <v>311</v>
      </c>
      <c r="BD15" s="20">
        <v>1</v>
      </c>
      <c r="BE15" s="20" t="s">
        <v>316</v>
      </c>
      <c r="BF15" s="20" t="s">
        <v>310</v>
      </c>
      <c r="BG15" s="20">
        <v>10</v>
      </c>
      <c r="BH15" s="20" t="s">
        <v>312</v>
      </c>
      <c r="BI15" s="1"/>
      <c r="BJ15">
        <f>+'10% CO Elab'!AA15</f>
        <v>1.4010186300277248E-3</v>
      </c>
      <c r="BK15" s="20">
        <f t="shared" si="15"/>
        <v>5</v>
      </c>
      <c r="BL15" s="20" t="s">
        <v>41</v>
      </c>
      <c r="BM15" s="20" t="str">
        <f t="shared" si="4"/>
        <v>+</v>
      </c>
      <c r="BN15" s="20">
        <f t="shared" si="16"/>
        <v>11</v>
      </c>
      <c r="BO15" s="20" t="str">
        <f t="shared" si="17"/>
        <v>H2</v>
      </c>
      <c r="BP15" s="20" t="str">
        <f t="shared" si="18"/>
        <v>=</v>
      </c>
      <c r="BQ15" s="20">
        <f t="shared" si="5"/>
        <v>1</v>
      </c>
      <c r="BR15" s="20" t="str">
        <f t="shared" si="6"/>
        <v>C5H12</v>
      </c>
      <c r="BS15" s="20" t="str">
        <f t="shared" si="7"/>
        <v>+</v>
      </c>
      <c r="BT15" s="20">
        <f t="shared" si="23"/>
        <v>5</v>
      </c>
      <c r="BU15" s="20" t="str">
        <f t="shared" si="19"/>
        <v>H2O</v>
      </c>
      <c r="BW15">
        <f t="shared" si="20"/>
        <v>2.8068530122437609E-3</v>
      </c>
      <c r="BX15">
        <f t="shared" si="21"/>
        <v>7.0050931501386242E-3</v>
      </c>
    </row>
    <row r="16" spans="5:76" x14ac:dyDescent="0.2">
      <c r="E16">
        <f>+'5% CO Elab'!R16</f>
        <v>11</v>
      </c>
      <c r="F16">
        <f>+'5% CO Elab'!S16</f>
        <v>5</v>
      </c>
      <c r="G16" t="str">
        <f>+'5% CO Elab'!T16</f>
        <v>2-METHYL-1-BUTANE</v>
      </c>
      <c r="H16" t="str">
        <f>+'5% CO Elab'!U16</f>
        <v>C5H12-5</v>
      </c>
      <c r="I16" t="str">
        <f>+'5% CO Elab'!V16</f>
        <v>C5-IP</v>
      </c>
      <c r="J16">
        <f>+'5% CO Elab'!W16</f>
        <v>2.8455969793671199E-2</v>
      </c>
      <c r="L16">
        <f>+'5% CO Elab'!AB16</f>
        <v>4.5099828979758771E-4</v>
      </c>
      <c r="M16" s="20">
        <v>5</v>
      </c>
      <c r="N16" s="20" t="s">
        <v>309</v>
      </c>
      <c r="O16" s="20" t="s">
        <v>310</v>
      </c>
      <c r="P16" s="20">
        <v>16</v>
      </c>
      <c r="Q16" s="20" t="s">
        <v>42</v>
      </c>
      <c r="R16" s="20" t="s">
        <v>311</v>
      </c>
      <c r="S16" s="20">
        <v>1</v>
      </c>
      <c r="T16" s="20" t="s">
        <v>316</v>
      </c>
      <c r="U16" s="20" t="s">
        <v>310</v>
      </c>
      <c r="V16" s="20">
        <v>10</v>
      </c>
      <c r="W16" s="20" t="s">
        <v>312</v>
      </c>
      <c r="X16" s="1"/>
      <c r="Y16">
        <f>+'5% CO Elab'!AA16</f>
        <v>1.2816022703733309E-3</v>
      </c>
      <c r="Z16" s="20">
        <f t="shared" si="8"/>
        <v>5</v>
      </c>
      <c r="AA16" s="20" t="s">
        <v>41</v>
      </c>
      <c r="AB16" s="20" t="str">
        <f t="shared" si="0"/>
        <v>+</v>
      </c>
      <c r="AC16" s="20">
        <f t="shared" si="9"/>
        <v>11</v>
      </c>
      <c r="AD16" s="20" t="str">
        <f t="shared" si="10"/>
        <v>H2</v>
      </c>
      <c r="AE16" s="20" t="str">
        <f t="shared" si="11"/>
        <v>=</v>
      </c>
      <c r="AF16" s="20">
        <f t="shared" si="1"/>
        <v>1</v>
      </c>
      <c r="AG16" s="20" t="str">
        <f t="shared" si="2"/>
        <v>C5H12</v>
      </c>
      <c r="AH16" s="20" t="str">
        <f t="shared" si="3"/>
        <v>+</v>
      </c>
      <c r="AI16" s="20">
        <f t="shared" si="22"/>
        <v>5</v>
      </c>
      <c r="AJ16" s="20" t="str">
        <f t="shared" si="12"/>
        <v>H2O</v>
      </c>
      <c r="AL16">
        <f t="shared" si="13"/>
        <v>4.5099828979758769E-3</v>
      </c>
      <c r="AM16">
        <f t="shared" si="14"/>
        <v>6.4080113518666547E-3</v>
      </c>
      <c r="AP16">
        <f>+'10% CO Elab'!S16</f>
        <v>5</v>
      </c>
      <c r="AQ16" t="str">
        <f>+'10% CO Elab'!T16</f>
        <v>2-METHYL-1-BUTANE</v>
      </c>
      <c r="AR16" t="str">
        <f>+'10% CO Elab'!U16</f>
        <v>C5H12-5</v>
      </c>
      <c r="AS16" t="str">
        <f>+'10% CO Elab'!V16</f>
        <v>C5-IP</v>
      </c>
      <c r="AT16">
        <f>+'10% CO Elab'!W16</f>
        <v>9.0106537047203936E-2</v>
      </c>
      <c r="AU16">
        <f>+'10% CO Elab'!X16</f>
        <v>0.45053268523601969</v>
      </c>
      <c r="AW16">
        <f>+'10% CO Elab'!AB16</f>
        <v>8.1791534854939497E-4</v>
      </c>
      <c r="AX16" s="20">
        <v>5</v>
      </c>
      <c r="AY16" s="20" t="s">
        <v>309</v>
      </c>
      <c r="AZ16" s="20" t="s">
        <v>310</v>
      </c>
      <c r="BA16" s="20">
        <v>16</v>
      </c>
      <c r="BB16" s="20" t="s">
        <v>42</v>
      </c>
      <c r="BC16" s="20" t="s">
        <v>311</v>
      </c>
      <c r="BD16" s="20">
        <v>1</v>
      </c>
      <c r="BE16" s="20" t="s">
        <v>316</v>
      </c>
      <c r="BF16" s="20" t="s">
        <v>310</v>
      </c>
      <c r="BG16" s="20">
        <v>10</v>
      </c>
      <c r="BH16" s="20" t="s">
        <v>312</v>
      </c>
      <c r="BI16" s="1"/>
      <c r="BJ16">
        <f>+'10% CO Elab'!AA16</f>
        <v>4.0825602056991711E-3</v>
      </c>
      <c r="BK16" s="20">
        <f t="shared" si="15"/>
        <v>5</v>
      </c>
      <c r="BL16" s="20" t="s">
        <v>41</v>
      </c>
      <c r="BM16" s="20" t="str">
        <f t="shared" si="4"/>
        <v>+</v>
      </c>
      <c r="BN16" s="20">
        <f t="shared" si="16"/>
        <v>11</v>
      </c>
      <c r="BO16" s="20" t="str">
        <f t="shared" si="17"/>
        <v>H2</v>
      </c>
      <c r="BP16" s="20" t="str">
        <f t="shared" si="18"/>
        <v>=</v>
      </c>
      <c r="BQ16" s="20">
        <f t="shared" si="5"/>
        <v>1</v>
      </c>
      <c r="BR16" s="20" t="str">
        <f t="shared" si="6"/>
        <v>C5H12</v>
      </c>
      <c r="BS16" s="20" t="str">
        <f t="shared" si="7"/>
        <v>+</v>
      </c>
      <c r="BT16" s="20">
        <f t="shared" si="23"/>
        <v>5</v>
      </c>
      <c r="BU16" s="20" t="str">
        <f t="shared" si="19"/>
        <v>H2O</v>
      </c>
      <c r="BW16">
        <f t="shared" si="20"/>
        <v>8.1791534854939504E-3</v>
      </c>
      <c r="BX16">
        <f t="shared" si="21"/>
        <v>2.0412801028495856E-2</v>
      </c>
    </row>
    <row r="17" spans="5:76" x14ac:dyDescent="0.2">
      <c r="E17">
        <f>+'5% CO Elab'!R17</f>
        <v>12</v>
      </c>
      <c r="F17">
        <f>+'5% CO Elab'!S17</f>
        <v>5</v>
      </c>
      <c r="G17" t="str">
        <f>+'5% CO Elab'!T17</f>
        <v>1-PENTENE</v>
      </c>
      <c r="H17" t="str">
        <f>+'5% CO Elab'!U17</f>
        <v>C5H10-2</v>
      </c>
      <c r="I17" t="str">
        <f>+'5% CO Elab'!V17</f>
        <v>C5-O</v>
      </c>
      <c r="J17">
        <f>+'5% CO Elab'!W17</f>
        <v>1.5569183599778078</v>
      </c>
      <c r="L17">
        <f>+'5% CO Elab'!AB17</f>
        <v>2.4675578544528225E-2</v>
      </c>
      <c r="M17" s="20">
        <v>5</v>
      </c>
      <c r="N17" s="20" t="s">
        <v>309</v>
      </c>
      <c r="O17" s="20" t="s">
        <v>310</v>
      </c>
      <c r="P17" s="20">
        <v>15</v>
      </c>
      <c r="Q17" s="20" t="s">
        <v>42</v>
      </c>
      <c r="R17" s="20" t="s">
        <v>311</v>
      </c>
      <c r="S17" s="20">
        <v>1</v>
      </c>
      <c r="T17" s="20" t="s">
        <v>317</v>
      </c>
      <c r="U17" s="20" t="s">
        <v>310</v>
      </c>
      <c r="V17" s="20">
        <v>10</v>
      </c>
      <c r="W17" s="20" t="s">
        <v>312</v>
      </c>
      <c r="X17" s="1"/>
      <c r="Y17">
        <f>+'5% CO Elab'!AA17</f>
        <v>7.012061509066056E-2</v>
      </c>
      <c r="Z17" s="20">
        <f t="shared" si="8"/>
        <v>5</v>
      </c>
      <c r="AA17" s="20" t="s">
        <v>41</v>
      </c>
      <c r="AB17" s="20" t="str">
        <f t="shared" si="0"/>
        <v>+</v>
      </c>
      <c r="AC17" s="20">
        <f t="shared" si="9"/>
        <v>10</v>
      </c>
      <c r="AD17" s="20" t="str">
        <f t="shared" si="10"/>
        <v>H2</v>
      </c>
      <c r="AE17" s="20" t="str">
        <f t="shared" si="11"/>
        <v>=</v>
      </c>
      <c r="AF17" s="20">
        <f t="shared" si="1"/>
        <v>1</v>
      </c>
      <c r="AG17" s="20" t="str">
        <f t="shared" si="2"/>
        <v>C5H10</v>
      </c>
      <c r="AH17" s="20" t="str">
        <f t="shared" si="3"/>
        <v>+</v>
      </c>
      <c r="AI17" s="20">
        <f t="shared" si="22"/>
        <v>5</v>
      </c>
      <c r="AJ17" s="20" t="str">
        <f t="shared" si="12"/>
        <v>H2O</v>
      </c>
      <c r="AL17">
        <f t="shared" si="13"/>
        <v>0.24675578544528226</v>
      </c>
      <c r="AM17">
        <f t="shared" si="14"/>
        <v>0.35060307545330283</v>
      </c>
      <c r="AP17">
        <f>+'10% CO Elab'!S17</f>
        <v>5</v>
      </c>
      <c r="AQ17" t="str">
        <f>+'10% CO Elab'!T17</f>
        <v>1-PENTENE</v>
      </c>
      <c r="AR17" t="str">
        <f>+'10% CO Elab'!U17</f>
        <v>C5H10-2</v>
      </c>
      <c r="AS17" t="str">
        <f>+'10% CO Elab'!V17</f>
        <v>C5-O</v>
      </c>
      <c r="AT17">
        <f>+'10% CO Elab'!W17</f>
        <v>1.4898565620550401</v>
      </c>
      <c r="AU17">
        <f>+'10% CO Elab'!X17</f>
        <v>7.4492828102752009</v>
      </c>
      <c r="AW17">
        <f>+'10% CO Elab'!AB17</f>
        <v>1.3523730787739389E-2</v>
      </c>
      <c r="AX17" s="20">
        <v>5</v>
      </c>
      <c r="AY17" s="20" t="s">
        <v>309</v>
      </c>
      <c r="AZ17" s="20" t="s">
        <v>310</v>
      </c>
      <c r="BA17" s="20">
        <v>15</v>
      </c>
      <c r="BB17" s="20" t="s">
        <v>42</v>
      </c>
      <c r="BC17" s="20" t="s">
        <v>311</v>
      </c>
      <c r="BD17" s="20">
        <v>1</v>
      </c>
      <c r="BE17" s="20" t="s">
        <v>317</v>
      </c>
      <c r="BF17" s="20" t="s">
        <v>310</v>
      </c>
      <c r="BG17" s="20">
        <v>10</v>
      </c>
      <c r="BH17" s="20" t="s">
        <v>312</v>
      </c>
      <c r="BI17" s="1"/>
      <c r="BJ17">
        <f>+'10% CO Elab'!AA17</f>
        <v>6.7502639783607418E-2</v>
      </c>
      <c r="BK17" s="20">
        <f t="shared" si="15"/>
        <v>5</v>
      </c>
      <c r="BL17" s="20" t="s">
        <v>41</v>
      </c>
      <c r="BM17" s="20" t="str">
        <f t="shared" si="4"/>
        <v>+</v>
      </c>
      <c r="BN17" s="20">
        <f t="shared" si="16"/>
        <v>10</v>
      </c>
      <c r="BO17" s="20" t="str">
        <f t="shared" si="17"/>
        <v>H2</v>
      </c>
      <c r="BP17" s="20" t="str">
        <f t="shared" si="18"/>
        <v>=</v>
      </c>
      <c r="BQ17" s="20">
        <f t="shared" si="5"/>
        <v>1</v>
      </c>
      <c r="BR17" s="20" t="str">
        <f t="shared" si="6"/>
        <v>C5H10</v>
      </c>
      <c r="BS17" s="20" t="str">
        <f t="shared" si="7"/>
        <v>+</v>
      </c>
      <c r="BT17" s="20">
        <f t="shared" si="23"/>
        <v>5</v>
      </c>
      <c r="BU17" s="20" t="str">
        <f t="shared" si="19"/>
        <v>H2O</v>
      </c>
      <c r="BW17">
        <f t="shared" si="20"/>
        <v>0.13523730787739388</v>
      </c>
      <c r="BX17">
        <f t="shared" si="21"/>
        <v>0.33751319891803711</v>
      </c>
    </row>
    <row r="18" spans="5:76" x14ac:dyDescent="0.2">
      <c r="E18">
        <f>+'5% CO Elab'!R18</f>
        <v>13</v>
      </c>
      <c r="F18">
        <f>+'5% CO Elab'!S18</f>
        <v>5</v>
      </c>
      <c r="G18" t="str">
        <f>+'5% CO Elab'!T18</f>
        <v>CYCLOPENTANE</v>
      </c>
      <c r="H18">
        <f>+'5% CO Elab'!U18</f>
        <v>0</v>
      </c>
      <c r="I18" t="str">
        <f>+'5% CO Elab'!V18</f>
        <v>C5-N</v>
      </c>
      <c r="J18">
        <f>+'5% CO Elab'!W18</f>
        <v>1.1902160779367163E-2</v>
      </c>
      <c r="L18">
        <f>+'5% CO Elab'!AB18</f>
        <v>1.8863718914912403E-4</v>
      </c>
      <c r="M18" s="20">
        <v>5</v>
      </c>
      <c r="N18" s="20" t="s">
        <v>309</v>
      </c>
      <c r="O18" s="20" t="s">
        <v>310</v>
      </c>
      <c r="P18" s="20">
        <v>15</v>
      </c>
      <c r="Q18" s="20" t="s">
        <v>42</v>
      </c>
      <c r="R18" s="20" t="s">
        <v>311</v>
      </c>
      <c r="S18" s="20">
        <v>1</v>
      </c>
      <c r="T18" s="20" t="s">
        <v>317</v>
      </c>
      <c r="U18" s="20" t="s">
        <v>310</v>
      </c>
      <c r="V18" s="20">
        <v>10</v>
      </c>
      <c r="W18" s="20" t="s">
        <v>312</v>
      </c>
      <c r="X18" s="1"/>
      <c r="Y18">
        <f>+'5% CO Elab'!AA18</f>
        <v>5.3605048036626493E-4</v>
      </c>
      <c r="Z18" s="20">
        <f t="shared" si="8"/>
        <v>5</v>
      </c>
      <c r="AA18" s="20" t="s">
        <v>41</v>
      </c>
      <c r="AB18" s="20" t="str">
        <f t="shared" si="0"/>
        <v>+</v>
      </c>
      <c r="AC18" s="20">
        <f t="shared" si="9"/>
        <v>10</v>
      </c>
      <c r="AD18" s="20" t="str">
        <f t="shared" si="10"/>
        <v>H2</v>
      </c>
      <c r="AE18" s="20" t="str">
        <f t="shared" si="11"/>
        <v>=</v>
      </c>
      <c r="AF18" s="20">
        <f t="shared" si="1"/>
        <v>1</v>
      </c>
      <c r="AG18" s="20" t="str">
        <f t="shared" si="2"/>
        <v>C5H10</v>
      </c>
      <c r="AH18" s="20" t="str">
        <f t="shared" si="3"/>
        <v>+</v>
      </c>
      <c r="AI18" s="20">
        <f t="shared" si="22"/>
        <v>5</v>
      </c>
      <c r="AJ18" s="20" t="str">
        <f t="shared" si="12"/>
        <v>H2O</v>
      </c>
      <c r="AL18">
        <f t="shared" si="13"/>
        <v>1.8863718914912404E-3</v>
      </c>
      <c r="AM18">
        <f t="shared" si="14"/>
        <v>2.6802524018313244E-3</v>
      </c>
      <c r="AP18">
        <f>+'10% CO Elab'!S18</f>
        <v>5</v>
      </c>
      <c r="AQ18" t="str">
        <f>+'10% CO Elab'!T18</f>
        <v>CYCLOPENTANE</v>
      </c>
      <c r="AR18">
        <f>+'10% CO Elab'!U18</f>
        <v>0</v>
      </c>
      <c r="AS18" t="str">
        <f>+'10% CO Elab'!V18</f>
        <v>C5-N</v>
      </c>
      <c r="AT18">
        <f>+'10% CO Elab'!W18</f>
        <v>1.0942533730002032E-2</v>
      </c>
      <c r="AU18">
        <f>+'10% CO Elab'!X18</f>
        <v>5.4712668650010163E-2</v>
      </c>
      <c r="AW18">
        <f>+'10% CO Elab'!AB18</f>
        <v>9.93276024479719E-5</v>
      </c>
      <c r="AX18" s="20">
        <v>5</v>
      </c>
      <c r="AY18" s="20" t="s">
        <v>309</v>
      </c>
      <c r="AZ18" s="20" t="s">
        <v>310</v>
      </c>
      <c r="BA18" s="20">
        <v>15</v>
      </c>
      <c r="BB18" s="20" t="s">
        <v>42</v>
      </c>
      <c r="BC18" s="20" t="s">
        <v>311</v>
      </c>
      <c r="BD18" s="20">
        <v>1</v>
      </c>
      <c r="BE18" s="20" t="s">
        <v>317</v>
      </c>
      <c r="BF18" s="20" t="s">
        <v>310</v>
      </c>
      <c r="BG18" s="20">
        <v>10</v>
      </c>
      <c r="BH18" s="20" t="s">
        <v>312</v>
      </c>
      <c r="BI18" s="1"/>
      <c r="BJ18">
        <f>+'10% CO Elab'!AA18</f>
        <v>4.9578592430229746E-4</v>
      </c>
      <c r="BK18" s="20">
        <f t="shared" si="15"/>
        <v>5</v>
      </c>
      <c r="BL18" s="20" t="s">
        <v>41</v>
      </c>
      <c r="BM18" s="20" t="str">
        <f t="shared" si="4"/>
        <v>+</v>
      </c>
      <c r="BN18" s="20">
        <f t="shared" si="16"/>
        <v>10</v>
      </c>
      <c r="BO18" s="20" t="str">
        <f t="shared" si="17"/>
        <v>H2</v>
      </c>
      <c r="BP18" s="20" t="str">
        <f t="shared" si="18"/>
        <v>=</v>
      </c>
      <c r="BQ18" s="20">
        <f t="shared" si="5"/>
        <v>1</v>
      </c>
      <c r="BR18" s="20" t="str">
        <f t="shared" si="6"/>
        <v>C5H10</v>
      </c>
      <c r="BS18" s="20" t="str">
        <f t="shared" si="7"/>
        <v>+</v>
      </c>
      <c r="BT18" s="20">
        <f t="shared" si="23"/>
        <v>5</v>
      </c>
      <c r="BU18" s="20" t="str">
        <f t="shared" si="19"/>
        <v>H2O</v>
      </c>
      <c r="BW18">
        <f t="shared" si="20"/>
        <v>9.93276024479719E-4</v>
      </c>
      <c r="BX18">
        <f t="shared" si="21"/>
        <v>2.4789296215114872E-3</v>
      </c>
    </row>
    <row r="19" spans="5:76" x14ac:dyDescent="0.2">
      <c r="E19">
        <f>+'5% CO Elab'!R19</f>
        <v>14</v>
      </c>
      <c r="F19">
        <f>+'5% CO Elab'!S19</f>
        <v>6</v>
      </c>
      <c r="G19" t="str">
        <f>+'5% CO Elab'!T19</f>
        <v>2,2-DIMETHYL-BUTANE</v>
      </c>
      <c r="H19" t="str">
        <f>+'5% CO Elab'!U19</f>
        <v>C6H14-4</v>
      </c>
      <c r="I19" t="str">
        <f>+'5% CO Elab'!V19</f>
        <v>C6-IP</v>
      </c>
      <c r="J19">
        <f>+'5% CO Elab'!W19</f>
        <v>0.50140111603803417</v>
      </c>
      <c r="L19">
        <f>+'5% CO Elab'!AB19</f>
        <v>9.5360396068194433E-3</v>
      </c>
      <c r="M19" s="20">
        <v>6</v>
      </c>
      <c r="N19" s="20" t="s">
        <v>309</v>
      </c>
      <c r="O19" s="20" t="s">
        <v>310</v>
      </c>
      <c r="P19" s="20">
        <v>19</v>
      </c>
      <c r="Q19" s="20" t="s">
        <v>42</v>
      </c>
      <c r="R19" s="20" t="s">
        <v>311</v>
      </c>
      <c r="S19" s="20">
        <v>1</v>
      </c>
      <c r="T19" s="20" t="s">
        <v>318</v>
      </c>
      <c r="U19" s="20" t="s">
        <v>310</v>
      </c>
      <c r="V19" s="20">
        <v>12</v>
      </c>
      <c r="W19" s="20" t="s">
        <v>312</v>
      </c>
      <c r="X19" s="1"/>
      <c r="Y19">
        <f>+'5% CO Elab'!AA19</f>
        <v>2.7098572848147363E-2</v>
      </c>
      <c r="Z19" s="20">
        <f t="shared" si="8"/>
        <v>6</v>
      </c>
      <c r="AA19" s="20" t="s">
        <v>41</v>
      </c>
      <c r="AB19" s="20" t="str">
        <f t="shared" si="0"/>
        <v>+</v>
      </c>
      <c r="AC19" s="20">
        <f t="shared" si="9"/>
        <v>13</v>
      </c>
      <c r="AD19" s="20" t="str">
        <f t="shared" si="10"/>
        <v>H2</v>
      </c>
      <c r="AE19" s="20" t="str">
        <f t="shared" si="11"/>
        <v>=</v>
      </c>
      <c r="AF19" s="20">
        <f t="shared" si="1"/>
        <v>1</v>
      </c>
      <c r="AG19" s="20" t="str">
        <f t="shared" si="2"/>
        <v>C6H14</v>
      </c>
      <c r="AH19" s="20" t="str">
        <f t="shared" si="3"/>
        <v>+</v>
      </c>
      <c r="AI19" s="20">
        <f t="shared" si="22"/>
        <v>6</v>
      </c>
      <c r="AJ19" s="20" t="str">
        <f t="shared" si="12"/>
        <v>H2O</v>
      </c>
      <c r="AL19">
        <f t="shared" si="13"/>
        <v>0.11443247528183331</v>
      </c>
      <c r="AM19">
        <f t="shared" si="14"/>
        <v>0.16259143708888418</v>
      </c>
      <c r="AP19">
        <f>+'10% CO Elab'!S19</f>
        <v>6</v>
      </c>
      <c r="AQ19" t="str">
        <f>+'10% CO Elab'!T19</f>
        <v>2,2-DIMETHYL-BUTANE</v>
      </c>
      <c r="AR19" t="str">
        <f>+'10% CO Elab'!U19</f>
        <v>C6H14-4</v>
      </c>
      <c r="AS19" t="str">
        <f>+'10% CO Elab'!V19</f>
        <v>C6-IP</v>
      </c>
      <c r="AT19">
        <f>+'10% CO Elab'!W19</f>
        <v>0.40963471025392018</v>
      </c>
      <c r="AU19">
        <f>+'10% CO Elab'!X19</f>
        <v>2.4578082615235211</v>
      </c>
      <c r="AW19">
        <f>+'10% CO Elab'!AB19</f>
        <v>4.4620050148824883E-3</v>
      </c>
      <c r="AX19" s="20">
        <v>6</v>
      </c>
      <c r="AY19" s="20" t="s">
        <v>309</v>
      </c>
      <c r="AZ19" s="20" t="s">
        <v>310</v>
      </c>
      <c r="BA19" s="20">
        <v>19</v>
      </c>
      <c r="BB19" s="20" t="s">
        <v>42</v>
      </c>
      <c r="BC19" s="20" t="s">
        <v>311</v>
      </c>
      <c r="BD19" s="20">
        <v>1</v>
      </c>
      <c r="BE19" s="20" t="s">
        <v>318</v>
      </c>
      <c r="BF19" s="20" t="s">
        <v>310</v>
      </c>
      <c r="BG19" s="20">
        <v>12</v>
      </c>
      <c r="BH19" s="20" t="s">
        <v>312</v>
      </c>
      <c r="BI19" s="1"/>
      <c r="BJ19">
        <f>+'10% CO Elab'!AA19</f>
        <v>2.2271747490369132E-2</v>
      </c>
      <c r="BK19" s="20">
        <f t="shared" si="15"/>
        <v>6</v>
      </c>
      <c r="BL19" s="20" t="s">
        <v>41</v>
      </c>
      <c r="BM19" s="20" t="str">
        <f t="shared" si="4"/>
        <v>+</v>
      </c>
      <c r="BN19" s="20">
        <f t="shared" si="16"/>
        <v>13</v>
      </c>
      <c r="BO19" s="20" t="str">
        <f t="shared" si="17"/>
        <v>H2</v>
      </c>
      <c r="BP19" s="20" t="str">
        <f t="shared" si="18"/>
        <v>=</v>
      </c>
      <c r="BQ19" s="20">
        <f t="shared" si="5"/>
        <v>1</v>
      </c>
      <c r="BR19" s="20" t="str">
        <f t="shared" si="6"/>
        <v>C6H14</v>
      </c>
      <c r="BS19" s="20" t="str">
        <f t="shared" si="7"/>
        <v>+</v>
      </c>
      <c r="BT19" s="20">
        <f t="shared" si="23"/>
        <v>6</v>
      </c>
      <c r="BU19" s="20" t="str">
        <f t="shared" si="19"/>
        <v>H2O</v>
      </c>
      <c r="BW19">
        <f t="shared" si="20"/>
        <v>5.3544060178589856E-2</v>
      </c>
      <c r="BX19">
        <f t="shared" si="21"/>
        <v>0.1336304849422148</v>
      </c>
    </row>
    <row r="20" spans="5:76" x14ac:dyDescent="0.2">
      <c r="E20">
        <f>+'5% CO Elab'!R20</f>
        <v>15</v>
      </c>
      <c r="F20">
        <f>+'5% CO Elab'!S20</f>
        <v>6</v>
      </c>
      <c r="G20" t="str">
        <f>+'5% CO Elab'!T20</f>
        <v>N-HEXANE</v>
      </c>
      <c r="H20" t="str">
        <f>+'5% CO Elab'!U20</f>
        <v>C6H14-1</v>
      </c>
      <c r="I20" t="str">
        <f>+'5% CO Elab'!V20</f>
        <v>C6</v>
      </c>
      <c r="J20">
        <f>+'5% CO Elab'!W20</f>
        <v>6.0548456071236696E-3</v>
      </c>
      <c r="L20">
        <f>+'5% CO Elab'!AB20</f>
        <v>1.1515580176396771E-4</v>
      </c>
      <c r="M20" s="20">
        <v>6</v>
      </c>
      <c r="N20" s="20" t="s">
        <v>309</v>
      </c>
      <c r="O20" s="20" t="s">
        <v>310</v>
      </c>
      <c r="P20" s="20">
        <v>19</v>
      </c>
      <c r="Q20" s="20" t="s">
        <v>42</v>
      </c>
      <c r="R20" s="20" t="s">
        <v>311</v>
      </c>
      <c r="S20" s="20">
        <v>1</v>
      </c>
      <c r="T20" s="20" t="s">
        <v>318</v>
      </c>
      <c r="U20" s="20" t="s">
        <v>310</v>
      </c>
      <c r="V20" s="20">
        <v>12</v>
      </c>
      <c r="W20" s="20" t="s">
        <v>312</v>
      </c>
      <c r="X20" s="1"/>
      <c r="Y20">
        <f>+'5% CO Elab'!AA20</f>
        <v>3.2723835173210816E-4</v>
      </c>
      <c r="Z20" s="20">
        <f t="shared" si="8"/>
        <v>6</v>
      </c>
      <c r="AA20" s="20" t="s">
        <v>41</v>
      </c>
      <c r="AB20" s="20" t="str">
        <f t="shared" si="0"/>
        <v>+</v>
      </c>
      <c r="AC20" s="20">
        <f t="shared" si="9"/>
        <v>13</v>
      </c>
      <c r="AD20" s="20" t="str">
        <f t="shared" si="10"/>
        <v>H2</v>
      </c>
      <c r="AE20" s="20" t="str">
        <f t="shared" si="11"/>
        <v>=</v>
      </c>
      <c r="AF20" s="20">
        <f t="shared" si="1"/>
        <v>1</v>
      </c>
      <c r="AG20" s="20" t="str">
        <f t="shared" si="2"/>
        <v>C6H14</v>
      </c>
      <c r="AH20" s="20" t="str">
        <f t="shared" si="3"/>
        <v>+</v>
      </c>
      <c r="AI20" s="20">
        <f t="shared" si="22"/>
        <v>6</v>
      </c>
      <c r="AJ20" s="20" t="str">
        <f t="shared" si="12"/>
        <v>H2O</v>
      </c>
      <c r="AL20">
        <f t="shared" si="13"/>
        <v>1.3818696211676126E-3</v>
      </c>
      <c r="AM20">
        <f t="shared" si="14"/>
        <v>1.963430110392649E-3</v>
      </c>
      <c r="AP20">
        <f>+'10% CO Elab'!S20</f>
        <v>6</v>
      </c>
      <c r="AQ20" t="str">
        <f>+'10% CO Elab'!T20</f>
        <v>N-HEXANE</v>
      </c>
      <c r="AR20" t="str">
        <f>+'10% CO Elab'!U20</f>
        <v>C6H14-1</v>
      </c>
      <c r="AS20" t="str">
        <f>+'10% CO Elab'!V20</f>
        <v>C6</v>
      </c>
      <c r="AT20">
        <f>+'10% CO Elab'!W20</f>
        <v>5.4222619097311943E-3</v>
      </c>
      <c r="AU20">
        <f>+'10% CO Elab'!X20</f>
        <v>3.2533571458387166E-2</v>
      </c>
      <c r="AW20">
        <f>+'10% CO Elab'!AB20</f>
        <v>5.9062767943247924E-5</v>
      </c>
      <c r="AX20" s="20">
        <v>6</v>
      </c>
      <c r="AY20" s="20" t="s">
        <v>309</v>
      </c>
      <c r="AZ20" s="20" t="s">
        <v>310</v>
      </c>
      <c r="BA20" s="20">
        <v>19</v>
      </c>
      <c r="BB20" s="20" t="s">
        <v>42</v>
      </c>
      <c r="BC20" s="20" t="s">
        <v>311</v>
      </c>
      <c r="BD20" s="20">
        <v>1</v>
      </c>
      <c r="BE20" s="20" t="s">
        <v>318</v>
      </c>
      <c r="BF20" s="20" t="s">
        <v>310</v>
      </c>
      <c r="BG20" s="20">
        <v>12</v>
      </c>
      <c r="BH20" s="20" t="s">
        <v>312</v>
      </c>
      <c r="BI20" s="1"/>
      <c r="BJ20">
        <f>+'10% CO Elab'!AA20</f>
        <v>2.9480716613424282E-4</v>
      </c>
      <c r="BK20" s="20">
        <f t="shared" si="15"/>
        <v>6</v>
      </c>
      <c r="BL20" s="20" t="s">
        <v>41</v>
      </c>
      <c r="BM20" s="20" t="str">
        <f t="shared" si="4"/>
        <v>+</v>
      </c>
      <c r="BN20" s="20">
        <f t="shared" si="16"/>
        <v>13</v>
      </c>
      <c r="BO20" s="20" t="str">
        <f t="shared" si="17"/>
        <v>H2</v>
      </c>
      <c r="BP20" s="20" t="str">
        <f t="shared" si="18"/>
        <v>=</v>
      </c>
      <c r="BQ20" s="20">
        <f t="shared" si="5"/>
        <v>1</v>
      </c>
      <c r="BR20" s="20" t="str">
        <f t="shared" si="6"/>
        <v>C6H14</v>
      </c>
      <c r="BS20" s="20" t="str">
        <f t="shared" si="7"/>
        <v>+</v>
      </c>
      <c r="BT20" s="20">
        <f t="shared" si="23"/>
        <v>6</v>
      </c>
      <c r="BU20" s="20" t="str">
        <f t="shared" si="19"/>
        <v>H2O</v>
      </c>
      <c r="BW20">
        <f t="shared" si="20"/>
        <v>7.0875321531897512E-4</v>
      </c>
      <c r="BX20">
        <f t="shared" si="21"/>
        <v>1.7688429968054568E-3</v>
      </c>
    </row>
    <row r="21" spans="5:76" x14ac:dyDescent="0.2">
      <c r="E21">
        <f>+'5% CO Elab'!R21</f>
        <v>16</v>
      </c>
      <c r="F21">
        <f>+'5% CO Elab'!S21</f>
        <v>6</v>
      </c>
      <c r="G21" t="str">
        <f>+'5% CO Elab'!T21</f>
        <v>2-METHYL-1-PENTENE</v>
      </c>
      <c r="H21" t="str">
        <f>+'5% CO Elab'!U21</f>
        <v>C6H12-D2</v>
      </c>
      <c r="I21" t="str">
        <f>+'5% CO Elab'!V21</f>
        <v>C6-O</v>
      </c>
      <c r="J21">
        <f>+'5% CO Elab'!W21</f>
        <v>0.44515746831591163</v>
      </c>
      <c r="L21">
        <f>+'5% CO Elab'!AB21</f>
        <v>8.4663538100501444E-3</v>
      </c>
      <c r="M21" s="20">
        <v>6</v>
      </c>
      <c r="N21" s="20" t="s">
        <v>309</v>
      </c>
      <c r="O21" s="20" t="s">
        <v>310</v>
      </c>
      <c r="P21" s="20">
        <v>18</v>
      </c>
      <c r="Q21" s="20" t="s">
        <v>42</v>
      </c>
      <c r="R21" s="20" t="s">
        <v>311</v>
      </c>
      <c r="S21" s="20">
        <v>1</v>
      </c>
      <c r="T21" s="20" t="s">
        <v>319</v>
      </c>
      <c r="U21" s="20" t="s">
        <v>310</v>
      </c>
      <c r="V21" s="20">
        <v>12</v>
      </c>
      <c r="W21" s="20" t="s">
        <v>312</v>
      </c>
      <c r="X21" s="1"/>
      <c r="Y21">
        <f>+'5% CO Elab'!AA21</f>
        <v>2.4058845698980307E-2</v>
      </c>
      <c r="Z21" s="20">
        <f t="shared" si="8"/>
        <v>6</v>
      </c>
      <c r="AA21" s="20" t="s">
        <v>41</v>
      </c>
      <c r="AB21" s="20" t="str">
        <f t="shared" si="0"/>
        <v>+</v>
      </c>
      <c r="AC21" s="20">
        <f t="shared" si="9"/>
        <v>12</v>
      </c>
      <c r="AD21" s="20" t="str">
        <f t="shared" si="10"/>
        <v>H2</v>
      </c>
      <c r="AE21" s="20" t="str">
        <f t="shared" si="11"/>
        <v>=</v>
      </c>
      <c r="AF21" s="20">
        <f t="shared" si="1"/>
        <v>1</v>
      </c>
      <c r="AG21" s="20" t="str">
        <f t="shared" si="2"/>
        <v>C6H12</v>
      </c>
      <c r="AH21" s="20" t="str">
        <f t="shared" si="3"/>
        <v>+</v>
      </c>
      <c r="AI21" s="20">
        <f t="shared" si="22"/>
        <v>6</v>
      </c>
      <c r="AJ21" s="20" t="str">
        <f t="shared" si="12"/>
        <v>H2O</v>
      </c>
      <c r="AL21">
        <f t="shared" si="13"/>
        <v>0.10159624572060173</v>
      </c>
      <c r="AM21">
        <f t="shared" si="14"/>
        <v>0.14435307419388183</v>
      </c>
      <c r="AP21">
        <f>+'10% CO Elab'!S21</f>
        <v>6</v>
      </c>
      <c r="AQ21" t="str">
        <f>+'10% CO Elab'!T21</f>
        <v>2-METHYL-1-PENTENE</v>
      </c>
      <c r="AR21" t="str">
        <f>+'10% CO Elab'!U21</f>
        <v>C6H12-D2</v>
      </c>
      <c r="AS21" t="str">
        <f>+'10% CO Elab'!V21</f>
        <v>C6-O</v>
      </c>
      <c r="AT21">
        <f>+'10% CO Elab'!W21</f>
        <v>0.64344012024022157</v>
      </c>
      <c r="AU21">
        <f>+'10% CO Elab'!X21</f>
        <v>3.8606407214413294</v>
      </c>
      <c r="AW21">
        <f>+'10% CO Elab'!AB21</f>
        <v>7.0087640803407339E-3</v>
      </c>
      <c r="AX21" s="20">
        <v>6</v>
      </c>
      <c r="AY21" s="20" t="s">
        <v>309</v>
      </c>
      <c r="AZ21" s="20" t="s">
        <v>310</v>
      </c>
      <c r="BA21" s="20">
        <v>18</v>
      </c>
      <c r="BB21" s="20" t="s">
        <v>42</v>
      </c>
      <c r="BC21" s="20" t="s">
        <v>311</v>
      </c>
      <c r="BD21" s="20">
        <v>1</v>
      </c>
      <c r="BE21" s="20" t="s">
        <v>319</v>
      </c>
      <c r="BF21" s="20" t="s">
        <v>310</v>
      </c>
      <c r="BG21" s="20">
        <v>12</v>
      </c>
      <c r="BH21" s="20" t="s">
        <v>312</v>
      </c>
      <c r="BI21" s="1"/>
      <c r="BJ21">
        <f>+'10% CO Elab'!AA21</f>
        <v>3.4983695288614336E-2</v>
      </c>
      <c r="BK21" s="20">
        <f t="shared" si="15"/>
        <v>6</v>
      </c>
      <c r="BL21" s="20" t="s">
        <v>41</v>
      </c>
      <c r="BM21" s="20" t="str">
        <f t="shared" si="4"/>
        <v>+</v>
      </c>
      <c r="BN21" s="20">
        <f t="shared" si="16"/>
        <v>12</v>
      </c>
      <c r="BO21" s="20" t="str">
        <f t="shared" si="17"/>
        <v>H2</v>
      </c>
      <c r="BP21" s="20" t="str">
        <f t="shared" si="18"/>
        <v>=</v>
      </c>
      <c r="BQ21" s="20">
        <f t="shared" si="5"/>
        <v>1</v>
      </c>
      <c r="BR21" s="20" t="str">
        <f t="shared" si="6"/>
        <v>C6H12</v>
      </c>
      <c r="BS21" s="20" t="str">
        <f t="shared" si="7"/>
        <v>+</v>
      </c>
      <c r="BT21" s="20">
        <f t="shared" si="23"/>
        <v>6</v>
      </c>
      <c r="BU21" s="20" t="str">
        <f t="shared" si="19"/>
        <v>H2O</v>
      </c>
      <c r="BW21">
        <f t="shared" si="20"/>
        <v>8.4105168964088803E-2</v>
      </c>
      <c r="BX21">
        <f t="shared" si="21"/>
        <v>0.20990217173168602</v>
      </c>
    </row>
    <row r="22" spans="5:76" x14ac:dyDescent="0.2">
      <c r="E22">
        <f>+'5% CO Elab'!R22</f>
        <v>17</v>
      </c>
      <c r="F22">
        <f>+'5% CO Elab'!S22</f>
        <v>6</v>
      </c>
      <c r="G22" t="str">
        <f>+'5% CO Elab'!T22</f>
        <v>BENZENE</v>
      </c>
      <c r="H22">
        <f>+'5% CO Elab'!U22</f>
        <v>0</v>
      </c>
      <c r="I22" t="str">
        <f>+'5% CO Elab'!V22</f>
        <v>C6-A</v>
      </c>
      <c r="J22">
        <f>+'5% CO Elab'!W22</f>
        <v>3.1887905637956234E-3</v>
      </c>
      <c r="L22">
        <f>+'5% CO Elab'!AB22</f>
        <v>6.064691948531785E-5</v>
      </c>
      <c r="M22" s="20">
        <v>6</v>
      </c>
      <c r="N22" s="20" t="s">
        <v>309</v>
      </c>
      <c r="O22" s="20" t="s">
        <v>310</v>
      </c>
      <c r="P22" s="20">
        <v>15</v>
      </c>
      <c r="Q22" s="20" t="s">
        <v>42</v>
      </c>
      <c r="R22" s="20" t="s">
        <v>311</v>
      </c>
      <c r="S22" s="20">
        <v>1</v>
      </c>
      <c r="T22" s="20" t="s">
        <v>372</v>
      </c>
      <c r="U22" s="20" t="s">
        <v>310</v>
      </c>
      <c r="V22" s="20">
        <v>12</v>
      </c>
      <c r="W22" s="20" t="s">
        <v>312</v>
      </c>
      <c r="X22" s="1"/>
      <c r="Y22">
        <f>+'5% CO Elab'!AA22</f>
        <v>1.7234040895901351E-4</v>
      </c>
      <c r="Z22" s="20">
        <f t="shared" si="8"/>
        <v>6</v>
      </c>
      <c r="AA22" s="20" t="s">
        <v>41</v>
      </c>
      <c r="AB22" s="20" t="str">
        <f t="shared" ref="AB22:AB73" si="24">O22</f>
        <v>+</v>
      </c>
      <c r="AC22" s="20">
        <f t="shared" si="9"/>
        <v>9</v>
      </c>
      <c r="AD22" s="20" t="str">
        <f t="shared" ref="AD22:AD73" si="25">Q22</f>
        <v>H2</v>
      </c>
      <c r="AE22" s="20" t="str">
        <f t="shared" si="11"/>
        <v>=</v>
      </c>
      <c r="AF22" s="20">
        <f t="shared" si="1"/>
        <v>1</v>
      </c>
      <c r="AG22" s="20" t="str">
        <f t="shared" si="2"/>
        <v>C6H6</v>
      </c>
      <c r="AH22" s="20" t="str">
        <f t="shared" si="3"/>
        <v>+</v>
      </c>
      <c r="AI22" s="20">
        <f t="shared" si="22"/>
        <v>6</v>
      </c>
      <c r="AJ22" s="20" t="str">
        <f t="shared" si="12"/>
        <v>H2O</v>
      </c>
      <c r="AL22">
        <f t="shared" si="13"/>
        <v>7.2776303382381417E-4</v>
      </c>
      <c r="AM22">
        <f t="shared" si="14"/>
        <v>1.034042453754081E-3</v>
      </c>
      <c r="AP22">
        <f>+'10% CO Elab'!S22</f>
        <v>6</v>
      </c>
      <c r="AQ22" t="str">
        <f>+'10% CO Elab'!T22</f>
        <v>BENZENE</v>
      </c>
      <c r="AR22">
        <f>+'10% CO Elab'!U22</f>
        <v>0</v>
      </c>
      <c r="AS22" t="str">
        <f>+'10% CO Elab'!V22</f>
        <v>C6-A</v>
      </c>
      <c r="AT22">
        <f>+'10% CO Elab'!W22</f>
        <v>2.9316902156736862E-3</v>
      </c>
      <c r="AU22">
        <f>+'10% CO Elab'!X22</f>
        <v>1.7590141294042117E-2</v>
      </c>
      <c r="AW22">
        <f>+'10% CO Elab'!AB22</f>
        <v>3.1933857451457812E-5</v>
      </c>
      <c r="AX22" s="20">
        <v>6</v>
      </c>
      <c r="AY22" s="20" t="s">
        <v>309</v>
      </c>
      <c r="AZ22" s="20" t="s">
        <v>310</v>
      </c>
      <c r="BA22" s="20">
        <v>15</v>
      </c>
      <c r="BB22" s="20" t="s">
        <v>42</v>
      </c>
      <c r="BC22" s="20" t="s">
        <v>311</v>
      </c>
      <c r="BD22" s="20">
        <v>1</v>
      </c>
      <c r="BE22" s="20" t="s">
        <v>372</v>
      </c>
      <c r="BF22" s="20" t="s">
        <v>310</v>
      </c>
      <c r="BG22" s="20">
        <v>12</v>
      </c>
      <c r="BH22" s="20" t="s">
        <v>312</v>
      </c>
      <c r="BI22" s="1"/>
      <c r="BJ22">
        <f>+'10% CO Elab'!AA22</f>
        <v>1.5939534070000188E-4</v>
      </c>
      <c r="BK22" s="20">
        <f t="shared" si="15"/>
        <v>6</v>
      </c>
      <c r="BL22" s="20" t="s">
        <v>41</v>
      </c>
      <c r="BM22" s="20" t="str">
        <f t="shared" ref="BM22:BM73" si="26">AZ22</f>
        <v>+</v>
      </c>
      <c r="BN22" s="20">
        <f t="shared" si="16"/>
        <v>9</v>
      </c>
      <c r="BO22" s="20" t="str">
        <f t="shared" ref="BO22:BO73" si="27">BB22</f>
        <v>H2</v>
      </c>
      <c r="BP22" s="20" t="str">
        <f t="shared" si="18"/>
        <v>=</v>
      </c>
      <c r="BQ22" s="20">
        <f t="shared" si="5"/>
        <v>1</v>
      </c>
      <c r="BR22" s="20" t="str">
        <f t="shared" si="6"/>
        <v>C6H6</v>
      </c>
      <c r="BS22" s="20" t="str">
        <f t="shared" si="7"/>
        <v>+</v>
      </c>
      <c r="BT22" s="20">
        <f t="shared" si="23"/>
        <v>6</v>
      </c>
      <c r="BU22" s="20" t="str">
        <f t="shared" si="19"/>
        <v>H2O</v>
      </c>
      <c r="BW22">
        <f t="shared" si="20"/>
        <v>3.8320628941749374E-4</v>
      </c>
      <c r="BX22">
        <f t="shared" si="21"/>
        <v>9.5637204420001131E-4</v>
      </c>
    </row>
    <row r="23" spans="5:76" x14ac:dyDescent="0.2">
      <c r="E23">
        <f>+'5% CO Elab'!R23</f>
        <v>18</v>
      </c>
      <c r="F23">
        <f>+'5% CO Elab'!S23</f>
        <v>6</v>
      </c>
      <c r="G23" t="str">
        <f>+'5% CO Elab'!T23</f>
        <v>CYCLOHEXANE</v>
      </c>
      <c r="H23">
        <f>+'5% CO Elab'!U23</f>
        <v>0</v>
      </c>
      <c r="I23" t="str">
        <f>+'5% CO Elab'!V23</f>
        <v>C6-N</v>
      </c>
      <c r="J23">
        <f>+'5% CO Elab'!W23</f>
        <v>3.8428912281942007E-2</v>
      </c>
      <c r="L23">
        <f>+'5% CO Elab'!AB23</f>
        <v>7.3087118844743671E-4</v>
      </c>
      <c r="M23" s="20">
        <v>6</v>
      </c>
      <c r="N23" s="20" t="s">
        <v>309</v>
      </c>
      <c r="O23" s="20" t="s">
        <v>310</v>
      </c>
      <c r="P23" s="20">
        <v>18</v>
      </c>
      <c r="Q23" s="20" t="s">
        <v>42</v>
      </c>
      <c r="R23" s="20" t="s">
        <v>311</v>
      </c>
      <c r="S23" s="20">
        <v>1</v>
      </c>
      <c r="T23" s="20" t="s">
        <v>319</v>
      </c>
      <c r="U23" s="20" t="s">
        <v>310</v>
      </c>
      <c r="V23" s="20">
        <v>12</v>
      </c>
      <c r="W23" s="20" t="s">
        <v>312</v>
      </c>
      <c r="X23" s="1"/>
      <c r="Y23">
        <f>+'5% CO Elab'!AA23</f>
        <v>2.076917353467312E-3</v>
      </c>
      <c r="Z23" s="20">
        <f t="shared" si="8"/>
        <v>6</v>
      </c>
      <c r="AA23" s="20" t="s">
        <v>41</v>
      </c>
      <c r="AB23" s="20" t="str">
        <f t="shared" si="24"/>
        <v>+</v>
      </c>
      <c r="AC23" s="20">
        <f t="shared" si="9"/>
        <v>12</v>
      </c>
      <c r="AD23" s="20" t="str">
        <f t="shared" si="25"/>
        <v>H2</v>
      </c>
      <c r="AE23" s="20" t="str">
        <f t="shared" si="11"/>
        <v>=</v>
      </c>
      <c r="AF23" s="20">
        <f t="shared" si="1"/>
        <v>1</v>
      </c>
      <c r="AG23" s="20" t="str">
        <f t="shared" si="2"/>
        <v>C6H12</v>
      </c>
      <c r="AH23" s="20" t="str">
        <f t="shared" si="3"/>
        <v>+</v>
      </c>
      <c r="AI23" s="20">
        <f t="shared" si="22"/>
        <v>6</v>
      </c>
      <c r="AJ23" s="20" t="str">
        <f t="shared" si="12"/>
        <v>H2O</v>
      </c>
      <c r="AL23">
        <f t="shared" si="13"/>
        <v>8.7704542613692409E-3</v>
      </c>
      <c r="AM23">
        <f t="shared" si="14"/>
        <v>1.2461504120803872E-2</v>
      </c>
      <c r="AP23">
        <f>+'10% CO Elab'!S23</f>
        <v>6</v>
      </c>
      <c r="AQ23" t="str">
        <f>+'10% CO Elab'!T23</f>
        <v>CYCLOHEXANE</v>
      </c>
      <c r="AR23">
        <f>+'10% CO Elab'!U23</f>
        <v>0</v>
      </c>
      <c r="AS23" t="str">
        <f>+'10% CO Elab'!V23</f>
        <v>C6-N</v>
      </c>
      <c r="AT23">
        <f>+'10% CO Elab'!W23</f>
        <v>3.5330531711637518E-2</v>
      </c>
      <c r="AU23">
        <f>+'10% CO Elab'!X23</f>
        <v>0.21198319026982509</v>
      </c>
      <c r="AW23">
        <f>+'10% CO Elab'!AB23</f>
        <v>3.8484289961188107E-4</v>
      </c>
      <c r="AX23" s="20">
        <v>6</v>
      </c>
      <c r="AY23" s="20" t="s">
        <v>309</v>
      </c>
      <c r="AZ23" s="20" t="s">
        <v>310</v>
      </c>
      <c r="BA23" s="20">
        <v>18</v>
      </c>
      <c r="BB23" s="20" t="s">
        <v>42</v>
      </c>
      <c r="BC23" s="20" t="s">
        <v>311</v>
      </c>
      <c r="BD23" s="20">
        <v>1</v>
      </c>
      <c r="BE23" s="20" t="s">
        <v>319</v>
      </c>
      <c r="BF23" s="20" t="s">
        <v>310</v>
      </c>
      <c r="BG23" s="20">
        <v>12</v>
      </c>
      <c r="BH23" s="20" t="s">
        <v>312</v>
      </c>
      <c r="BI23" s="1"/>
      <c r="BJ23">
        <f>+'10% CO Elab'!AA23</f>
        <v>1.9209130996108981E-3</v>
      </c>
      <c r="BK23" s="20">
        <f t="shared" si="15"/>
        <v>6</v>
      </c>
      <c r="BL23" s="20" t="s">
        <v>41</v>
      </c>
      <c r="BM23" s="20" t="str">
        <f t="shared" si="26"/>
        <v>+</v>
      </c>
      <c r="BN23" s="20">
        <f t="shared" si="16"/>
        <v>12</v>
      </c>
      <c r="BO23" s="20" t="str">
        <f t="shared" si="27"/>
        <v>H2</v>
      </c>
      <c r="BP23" s="20" t="str">
        <f t="shared" si="18"/>
        <v>=</v>
      </c>
      <c r="BQ23" s="20">
        <f t="shared" si="5"/>
        <v>1</v>
      </c>
      <c r="BR23" s="20" t="str">
        <f t="shared" si="6"/>
        <v>C6H12</v>
      </c>
      <c r="BS23" s="20" t="str">
        <f t="shared" si="7"/>
        <v>+</v>
      </c>
      <c r="BT23" s="20">
        <f t="shared" si="23"/>
        <v>6</v>
      </c>
      <c r="BU23" s="20" t="str">
        <f t="shared" si="19"/>
        <v>H2O</v>
      </c>
      <c r="BW23">
        <f t="shared" si="20"/>
        <v>4.6181147953425726E-3</v>
      </c>
      <c r="BX23">
        <f t="shared" si="21"/>
        <v>1.1525478597665388E-2</v>
      </c>
    </row>
    <row r="24" spans="5:76" x14ac:dyDescent="0.2">
      <c r="E24">
        <f>+'5% CO Elab'!R24</f>
        <v>19</v>
      </c>
      <c r="F24">
        <f>+'5% CO Elab'!S24</f>
        <v>7</v>
      </c>
      <c r="G24" t="str">
        <f>+'5% CO Elab'!T24</f>
        <v>N-HEPTANE</v>
      </c>
      <c r="H24" t="str">
        <f>+'5% CO Elab'!U24</f>
        <v>C7H16-1</v>
      </c>
      <c r="I24" t="str">
        <f>+'5% CO Elab'!V24</f>
        <v>C7</v>
      </c>
      <c r="J24">
        <f>+'5% CO Elab'!W24</f>
        <v>5.4230671523978589E-5</v>
      </c>
      <c r="L24">
        <f>+'5% CO Elab'!AB24</f>
        <v>1.2033016764116812E-6</v>
      </c>
      <c r="M24" s="20">
        <v>7</v>
      </c>
      <c r="N24" s="20" t="s">
        <v>309</v>
      </c>
      <c r="O24" s="20" t="s">
        <v>310</v>
      </c>
      <c r="P24" s="20">
        <v>22</v>
      </c>
      <c r="Q24" s="20" t="s">
        <v>42</v>
      </c>
      <c r="R24" s="20" t="s">
        <v>311</v>
      </c>
      <c r="S24" s="20">
        <v>1</v>
      </c>
      <c r="T24" s="20" t="s">
        <v>320</v>
      </c>
      <c r="U24" s="20" t="s">
        <v>310</v>
      </c>
      <c r="V24" s="20">
        <v>14</v>
      </c>
      <c r="W24" s="20" t="s">
        <v>312</v>
      </c>
      <c r="X24" s="1"/>
      <c r="Y24">
        <f>+'5% CO Elab'!AA24</f>
        <v>3.4194235218172986E-6</v>
      </c>
      <c r="Z24" s="20">
        <f t="shared" si="8"/>
        <v>7</v>
      </c>
      <c r="AA24" s="20" t="s">
        <v>41</v>
      </c>
      <c r="AB24" s="20" t="str">
        <f t="shared" si="24"/>
        <v>+</v>
      </c>
      <c r="AC24" s="20">
        <f t="shared" si="9"/>
        <v>15</v>
      </c>
      <c r="AD24" s="20" t="str">
        <f t="shared" si="25"/>
        <v>H2</v>
      </c>
      <c r="AE24" s="20" t="str">
        <f t="shared" si="11"/>
        <v>=</v>
      </c>
      <c r="AF24" s="20">
        <f t="shared" si="1"/>
        <v>1</v>
      </c>
      <c r="AG24" s="20" t="str">
        <f t="shared" si="2"/>
        <v>C7H16</v>
      </c>
      <c r="AH24" s="20" t="str">
        <f t="shared" si="3"/>
        <v>+</v>
      </c>
      <c r="AI24" s="20">
        <f t="shared" si="22"/>
        <v>7</v>
      </c>
      <c r="AJ24" s="20" t="str">
        <f t="shared" si="12"/>
        <v>H2O</v>
      </c>
      <c r="AL24">
        <f t="shared" si="13"/>
        <v>1.6846223469763538E-5</v>
      </c>
      <c r="AM24">
        <f t="shared" si="14"/>
        <v>2.3935964652721089E-5</v>
      </c>
      <c r="AP24">
        <f>+'10% CO Elab'!S24</f>
        <v>7</v>
      </c>
      <c r="AQ24" t="str">
        <f>+'10% CO Elab'!T24</f>
        <v>N-HEPTANE</v>
      </c>
      <c r="AR24" t="str">
        <f>+'10% CO Elab'!U24</f>
        <v>C7H16-1</v>
      </c>
      <c r="AS24" t="str">
        <f>+'10% CO Elab'!V24</f>
        <v>C7</v>
      </c>
      <c r="AT24">
        <f>+'10% CO Elab'!W24</f>
        <v>1.4067555324488899E-5</v>
      </c>
      <c r="AU24">
        <f>+'10% CO Elab'!X24</f>
        <v>9.8472887271422297E-5</v>
      </c>
      <c r="AW24">
        <f>+'10% CO Elab'!AB24</f>
        <v>1.7877168195483313E-7</v>
      </c>
      <c r="AX24" s="20">
        <v>7</v>
      </c>
      <c r="AY24" s="20" t="s">
        <v>309</v>
      </c>
      <c r="AZ24" s="20" t="s">
        <v>310</v>
      </c>
      <c r="BA24" s="20">
        <v>22</v>
      </c>
      <c r="BB24" s="20" t="s">
        <v>42</v>
      </c>
      <c r="BC24" s="20" t="s">
        <v>311</v>
      </c>
      <c r="BD24" s="20">
        <v>1</v>
      </c>
      <c r="BE24" s="20" t="s">
        <v>320</v>
      </c>
      <c r="BF24" s="20" t="s">
        <v>310</v>
      </c>
      <c r="BG24" s="20">
        <v>14</v>
      </c>
      <c r="BH24" s="20" t="s">
        <v>312</v>
      </c>
      <c r="BI24" s="1"/>
      <c r="BJ24">
        <f>+'10% CO Elab'!AA24</f>
        <v>8.923248059216899E-7</v>
      </c>
      <c r="BK24" s="20">
        <f t="shared" si="15"/>
        <v>7</v>
      </c>
      <c r="BL24" s="20" t="s">
        <v>41</v>
      </c>
      <c r="BM24" s="20" t="str">
        <f t="shared" si="26"/>
        <v>+</v>
      </c>
      <c r="BN24" s="20">
        <f t="shared" si="16"/>
        <v>15</v>
      </c>
      <c r="BO24" s="20" t="str">
        <f t="shared" si="27"/>
        <v>H2</v>
      </c>
      <c r="BP24" s="20" t="str">
        <f t="shared" si="18"/>
        <v>=</v>
      </c>
      <c r="BQ24" s="20">
        <f t="shared" si="5"/>
        <v>1</v>
      </c>
      <c r="BR24" s="20" t="str">
        <f t="shared" si="6"/>
        <v>C7H16</v>
      </c>
      <c r="BS24" s="20" t="str">
        <f t="shared" si="7"/>
        <v>+</v>
      </c>
      <c r="BT24" s="20">
        <f t="shared" si="23"/>
        <v>7</v>
      </c>
      <c r="BU24" s="20" t="str">
        <f t="shared" si="19"/>
        <v>H2O</v>
      </c>
      <c r="BW24">
        <f t="shared" si="20"/>
        <v>2.5028035473676638E-6</v>
      </c>
      <c r="BX24">
        <f t="shared" si="21"/>
        <v>6.2462736414518296E-6</v>
      </c>
    </row>
    <row r="25" spans="5:76" x14ac:dyDescent="0.2">
      <c r="E25">
        <f>+'5% CO Elab'!R25</f>
        <v>20</v>
      </c>
      <c r="F25">
        <f>+'5% CO Elab'!S25</f>
        <v>7</v>
      </c>
      <c r="G25" t="str">
        <f>+'5% CO Elab'!T25</f>
        <v>2-METHYLHEXANE</v>
      </c>
      <c r="H25" t="str">
        <f>+'5% CO Elab'!U25</f>
        <v>C7H16-2</v>
      </c>
      <c r="I25" t="str">
        <f>+'5% CO Elab'!V25</f>
        <v>C7-IP</v>
      </c>
      <c r="J25">
        <f>+'5% CO Elab'!W25</f>
        <v>0.3261680062563902</v>
      </c>
      <c r="L25">
        <f>+'5% CO Elab'!AB25</f>
        <v>7.2372053985470582E-3</v>
      </c>
      <c r="M25" s="20">
        <v>7</v>
      </c>
      <c r="N25" s="20" t="s">
        <v>309</v>
      </c>
      <c r="O25" s="20" t="s">
        <v>310</v>
      </c>
      <c r="P25" s="20">
        <v>22</v>
      </c>
      <c r="Q25" s="20" t="s">
        <v>42</v>
      </c>
      <c r="R25" s="20" t="s">
        <v>311</v>
      </c>
      <c r="S25" s="20">
        <v>1</v>
      </c>
      <c r="T25" s="20" t="s">
        <v>320</v>
      </c>
      <c r="U25" s="20" t="s">
        <v>310</v>
      </c>
      <c r="V25" s="20">
        <v>14</v>
      </c>
      <c r="W25" s="20" t="s">
        <v>312</v>
      </c>
      <c r="X25" s="1"/>
      <c r="Y25">
        <f>+'5% CO Elab'!AA25</f>
        <v>2.0565973485395794E-2</v>
      </c>
      <c r="Z25" s="20">
        <f t="shared" si="8"/>
        <v>7</v>
      </c>
      <c r="AA25" s="20" t="s">
        <v>41</v>
      </c>
      <c r="AB25" s="20" t="str">
        <f t="shared" si="24"/>
        <v>+</v>
      </c>
      <c r="AC25" s="20">
        <f t="shared" si="9"/>
        <v>15</v>
      </c>
      <c r="AD25" s="20" t="str">
        <f t="shared" si="25"/>
        <v>H2</v>
      </c>
      <c r="AE25" s="20" t="str">
        <f t="shared" si="11"/>
        <v>=</v>
      </c>
      <c r="AF25" s="20">
        <f t="shared" si="1"/>
        <v>1</v>
      </c>
      <c r="AG25" s="20" t="str">
        <f t="shared" si="2"/>
        <v>C7H16</v>
      </c>
      <c r="AH25" s="20" t="str">
        <f t="shared" si="3"/>
        <v>+</v>
      </c>
      <c r="AI25" s="20">
        <f t="shared" si="22"/>
        <v>7</v>
      </c>
      <c r="AJ25" s="20" t="str">
        <f t="shared" si="12"/>
        <v>H2O</v>
      </c>
      <c r="AL25">
        <f t="shared" si="13"/>
        <v>0.10132087557965881</v>
      </c>
      <c r="AM25">
        <f t="shared" si="14"/>
        <v>0.14396181439777056</v>
      </c>
      <c r="AP25">
        <f>+'10% CO Elab'!S25</f>
        <v>7</v>
      </c>
      <c r="AQ25" t="str">
        <f>+'10% CO Elab'!T25</f>
        <v>2-METHYLHEXANE</v>
      </c>
      <c r="AR25" t="str">
        <f>+'10% CO Elab'!U25</f>
        <v>C7H16-2</v>
      </c>
      <c r="AS25" t="str">
        <f>+'10% CO Elab'!V25</f>
        <v>C7-IP</v>
      </c>
      <c r="AT25">
        <f>+'10% CO Elab'!W25</f>
        <v>0.30039693995985467</v>
      </c>
      <c r="AU25">
        <f>+'10% CO Elab'!X25</f>
        <v>2.1027785797189829</v>
      </c>
      <c r="AW25">
        <f>+'10% CO Elab'!AB25</f>
        <v>3.81746970045482E-3</v>
      </c>
      <c r="AX25" s="20">
        <v>7</v>
      </c>
      <c r="AY25" s="20" t="s">
        <v>309</v>
      </c>
      <c r="AZ25" s="20" t="s">
        <v>310</v>
      </c>
      <c r="BA25" s="20">
        <v>22</v>
      </c>
      <c r="BB25" s="20" t="s">
        <v>42</v>
      </c>
      <c r="BC25" s="20" t="s">
        <v>311</v>
      </c>
      <c r="BD25" s="20">
        <v>1</v>
      </c>
      <c r="BE25" s="20" t="s">
        <v>320</v>
      </c>
      <c r="BF25" s="20" t="s">
        <v>310</v>
      </c>
      <c r="BG25" s="20">
        <v>14</v>
      </c>
      <c r="BH25" s="20" t="s">
        <v>312</v>
      </c>
      <c r="BI25" s="1"/>
      <c r="BJ25">
        <f>+'10% CO Elab'!AA25</f>
        <v>1.9054600104008172E-2</v>
      </c>
      <c r="BK25" s="20">
        <f t="shared" si="15"/>
        <v>7</v>
      </c>
      <c r="BL25" s="20" t="s">
        <v>41</v>
      </c>
      <c r="BM25" s="20" t="str">
        <f t="shared" si="26"/>
        <v>+</v>
      </c>
      <c r="BN25" s="20">
        <f t="shared" si="16"/>
        <v>15</v>
      </c>
      <c r="BO25" s="20" t="str">
        <f t="shared" si="27"/>
        <v>H2</v>
      </c>
      <c r="BP25" s="20" t="str">
        <f t="shared" si="18"/>
        <v>=</v>
      </c>
      <c r="BQ25" s="20">
        <f t="shared" si="5"/>
        <v>1</v>
      </c>
      <c r="BR25" s="20" t="str">
        <f t="shared" si="6"/>
        <v>C7H16</v>
      </c>
      <c r="BS25" s="20" t="str">
        <f t="shared" si="7"/>
        <v>+</v>
      </c>
      <c r="BT25" s="20">
        <f t="shared" si="23"/>
        <v>7</v>
      </c>
      <c r="BU25" s="20" t="str">
        <f t="shared" si="19"/>
        <v>H2O</v>
      </c>
      <c r="BW25">
        <f t="shared" si="20"/>
        <v>5.3444575806367481E-2</v>
      </c>
      <c r="BX25">
        <f t="shared" si="21"/>
        <v>0.1333822007280572</v>
      </c>
    </row>
    <row r="26" spans="5:76" x14ac:dyDescent="0.2">
      <c r="E26">
        <f>+'5% CO Elab'!R26</f>
        <v>21</v>
      </c>
      <c r="F26">
        <f>+'5% CO Elab'!S26</f>
        <v>7</v>
      </c>
      <c r="G26" t="str">
        <f>+'5% CO Elab'!T26</f>
        <v>1-HEPTENE</v>
      </c>
      <c r="H26" t="str">
        <f>+'5% CO Elab'!U26</f>
        <v>C7H14-7</v>
      </c>
      <c r="I26" t="str">
        <f>+'5% CO Elab'!V26</f>
        <v>C7-O</v>
      </c>
      <c r="J26">
        <f>+'5% CO Elab'!W26</f>
        <v>0.22795214217457127</v>
      </c>
      <c r="L26">
        <f>+'5% CO Elab'!AB26</f>
        <v>5.0579346910541827E-3</v>
      </c>
      <c r="M26" s="20">
        <v>7</v>
      </c>
      <c r="N26" s="20" t="s">
        <v>309</v>
      </c>
      <c r="O26" s="20" t="s">
        <v>310</v>
      </c>
      <c r="P26" s="20">
        <v>21</v>
      </c>
      <c r="Q26" s="20" t="s">
        <v>42</v>
      </c>
      <c r="R26" s="20" t="s">
        <v>311</v>
      </c>
      <c r="S26" s="20">
        <v>1</v>
      </c>
      <c r="T26" s="20" t="s">
        <v>321</v>
      </c>
      <c r="U26" s="20" t="s">
        <v>310</v>
      </c>
      <c r="V26" s="20">
        <v>14</v>
      </c>
      <c r="W26" s="20" t="s">
        <v>312</v>
      </c>
      <c r="X26" s="1"/>
      <c r="Y26">
        <f>+'5% CO Elab'!AA26</f>
        <v>1.4373137836873778E-2</v>
      </c>
      <c r="Z26" s="20">
        <f t="shared" si="8"/>
        <v>7</v>
      </c>
      <c r="AA26" s="20" t="s">
        <v>41</v>
      </c>
      <c r="AB26" s="20" t="str">
        <f t="shared" si="24"/>
        <v>+</v>
      </c>
      <c r="AC26" s="20">
        <f t="shared" si="9"/>
        <v>14</v>
      </c>
      <c r="AD26" s="20" t="str">
        <f t="shared" si="25"/>
        <v>H2</v>
      </c>
      <c r="AE26" s="20" t="str">
        <f t="shared" si="11"/>
        <v>=</v>
      </c>
      <c r="AF26" s="20">
        <f t="shared" si="1"/>
        <v>1</v>
      </c>
      <c r="AG26" s="20" t="str">
        <f t="shared" si="2"/>
        <v>C7H14</v>
      </c>
      <c r="AH26" s="20" t="str">
        <f t="shared" si="3"/>
        <v>+</v>
      </c>
      <c r="AI26" s="20">
        <f t="shared" si="22"/>
        <v>7</v>
      </c>
      <c r="AJ26" s="20" t="str">
        <f t="shared" si="12"/>
        <v>H2O</v>
      </c>
      <c r="AL26">
        <f t="shared" si="13"/>
        <v>7.081108567475855E-2</v>
      </c>
      <c r="AM26">
        <f t="shared" si="14"/>
        <v>0.10061196485811645</v>
      </c>
      <c r="AP26">
        <f>+'10% CO Elab'!S26</f>
        <v>7</v>
      </c>
      <c r="AQ26" t="str">
        <f>+'10% CO Elab'!T26</f>
        <v>1-HEPTENE</v>
      </c>
      <c r="AR26" t="str">
        <f>+'10% CO Elab'!U26</f>
        <v>C7H14-7</v>
      </c>
      <c r="AS26" t="str">
        <f>+'10% CO Elab'!V26</f>
        <v>C7-O</v>
      </c>
      <c r="AT26">
        <f>+'10% CO Elab'!W26</f>
        <v>0.21948940597245856</v>
      </c>
      <c r="AU26">
        <f>+'10% CO Elab'!X26</f>
        <v>1.5364258418072099</v>
      </c>
      <c r="AW26">
        <f>+'10% CO Elab'!AB26</f>
        <v>2.7892899208050012E-3</v>
      </c>
      <c r="AX26" s="20">
        <v>7</v>
      </c>
      <c r="AY26" s="20" t="s">
        <v>309</v>
      </c>
      <c r="AZ26" s="20" t="s">
        <v>310</v>
      </c>
      <c r="BA26" s="20">
        <v>21</v>
      </c>
      <c r="BB26" s="20" t="s">
        <v>42</v>
      </c>
      <c r="BC26" s="20" t="s">
        <v>311</v>
      </c>
      <c r="BD26" s="20">
        <v>1</v>
      </c>
      <c r="BE26" s="20" t="s">
        <v>321</v>
      </c>
      <c r="BF26" s="20" t="s">
        <v>310</v>
      </c>
      <c r="BG26" s="20">
        <v>14</v>
      </c>
      <c r="BH26" s="20" t="s">
        <v>312</v>
      </c>
      <c r="BI26" s="1"/>
      <c r="BJ26">
        <f>+'10% CO Elab'!AA26</f>
        <v>1.3922521509141951E-2</v>
      </c>
      <c r="BK26" s="20">
        <f t="shared" si="15"/>
        <v>7</v>
      </c>
      <c r="BL26" s="20" t="s">
        <v>41</v>
      </c>
      <c r="BM26" s="20" t="str">
        <f t="shared" si="26"/>
        <v>+</v>
      </c>
      <c r="BN26" s="20">
        <f t="shared" si="16"/>
        <v>14</v>
      </c>
      <c r="BO26" s="20" t="str">
        <f t="shared" si="27"/>
        <v>H2</v>
      </c>
      <c r="BP26" s="20" t="str">
        <f t="shared" si="18"/>
        <v>=</v>
      </c>
      <c r="BQ26" s="20">
        <f t="shared" si="5"/>
        <v>1</v>
      </c>
      <c r="BR26" s="20" t="str">
        <f t="shared" si="6"/>
        <v>C7H14</v>
      </c>
      <c r="BS26" s="20" t="str">
        <f t="shared" si="7"/>
        <v>+</v>
      </c>
      <c r="BT26" s="20">
        <f t="shared" si="23"/>
        <v>7</v>
      </c>
      <c r="BU26" s="20" t="str">
        <f t="shared" si="19"/>
        <v>H2O</v>
      </c>
      <c r="BW26">
        <f t="shared" si="20"/>
        <v>3.9050058891270015E-2</v>
      </c>
      <c r="BX26">
        <f t="shared" si="21"/>
        <v>9.7457650563993664E-2</v>
      </c>
    </row>
    <row r="27" spans="5:76" x14ac:dyDescent="0.2">
      <c r="E27">
        <f>+'5% CO Elab'!R27</f>
        <v>22</v>
      </c>
      <c r="F27">
        <f>+'5% CO Elab'!S27</f>
        <v>7</v>
      </c>
      <c r="G27" t="str">
        <f>+'5% CO Elab'!T27</f>
        <v>TOLUENE</v>
      </c>
      <c r="H27" t="str">
        <f>+'5% CO Elab'!U27</f>
        <v>C7H8</v>
      </c>
      <c r="I27" t="str">
        <f>+'5% CO Elab'!V27</f>
        <v>C7-A</v>
      </c>
      <c r="J27">
        <f>+'5% CO Elab'!W27</f>
        <v>8.5260287699485491E-3</v>
      </c>
      <c r="L27">
        <f>+'5% CO Elab'!AB27</f>
        <v>1.8918048446951339E-4</v>
      </c>
      <c r="M27" s="20">
        <v>7</v>
      </c>
      <c r="N27" s="20" t="s">
        <v>309</v>
      </c>
      <c r="O27" s="20" t="s">
        <v>310</v>
      </c>
      <c r="P27" s="20">
        <v>18</v>
      </c>
      <c r="Q27" s="20" t="s">
        <v>42</v>
      </c>
      <c r="R27" s="20" t="s">
        <v>311</v>
      </c>
      <c r="S27" s="20">
        <v>1</v>
      </c>
      <c r="T27" s="20" t="s">
        <v>165</v>
      </c>
      <c r="U27" s="20" t="s">
        <v>310</v>
      </c>
      <c r="V27" s="20">
        <v>14</v>
      </c>
      <c r="W27" s="20" t="s">
        <v>312</v>
      </c>
      <c r="X27" s="1"/>
      <c r="Y27">
        <f>+'5% CO Elab'!AA27</f>
        <v>5.3759436319652295E-4</v>
      </c>
      <c r="Z27" s="20">
        <f t="shared" si="8"/>
        <v>7</v>
      </c>
      <c r="AA27" s="20" t="s">
        <v>41</v>
      </c>
      <c r="AB27" s="20" t="str">
        <f t="shared" si="24"/>
        <v>+</v>
      </c>
      <c r="AC27" s="20">
        <f t="shared" si="9"/>
        <v>11</v>
      </c>
      <c r="AD27" s="20" t="str">
        <f t="shared" si="25"/>
        <v>H2</v>
      </c>
      <c r="AE27" s="20" t="str">
        <f t="shared" si="11"/>
        <v>=</v>
      </c>
      <c r="AF27" s="20">
        <f t="shared" si="1"/>
        <v>1</v>
      </c>
      <c r="AG27" s="20" t="str">
        <f t="shared" si="2"/>
        <v>C7H8</v>
      </c>
      <c r="AH27" s="20" t="str">
        <f t="shared" si="3"/>
        <v>+</v>
      </c>
      <c r="AI27" s="20">
        <f t="shared" si="22"/>
        <v>7</v>
      </c>
      <c r="AJ27" s="20" t="str">
        <f t="shared" si="12"/>
        <v>H2O</v>
      </c>
      <c r="AL27">
        <f t="shared" si="13"/>
        <v>2.6485267825731877E-3</v>
      </c>
      <c r="AM27">
        <f t="shared" si="14"/>
        <v>3.7631605423756606E-3</v>
      </c>
      <c r="AP27">
        <f>+'10% CO Elab'!S27</f>
        <v>7</v>
      </c>
      <c r="AQ27" t="str">
        <f>+'10% CO Elab'!T27</f>
        <v>TOLUENE</v>
      </c>
      <c r="AR27" t="str">
        <f>+'10% CO Elab'!U27</f>
        <v>C7H8</v>
      </c>
      <c r="AS27" t="str">
        <f>+'10% CO Elab'!V27</f>
        <v>C7-A</v>
      </c>
      <c r="AT27">
        <f>+'10% CO Elab'!W27</f>
        <v>7.8386067141575193E-3</v>
      </c>
      <c r="AU27">
        <f>+'10% CO Elab'!X27</f>
        <v>5.4870246999102631E-2</v>
      </c>
      <c r="AW27">
        <f>+'10% CO Elab'!AB27</f>
        <v>9.9613676587641229E-5</v>
      </c>
      <c r="AX27" s="20">
        <v>7</v>
      </c>
      <c r="AY27" s="20" t="s">
        <v>309</v>
      </c>
      <c r="AZ27" s="20" t="s">
        <v>310</v>
      </c>
      <c r="BA27" s="20">
        <v>18</v>
      </c>
      <c r="BB27" s="20" t="s">
        <v>42</v>
      </c>
      <c r="BC27" s="20" t="s">
        <v>311</v>
      </c>
      <c r="BD27" s="20">
        <v>1</v>
      </c>
      <c r="BE27" s="20" t="s">
        <v>165</v>
      </c>
      <c r="BF27" s="20" t="s">
        <v>310</v>
      </c>
      <c r="BG27" s="20">
        <v>14</v>
      </c>
      <c r="BH27" s="20" t="s">
        <v>312</v>
      </c>
      <c r="BI27" s="1"/>
      <c r="BJ27">
        <f>+'10% CO Elab'!AA27</f>
        <v>4.9721384089606842E-4</v>
      </c>
      <c r="BK27" s="20">
        <f t="shared" si="15"/>
        <v>7</v>
      </c>
      <c r="BL27" s="20" t="s">
        <v>41</v>
      </c>
      <c r="BM27" s="20" t="str">
        <f t="shared" si="26"/>
        <v>+</v>
      </c>
      <c r="BN27" s="20">
        <f t="shared" si="16"/>
        <v>11</v>
      </c>
      <c r="BO27" s="20" t="str">
        <f t="shared" si="27"/>
        <v>H2</v>
      </c>
      <c r="BP27" s="20" t="str">
        <f t="shared" si="18"/>
        <v>=</v>
      </c>
      <c r="BQ27" s="20">
        <f t="shared" si="5"/>
        <v>1</v>
      </c>
      <c r="BR27" s="20" t="str">
        <f t="shared" si="6"/>
        <v>C7H8</v>
      </c>
      <c r="BS27" s="20" t="str">
        <f t="shared" si="7"/>
        <v>+</v>
      </c>
      <c r="BT27" s="20">
        <f t="shared" si="23"/>
        <v>7</v>
      </c>
      <c r="BU27" s="20" t="str">
        <f t="shared" si="19"/>
        <v>H2O</v>
      </c>
      <c r="BW27">
        <f t="shared" si="20"/>
        <v>1.3945914722269773E-3</v>
      </c>
      <c r="BX27">
        <f t="shared" si="21"/>
        <v>3.480496886272479E-3</v>
      </c>
    </row>
    <row r="28" spans="5:76" x14ac:dyDescent="0.2">
      <c r="E28">
        <f>+'5% CO Elab'!R28</f>
        <v>23</v>
      </c>
      <c r="F28">
        <f>+'5% CO Elab'!S28</f>
        <v>7</v>
      </c>
      <c r="G28" t="str">
        <f>+'5% CO Elab'!T28</f>
        <v>1c,3-Dimethylcyclopentane</v>
      </c>
      <c r="H28">
        <f>+'5% CO Elab'!U28</f>
        <v>0</v>
      </c>
      <c r="I28" t="str">
        <f>+'5% CO Elab'!V28</f>
        <v>C7-N</v>
      </c>
      <c r="J28">
        <f>+'5% CO Elab'!W28</f>
        <v>3.4702013310505875E-2</v>
      </c>
      <c r="L28">
        <f>+'5% CO Elab'!AB28</f>
        <v>7.6998845151546682E-4</v>
      </c>
      <c r="M28" s="20">
        <v>7</v>
      </c>
      <c r="N28" s="20" t="s">
        <v>309</v>
      </c>
      <c r="O28" s="20" t="s">
        <v>310</v>
      </c>
      <c r="P28" s="20">
        <v>21</v>
      </c>
      <c r="Q28" s="20" t="s">
        <v>42</v>
      </c>
      <c r="R28" s="20" t="s">
        <v>311</v>
      </c>
      <c r="S28" s="20">
        <v>1</v>
      </c>
      <c r="T28" s="20" t="s">
        <v>321</v>
      </c>
      <c r="U28" s="20" t="s">
        <v>310</v>
      </c>
      <c r="V28" s="20">
        <v>14</v>
      </c>
      <c r="W28" s="20" t="s">
        <v>312</v>
      </c>
      <c r="X28" s="1"/>
      <c r="Y28">
        <f>+'5% CO Elab'!AA28</f>
        <v>2.1880769172458758E-3</v>
      </c>
      <c r="Z28" s="20">
        <f t="shared" si="8"/>
        <v>7</v>
      </c>
      <c r="AA28" s="20" t="s">
        <v>41</v>
      </c>
      <c r="AB28" s="20" t="str">
        <f t="shared" si="24"/>
        <v>+</v>
      </c>
      <c r="AC28" s="20">
        <f t="shared" si="9"/>
        <v>14</v>
      </c>
      <c r="AD28" s="20" t="str">
        <f t="shared" si="25"/>
        <v>H2</v>
      </c>
      <c r="AE28" s="20" t="str">
        <f t="shared" si="11"/>
        <v>=</v>
      </c>
      <c r="AF28" s="20">
        <f t="shared" si="1"/>
        <v>1</v>
      </c>
      <c r="AG28" s="20" t="str">
        <f t="shared" si="2"/>
        <v>C7H14</v>
      </c>
      <c r="AH28" s="20" t="str">
        <f t="shared" si="3"/>
        <v>+</v>
      </c>
      <c r="AI28" s="20">
        <f t="shared" si="22"/>
        <v>7</v>
      </c>
      <c r="AJ28" s="20" t="str">
        <f t="shared" si="12"/>
        <v>H2O</v>
      </c>
      <c r="AL28">
        <f t="shared" si="13"/>
        <v>1.0779838321216536E-2</v>
      </c>
      <c r="AM28">
        <f t="shared" si="14"/>
        <v>1.5316538420721131E-2</v>
      </c>
      <c r="AP28">
        <f>+'10% CO Elab'!S28</f>
        <v>7</v>
      </c>
      <c r="AQ28" t="str">
        <f>+'10% CO Elab'!T28</f>
        <v>1c,3-Dimethylcyclopentane</v>
      </c>
      <c r="AR28">
        <f>+'10% CO Elab'!U28</f>
        <v>0</v>
      </c>
      <c r="AS28" t="str">
        <f>+'10% CO Elab'!V28</f>
        <v>C7-N</v>
      </c>
      <c r="AT28">
        <f>+'10% CO Elab'!W28</f>
        <v>3.1904118772068897E-2</v>
      </c>
      <c r="AU28">
        <f>+'10% CO Elab'!X28</f>
        <v>0.22332883140448229</v>
      </c>
      <c r="AW28">
        <f>+'10% CO Elab'!AB28</f>
        <v>4.0544023766807139E-4</v>
      </c>
      <c r="AX28" s="20">
        <v>7</v>
      </c>
      <c r="AY28" s="20" t="s">
        <v>309</v>
      </c>
      <c r="AZ28" s="20" t="s">
        <v>310</v>
      </c>
      <c r="BA28" s="20">
        <v>21</v>
      </c>
      <c r="BB28" s="20" t="s">
        <v>42</v>
      </c>
      <c r="BC28" s="20" t="s">
        <v>311</v>
      </c>
      <c r="BD28" s="20">
        <v>1</v>
      </c>
      <c r="BE28" s="20" t="s">
        <v>321</v>
      </c>
      <c r="BF28" s="20" t="s">
        <v>310</v>
      </c>
      <c r="BG28" s="20">
        <v>14</v>
      </c>
      <c r="BH28" s="20" t="s">
        <v>312</v>
      </c>
      <c r="BI28" s="1"/>
      <c r="BJ28">
        <f>+'10% CO Elab'!AA28</f>
        <v>2.0237230943623997E-3</v>
      </c>
      <c r="BK28" s="20">
        <f t="shared" si="15"/>
        <v>7</v>
      </c>
      <c r="BL28" s="20" t="s">
        <v>41</v>
      </c>
      <c r="BM28" s="20" t="str">
        <f t="shared" si="26"/>
        <v>+</v>
      </c>
      <c r="BN28" s="20">
        <f t="shared" si="16"/>
        <v>14</v>
      </c>
      <c r="BO28" s="20" t="str">
        <f t="shared" si="27"/>
        <v>H2</v>
      </c>
      <c r="BP28" s="20" t="str">
        <f t="shared" si="18"/>
        <v>=</v>
      </c>
      <c r="BQ28" s="20">
        <f t="shared" si="5"/>
        <v>1</v>
      </c>
      <c r="BR28" s="20" t="str">
        <f t="shared" si="6"/>
        <v>C7H14</v>
      </c>
      <c r="BS28" s="20" t="str">
        <f t="shared" si="7"/>
        <v>+</v>
      </c>
      <c r="BT28" s="20">
        <f t="shared" si="23"/>
        <v>7</v>
      </c>
      <c r="BU28" s="20" t="str">
        <f t="shared" si="19"/>
        <v>H2O</v>
      </c>
      <c r="BW28">
        <f t="shared" si="20"/>
        <v>5.6761633273529994E-3</v>
      </c>
      <c r="BX28">
        <f t="shared" si="21"/>
        <v>1.4166061660536798E-2</v>
      </c>
    </row>
    <row r="29" spans="5:76" x14ac:dyDescent="0.2">
      <c r="E29">
        <f>+'5% CO Elab'!R29</f>
        <v>24</v>
      </c>
      <c r="F29">
        <f>+'5% CO Elab'!S29</f>
        <v>8</v>
      </c>
      <c r="G29" t="str">
        <f>+'5% CO Elab'!T29</f>
        <v>N-OCTANE</v>
      </c>
      <c r="H29" t="str">
        <f>+'5% CO Elab'!U29</f>
        <v>C8H18-1</v>
      </c>
      <c r="I29" t="str">
        <f>+'5% CO Elab'!V29</f>
        <v>C8</v>
      </c>
      <c r="J29">
        <f>+'5% CO Elab'!W29</f>
        <v>2.3586206780926378E-2</v>
      </c>
      <c r="L29">
        <f>+'5% CO Elab'!AB29</f>
        <v>5.9810796810029672E-4</v>
      </c>
      <c r="M29" s="20">
        <v>8</v>
      </c>
      <c r="N29" s="20" t="s">
        <v>309</v>
      </c>
      <c r="O29" s="20" t="s">
        <v>310</v>
      </c>
      <c r="P29" s="20">
        <v>25</v>
      </c>
      <c r="Q29" s="20" t="s">
        <v>42</v>
      </c>
      <c r="R29" s="20" t="s">
        <v>311</v>
      </c>
      <c r="S29" s="20">
        <v>1</v>
      </c>
      <c r="T29" s="20" t="s">
        <v>322</v>
      </c>
      <c r="U29" s="20" t="s">
        <v>310</v>
      </c>
      <c r="V29" s="20">
        <v>16</v>
      </c>
      <c r="W29" s="20" t="s">
        <v>312</v>
      </c>
      <c r="X29" s="1"/>
      <c r="Y29">
        <f>+'5% CO Elab'!AA29</f>
        <v>1.6996439835498024E-3</v>
      </c>
      <c r="Z29" s="20">
        <f t="shared" si="8"/>
        <v>8</v>
      </c>
      <c r="AA29" s="20" t="s">
        <v>41</v>
      </c>
      <c r="AB29" s="20" t="str">
        <f t="shared" si="24"/>
        <v>+</v>
      </c>
      <c r="AC29" s="20">
        <f t="shared" si="9"/>
        <v>17</v>
      </c>
      <c r="AD29" s="20" t="str">
        <f t="shared" si="25"/>
        <v>H2</v>
      </c>
      <c r="AE29" s="20" t="str">
        <f t="shared" si="11"/>
        <v>=</v>
      </c>
      <c r="AF29" s="20">
        <f t="shared" si="1"/>
        <v>1</v>
      </c>
      <c r="AG29" s="20" t="str">
        <f t="shared" si="2"/>
        <v>C8H18</v>
      </c>
      <c r="AH29" s="20" t="str">
        <f t="shared" si="3"/>
        <v>+</v>
      </c>
      <c r="AI29" s="20">
        <f t="shared" si="22"/>
        <v>8</v>
      </c>
      <c r="AJ29" s="20" t="str">
        <f t="shared" si="12"/>
        <v>H2O</v>
      </c>
      <c r="AL29">
        <f t="shared" si="13"/>
        <v>9.5697274896047475E-3</v>
      </c>
      <c r="AM29">
        <f t="shared" si="14"/>
        <v>1.3597151868398419E-2</v>
      </c>
      <c r="AP29">
        <f>+'10% CO Elab'!S29</f>
        <v>8</v>
      </c>
      <c r="AQ29" t="str">
        <f>+'10% CO Elab'!T29</f>
        <v>N-OCTANE</v>
      </c>
      <c r="AR29" t="str">
        <f>+'10% CO Elab'!U29</f>
        <v>C8H18-1</v>
      </c>
      <c r="AS29" t="str">
        <f>+'10% CO Elab'!V29</f>
        <v>C8</v>
      </c>
      <c r="AT29">
        <f>+'10% CO Elab'!W29</f>
        <v>2.9504924850879053E-2</v>
      </c>
      <c r="AU29">
        <f>+'10% CO Elab'!X29</f>
        <v>0.23603939880703242</v>
      </c>
      <c r="AW29">
        <f>+'10% CO Elab'!AB29</f>
        <v>4.2851551834803173E-4</v>
      </c>
      <c r="AX29" s="20">
        <v>8</v>
      </c>
      <c r="AY29" s="20" t="s">
        <v>309</v>
      </c>
      <c r="AZ29" s="20" t="s">
        <v>310</v>
      </c>
      <c r="BA29" s="20">
        <v>25</v>
      </c>
      <c r="BB29" s="20" t="s">
        <v>42</v>
      </c>
      <c r="BC29" s="20" t="s">
        <v>311</v>
      </c>
      <c r="BD29" s="20">
        <v>1</v>
      </c>
      <c r="BE29" s="20" t="s">
        <v>322</v>
      </c>
      <c r="BF29" s="20" t="s">
        <v>310</v>
      </c>
      <c r="BG29" s="20">
        <v>16</v>
      </c>
      <c r="BH29" s="20" t="s">
        <v>312</v>
      </c>
      <c r="BI29" s="1"/>
      <c r="BJ29">
        <f>+'10% CO Elab'!AA29</f>
        <v>2.1389015450497761E-3</v>
      </c>
      <c r="BK29" s="20">
        <f t="shared" si="15"/>
        <v>8</v>
      </c>
      <c r="BL29" s="20" t="s">
        <v>41</v>
      </c>
      <c r="BM29" s="20" t="str">
        <f t="shared" si="26"/>
        <v>+</v>
      </c>
      <c r="BN29" s="20">
        <f t="shared" si="16"/>
        <v>17</v>
      </c>
      <c r="BO29" s="20" t="str">
        <f t="shared" si="27"/>
        <v>H2</v>
      </c>
      <c r="BP29" s="20" t="str">
        <f t="shared" si="18"/>
        <v>=</v>
      </c>
      <c r="BQ29" s="20">
        <f t="shared" si="5"/>
        <v>1</v>
      </c>
      <c r="BR29" s="20" t="str">
        <f t="shared" si="6"/>
        <v>C8H18</v>
      </c>
      <c r="BS29" s="20" t="str">
        <f t="shared" si="7"/>
        <v>+</v>
      </c>
      <c r="BT29" s="20">
        <f t="shared" si="23"/>
        <v>8</v>
      </c>
      <c r="BU29" s="20" t="str">
        <f t="shared" si="19"/>
        <v>H2O</v>
      </c>
      <c r="BW29">
        <f t="shared" si="20"/>
        <v>6.8562482935685077E-3</v>
      </c>
      <c r="BX29">
        <f t="shared" si="21"/>
        <v>1.7111212360398208E-2</v>
      </c>
    </row>
    <row r="30" spans="5:76" x14ac:dyDescent="0.2">
      <c r="E30">
        <f>+'5% CO Elab'!R30</f>
        <v>25</v>
      </c>
      <c r="F30">
        <f>+'5% CO Elab'!S30</f>
        <v>8</v>
      </c>
      <c r="G30" t="str">
        <f>+'5% CO Elab'!T30</f>
        <v>2,2,4-TRIMETHYLPENTANE</v>
      </c>
      <c r="H30" t="str">
        <f>+'5% CO Elab'!U30</f>
        <v>C8H18-13</v>
      </c>
      <c r="I30" t="str">
        <f>+'5% CO Elab'!V30</f>
        <v>C8-IP</v>
      </c>
      <c r="J30">
        <f>+'5% CO Elab'!W30</f>
        <v>0.13618128701509688</v>
      </c>
      <c r="L30">
        <f>+'5% CO Elab'!AB30</f>
        <v>3.4533366736931412E-3</v>
      </c>
      <c r="M30" s="20">
        <v>8</v>
      </c>
      <c r="N30" s="20" t="s">
        <v>309</v>
      </c>
      <c r="O30" s="20" t="s">
        <v>310</v>
      </c>
      <c r="P30" s="20">
        <v>25</v>
      </c>
      <c r="Q30" s="20" t="s">
        <v>42</v>
      </c>
      <c r="R30" s="20" t="s">
        <v>311</v>
      </c>
      <c r="S30" s="20">
        <v>1</v>
      </c>
      <c r="T30" s="20" t="s">
        <v>322</v>
      </c>
      <c r="U30" s="20" t="s">
        <v>310</v>
      </c>
      <c r="V30" s="20">
        <v>16</v>
      </c>
      <c r="W30" s="20" t="s">
        <v>312</v>
      </c>
      <c r="X30" s="1"/>
      <c r="Y30">
        <f>+'5% CO Elab'!AA30</f>
        <v>9.8133501201411646E-3</v>
      </c>
      <c r="Z30" s="20">
        <f t="shared" si="8"/>
        <v>8</v>
      </c>
      <c r="AA30" s="20" t="s">
        <v>41</v>
      </c>
      <c r="AB30" s="20" t="str">
        <f t="shared" si="24"/>
        <v>+</v>
      </c>
      <c r="AC30" s="20">
        <f t="shared" si="9"/>
        <v>17</v>
      </c>
      <c r="AD30" s="20" t="str">
        <f t="shared" si="25"/>
        <v>H2</v>
      </c>
      <c r="AE30" s="20" t="str">
        <f t="shared" si="11"/>
        <v>=</v>
      </c>
      <c r="AF30" s="20">
        <f t="shared" si="1"/>
        <v>1</v>
      </c>
      <c r="AG30" s="20" t="str">
        <f t="shared" si="2"/>
        <v>C8H18</v>
      </c>
      <c r="AH30" s="20" t="str">
        <f t="shared" si="3"/>
        <v>+</v>
      </c>
      <c r="AI30" s="20">
        <f t="shared" si="22"/>
        <v>8</v>
      </c>
      <c r="AJ30" s="20" t="str">
        <f t="shared" si="12"/>
        <v>H2O</v>
      </c>
      <c r="AL30">
        <f t="shared" si="13"/>
        <v>5.5253386779090259E-2</v>
      </c>
      <c r="AM30">
        <f t="shared" si="14"/>
        <v>7.8506800961129317E-2</v>
      </c>
      <c r="AP30">
        <f>+'10% CO Elab'!S30</f>
        <v>8</v>
      </c>
      <c r="AQ30" t="str">
        <f>+'10% CO Elab'!T30</f>
        <v>2,2,4-TRIMETHYLPENTANE</v>
      </c>
      <c r="AR30" t="str">
        <f>+'10% CO Elab'!U30</f>
        <v>C8H18-13</v>
      </c>
      <c r="AS30" t="str">
        <f>+'10% CO Elab'!V30</f>
        <v>C8-IP</v>
      </c>
      <c r="AT30">
        <f>+'10% CO Elab'!W30</f>
        <v>0.12520149527311439</v>
      </c>
      <c r="AU30">
        <f>+'10% CO Elab'!X30</f>
        <v>1.0016119621849151</v>
      </c>
      <c r="AW30">
        <f>+'10% CO Elab'!AB30</f>
        <v>1.8183670663817608E-3</v>
      </c>
      <c r="AX30" s="20">
        <v>8</v>
      </c>
      <c r="AY30" s="20" t="s">
        <v>309</v>
      </c>
      <c r="AZ30" s="20" t="s">
        <v>310</v>
      </c>
      <c r="BA30" s="20">
        <v>25</v>
      </c>
      <c r="BB30" s="20" t="s">
        <v>42</v>
      </c>
      <c r="BC30" s="20" t="s">
        <v>311</v>
      </c>
      <c r="BD30" s="20">
        <v>1</v>
      </c>
      <c r="BE30" s="20" t="s">
        <v>322</v>
      </c>
      <c r="BF30" s="20" t="s">
        <v>310</v>
      </c>
      <c r="BG30" s="20">
        <v>16</v>
      </c>
      <c r="BH30" s="20" t="s">
        <v>312</v>
      </c>
      <c r="BI30" s="1"/>
      <c r="BJ30">
        <f>+'10% CO Elab'!AA30</f>
        <v>9.076236358359276E-3</v>
      </c>
      <c r="BK30" s="20">
        <f t="shared" si="15"/>
        <v>8</v>
      </c>
      <c r="BL30" s="20" t="s">
        <v>41</v>
      </c>
      <c r="BM30" s="20" t="str">
        <f t="shared" si="26"/>
        <v>+</v>
      </c>
      <c r="BN30" s="20">
        <f t="shared" si="16"/>
        <v>17</v>
      </c>
      <c r="BO30" s="20" t="str">
        <f t="shared" si="27"/>
        <v>H2</v>
      </c>
      <c r="BP30" s="20" t="str">
        <f t="shared" si="18"/>
        <v>=</v>
      </c>
      <c r="BQ30" s="20">
        <f t="shared" si="5"/>
        <v>1</v>
      </c>
      <c r="BR30" s="20" t="str">
        <f t="shared" si="6"/>
        <v>C8H18</v>
      </c>
      <c r="BS30" s="20" t="str">
        <f t="shared" si="7"/>
        <v>+</v>
      </c>
      <c r="BT30" s="20">
        <f t="shared" si="23"/>
        <v>8</v>
      </c>
      <c r="BU30" s="20" t="str">
        <f t="shared" si="19"/>
        <v>H2O</v>
      </c>
      <c r="BW30">
        <f t="shared" si="20"/>
        <v>2.9093873062108172E-2</v>
      </c>
      <c r="BX30">
        <f t="shared" si="21"/>
        <v>7.2609890866874208E-2</v>
      </c>
    </row>
    <row r="31" spans="5:76" x14ac:dyDescent="0.2">
      <c r="E31">
        <f>+'5% CO Elab'!R31</f>
        <v>26</v>
      </c>
      <c r="F31">
        <f>+'5% CO Elab'!S31</f>
        <v>8</v>
      </c>
      <c r="G31" t="str">
        <f>+'5% CO Elab'!T31</f>
        <v>1-OCTENE</v>
      </c>
      <c r="H31" t="str">
        <f>+'5% CO Elab'!U31</f>
        <v>C8H16-16</v>
      </c>
      <c r="I31" t="str">
        <f>+'5% CO Elab'!V31</f>
        <v>C8-O</v>
      </c>
      <c r="J31">
        <f>+'5% CO Elab'!W31</f>
        <v>0.37385779168760375</v>
      </c>
      <c r="L31">
        <f>+'5% CO Elab'!AB31</f>
        <v>9.4804275321440316E-3</v>
      </c>
      <c r="M31" s="20">
        <v>8</v>
      </c>
      <c r="N31" s="20" t="s">
        <v>309</v>
      </c>
      <c r="O31" s="20" t="s">
        <v>310</v>
      </c>
      <c r="P31" s="20">
        <v>24</v>
      </c>
      <c r="Q31" s="20" t="s">
        <v>42</v>
      </c>
      <c r="R31" s="20" t="s">
        <v>311</v>
      </c>
      <c r="S31" s="20">
        <v>1</v>
      </c>
      <c r="T31" s="20" t="s">
        <v>323</v>
      </c>
      <c r="U31" s="20" t="s">
        <v>310</v>
      </c>
      <c r="V31" s="20">
        <v>16</v>
      </c>
      <c r="W31" s="20" t="s">
        <v>312</v>
      </c>
      <c r="X31" s="1"/>
      <c r="Y31">
        <f>+'5% CO Elab'!AA31</f>
        <v>2.6940539962487936E-2</v>
      </c>
      <c r="Z31" s="20">
        <f t="shared" si="8"/>
        <v>8</v>
      </c>
      <c r="AA31" s="20" t="s">
        <v>41</v>
      </c>
      <c r="AB31" s="20" t="str">
        <f t="shared" si="24"/>
        <v>+</v>
      </c>
      <c r="AC31" s="20">
        <f t="shared" si="9"/>
        <v>16</v>
      </c>
      <c r="AD31" s="20" t="str">
        <f t="shared" si="25"/>
        <v>H2</v>
      </c>
      <c r="AE31" s="20" t="str">
        <f t="shared" si="11"/>
        <v>=</v>
      </c>
      <c r="AF31" s="20">
        <f t="shared" si="1"/>
        <v>1</v>
      </c>
      <c r="AG31" s="20" t="str">
        <f t="shared" si="2"/>
        <v>C8H16</v>
      </c>
      <c r="AH31" s="20" t="str">
        <f t="shared" si="3"/>
        <v>+</v>
      </c>
      <c r="AI31" s="20">
        <f t="shared" si="22"/>
        <v>8</v>
      </c>
      <c r="AJ31" s="20" t="str">
        <f t="shared" si="12"/>
        <v>H2O</v>
      </c>
      <c r="AL31">
        <f t="shared" si="13"/>
        <v>0.15168684051430451</v>
      </c>
      <c r="AM31">
        <f t="shared" si="14"/>
        <v>0.21552431969990349</v>
      </c>
      <c r="AP31">
        <f>+'10% CO Elab'!S31</f>
        <v>8</v>
      </c>
      <c r="AQ31" t="str">
        <f>+'10% CO Elab'!T31</f>
        <v>1-OCTENE</v>
      </c>
      <c r="AR31" t="str">
        <f>+'10% CO Elab'!U31</f>
        <v>C8H16-16</v>
      </c>
      <c r="AS31" t="str">
        <f>+'10% CO Elab'!V31</f>
        <v>C8-O</v>
      </c>
      <c r="AT31">
        <f>+'10% CO Elab'!W31</f>
        <v>0.3437150254983527</v>
      </c>
      <c r="AU31">
        <f>+'10% CO Elab'!X31</f>
        <v>2.7497202039868216</v>
      </c>
      <c r="AW31">
        <f>+'10% CO Elab'!AB31</f>
        <v>4.9919538199076395E-3</v>
      </c>
      <c r="AX31" s="20">
        <v>8</v>
      </c>
      <c r="AY31" s="20" t="s">
        <v>309</v>
      </c>
      <c r="AZ31" s="20" t="s">
        <v>310</v>
      </c>
      <c r="BA31" s="20">
        <v>24</v>
      </c>
      <c r="BB31" s="20" t="s">
        <v>42</v>
      </c>
      <c r="BC31" s="20" t="s">
        <v>311</v>
      </c>
      <c r="BD31" s="20">
        <v>1</v>
      </c>
      <c r="BE31" s="20" t="s">
        <v>323</v>
      </c>
      <c r="BF31" s="20" t="s">
        <v>310</v>
      </c>
      <c r="BG31" s="20">
        <v>16</v>
      </c>
      <c r="BH31" s="20" t="s">
        <v>312</v>
      </c>
      <c r="BI31" s="1"/>
      <c r="BJ31">
        <f>+'10% CO Elab'!AA31</f>
        <v>2.4916945317125475E-2</v>
      </c>
      <c r="BK31" s="20">
        <f t="shared" si="15"/>
        <v>8</v>
      </c>
      <c r="BL31" s="20" t="s">
        <v>41</v>
      </c>
      <c r="BM31" s="20" t="str">
        <f t="shared" si="26"/>
        <v>+</v>
      </c>
      <c r="BN31" s="20">
        <f t="shared" si="16"/>
        <v>16</v>
      </c>
      <c r="BO31" s="20" t="str">
        <f t="shared" si="27"/>
        <v>H2</v>
      </c>
      <c r="BP31" s="20" t="str">
        <f t="shared" si="18"/>
        <v>=</v>
      </c>
      <c r="BQ31" s="20">
        <f t="shared" si="5"/>
        <v>1</v>
      </c>
      <c r="BR31" s="20" t="str">
        <f t="shared" si="6"/>
        <v>C8H16</v>
      </c>
      <c r="BS31" s="20" t="str">
        <f t="shared" si="7"/>
        <v>+</v>
      </c>
      <c r="BT31" s="20">
        <f t="shared" si="23"/>
        <v>8</v>
      </c>
      <c r="BU31" s="20" t="str">
        <f t="shared" si="19"/>
        <v>H2O</v>
      </c>
      <c r="BW31">
        <f t="shared" si="20"/>
        <v>7.9871261118522233E-2</v>
      </c>
      <c r="BX31">
        <f t="shared" si="21"/>
        <v>0.1993355625370038</v>
      </c>
    </row>
    <row r="32" spans="5:76" x14ac:dyDescent="0.2">
      <c r="E32">
        <f>+'5% CO Elab'!R32</f>
        <v>27</v>
      </c>
      <c r="F32">
        <f>+'5% CO Elab'!S32</f>
        <v>8</v>
      </c>
      <c r="G32" t="str">
        <f>+'5% CO Elab'!T32</f>
        <v>1-METHYL-1-ETHYLCYCLOPENTANE</v>
      </c>
      <c r="H32" t="str">
        <f>+'5% CO Elab'!U32</f>
        <v>C8H16-13</v>
      </c>
      <c r="I32" t="str">
        <f>+'5% CO Elab'!V32</f>
        <v>C8-N</v>
      </c>
      <c r="J32">
        <f>+'5% CO Elab'!W32</f>
        <v>6.1129115107962102E-2</v>
      </c>
      <c r="L32">
        <f>+'5% CO Elab'!AB32</f>
        <v>1.5501352620447245E-3</v>
      </c>
      <c r="M32" s="20">
        <v>8</v>
      </c>
      <c r="N32" s="20" t="s">
        <v>309</v>
      </c>
      <c r="O32" s="20" t="s">
        <v>310</v>
      </c>
      <c r="P32" s="20">
        <v>24</v>
      </c>
      <c r="Q32" s="20" t="s">
        <v>42</v>
      </c>
      <c r="R32" s="20" t="s">
        <v>311</v>
      </c>
      <c r="S32" s="20">
        <v>1</v>
      </c>
      <c r="T32" s="20" t="s">
        <v>323</v>
      </c>
      <c r="U32" s="20" t="s">
        <v>310</v>
      </c>
      <c r="V32" s="20">
        <v>16</v>
      </c>
      <c r="W32" s="20" t="s">
        <v>312</v>
      </c>
      <c r="X32" s="1"/>
      <c r="Y32">
        <f>+'5% CO Elab'!AA32</f>
        <v>4.4050208529923859E-3</v>
      </c>
      <c r="Z32" s="20">
        <f t="shared" si="8"/>
        <v>8</v>
      </c>
      <c r="AA32" s="20" t="s">
        <v>41</v>
      </c>
      <c r="AB32" s="20" t="str">
        <f t="shared" si="24"/>
        <v>+</v>
      </c>
      <c r="AC32" s="20">
        <f t="shared" si="9"/>
        <v>16</v>
      </c>
      <c r="AD32" s="20" t="str">
        <f t="shared" si="25"/>
        <v>H2</v>
      </c>
      <c r="AE32" s="20" t="str">
        <f t="shared" si="11"/>
        <v>=</v>
      </c>
      <c r="AF32" s="20">
        <f t="shared" si="1"/>
        <v>1</v>
      </c>
      <c r="AG32" s="20" t="str">
        <f t="shared" si="2"/>
        <v>C8H16</v>
      </c>
      <c r="AH32" s="20" t="str">
        <f t="shared" si="3"/>
        <v>+</v>
      </c>
      <c r="AI32" s="20">
        <f t="shared" si="22"/>
        <v>8</v>
      </c>
      <c r="AJ32" s="20" t="str">
        <f t="shared" si="12"/>
        <v>H2O</v>
      </c>
      <c r="AL32">
        <f t="shared" si="13"/>
        <v>2.4802164192715592E-2</v>
      </c>
      <c r="AM32">
        <f t="shared" si="14"/>
        <v>3.5240166823939087E-2</v>
      </c>
      <c r="AP32">
        <f>+'10% CO Elab'!S32</f>
        <v>8</v>
      </c>
      <c r="AQ32" t="str">
        <f>+'10% CO Elab'!T32</f>
        <v>1-METHYL-1-ETHYLCYCLOPENTANE</v>
      </c>
      <c r="AR32" t="str">
        <f>+'10% CO Elab'!U32</f>
        <v>C8H16-13</v>
      </c>
      <c r="AS32" t="str">
        <f>+'10% CO Elab'!V32</f>
        <v>C8-N</v>
      </c>
      <c r="AT32">
        <f>+'10% CO Elab'!W32</f>
        <v>5.6200501434464568E-2</v>
      </c>
      <c r="AU32">
        <f>+'10% CO Elab'!X32</f>
        <v>0.44960401147571655</v>
      </c>
      <c r="AW32">
        <f>+'10% CO Elab'!AB32</f>
        <v>8.1622939645926182E-4</v>
      </c>
      <c r="AX32" s="20">
        <v>8</v>
      </c>
      <c r="AY32" s="20" t="s">
        <v>309</v>
      </c>
      <c r="AZ32" s="20" t="s">
        <v>310</v>
      </c>
      <c r="BA32" s="20">
        <v>24</v>
      </c>
      <c r="BB32" s="20" t="s">
        <v>42</v>
      </c>
      <c r="BC32" s="20" t="s">
        <v>311</v>
      </c>
      <c r="BD32" s="20">
        <v>1</v>
      </c>
      <c r="BE32" s="20" t="s">
        <v>323</v>
      </c>
      <c r="BF32" s="20" t="s">
        <v>310</v>
      </c>
      <c r="BG32" s="20">
        <v>16</v>
      </c>
      <c r="BH32" s="20" t="s">
        <v>312</v>
      </c>
      <c r="BI32" s="1"/>
      <c r="BJ32">
        <f>+'10% CO Elab'!AA32</f>
        <v>4.0741449082920484E-3</v>
      </c>
      <c r="BK32" s="20">
        <f t="shared" si="15"/>
        <v>8</v>
      </c>
      <c r="BL32" s="20" t="s">
        <v>41</v>
      </c>
      <c r="BM32" s="20" t="str">
        <f t="shared" si="26"/>
        <v>+</v>
      </c>
      <c r="BN32" s="20">
        <f t="shared" si="16"/>
        <v>16</v>
      </c>
      <c r="BO32" s="20" t="str">
        <f t="shared" si="27"/>
        <v>H2</v>
      </c>
      <c r="BP32" s="20" t="str">
        <f t="shared" si="18"/>
        <v>=</v>
      </c>
      <c r="BQ32" s="20">
        <f t="shared" si="5"/>
        <v>1</v>
      </c>
      <c r="BR32" s="20" t="str">
        <f t="shared" si="6"/>
        <v>C8H16</v>
      </c>
      <c r="BS32" s="20" t="str">
        <f t="shared" si="7"/>
        <v>+</v>
      </c>
      <c r="BT32" s="20">
        <f t="shared" si="23"/>
        <v>8</v>
      </c>
      <c r="BU32" s="20" t="str">
        <f t="shared" si="19"/>
        <v>H2O</v>
      </c>
      <c r="BW32">
        <f t="shared" si="20"/>
        <v>1.3059670343348189E-2</v>
      </c>
      <c r="BX32">
        <f t="shared" si="21"/>
        <v>3.2593159266336387E-2</v>
      </c>
    </row>
    <row r="33" spans="5:76" x14ac:dyDescent="0.2">
      <c r="E33">
        <f>+'5% CO Elab'!R33</f>
        <v>28</v>
      </c>
      <c r="F33">
        <f>+'5% CO Elab'!S33</f>
        <v>8</v>
      </c>
      <c r="G33" t="str">
        <f>+'5% CO Elab'!T33</f>
        <v>M-XYLENE</v>
      </c>
      <c r="H33" t="str">
        <f>+'5% CO Elab'!U33</f>
        <v>C8H10-2</v>
      </c>
      <c r="I33" t="str">
        <f>+'5% CO Elab'!V33</f>
        <v>C8-A</v>
      </c>
      <c r="J33">
        <f>+'5% CO Elab'!W33</f>
        <v>0.10006726324802021</v>
      </c>
      <c r="L33">
        <f>+'5% CO Elab'!AB33</f>
        <v>2.5375435758085109E-3</v>
      </c>
      <c r="M33" s="20">
        <v>8</v>
      </c>
      <c r="N33" s="20" t="s">
        <v>309</v>
      </c>
      <c r="O33" s="20" t="s">
        <v>310</v>
      </c>
      <c r="P33" s="20">
        <v>21</v>
      </c>
      <c r="Q33" s="20" t="s">
        <v>42</v>
      </c>
      <c r="R33" s="20" t="s">
        <v>311</v>
      </c>
      <c r="S33" s="20">
        <v>1</v>
      </c>
      <c r="T33" s="20" t="s">
        <v>324</v>
      </c>
      <c r="U33" s="20" t="s">
        <v>310</v>
      </c>
      <c r="V33" s="20">
        <v>16</v>
      </c>
      <c r="W33" s="20" t="s">
        <v>312</v>
      </c>
      <c r="X33" s="1"/>
      <c r="Y33">
        <f>+'5% CO Elab'!AA33</f>
        <v>7.2109400002093827E-3</v>
      </c>
      <c r="Z33" s="20">
        <f t="shared" si="8"/>
        <v>8</v>
      </c>
      <c r="AA33" s="20" t="s">
        <v>41</v>
      </c>
      <c r="AB33" s="20" t="str">
        <f t="shared" si="24"/>
        <v>+</v>
      </c>
      <c r="AC33" s="20">
        <f t="shared" si="9"/>
        <v>13</v>
      </c>
      <c r="AD33" s="20" t="str">
        <f t="shared" si="25"/>
        <v>H2</v>
      </c>
      <c r="AE33" s="20" t="str">
        <f t="shared" si="11"/>
        <v>=</v>
      </c>
      <c r="AF33" s="20">
        <f t="shared" si="1"/>
        <v>1</v>
      </c>
      <c r="AG33" s="20" t="str">
        <f t="shared" si="2"/>
        <v>C8H10</v>
      </c>
      <c r="AH33" s="20" t="str">
        <f t="shared" si="3"/>
        <v>+</v>
      </c>
      <c r="AI33" s="20">
        <f t="shared" si="22"/>
        <v>8</v>
      </c>
      <c r="AJ33" s="20" t="str">
        <f t="shared" si="12"/>
        <v>H2O</v>
      </c>
      <c r="AL33">
        <f t="shared" si="13"/>
        <v>4.0600697212936174E-2</v>
      </c>
      <c r="AM33">
        <f t="shared" si="14"/>
        <v>5.7687520001675062E-2</v>
      </c>
      <c r="AP33">
        <f>+'10% CO Elab'!S33</f>
        <v>8</v>
      </c>
      <c r="AQ33" t="str">
        <f>+'10% CO Elab'!T33</f>
        <v>M-XYLENE</v>
      </c>
      <c r="AR33" t="str">
        <f>+'10% CO Elab'!U33</f>
        <v>C8H10-2</v>
      </c>
      <c r="AS33" t="str">
        <f>+'10% CO Elab'!V33</f>
        <v>C8-A</v>
      </c>
      <c r="AT33">
        <f>+'10% CO Elab'!W33</f>
        <v>9.7895729961102018E-2</v>
      </c>
      <c r="AU33">
        <f>+'10% CO Elab'!X33</f>
        <v>0.78316583968881615</v>
      </c>
      <c r="AW33">
        <f>+'10% CO Elab'!AB33</f>
        <v>1.4217910969222733E-3</v>
      </c>
      <c r="AX33" s="20">
        <v>8</v>
      </c>
      <c r="AY33" s="20" t="s">
        <v>309</v>
      </c>
      <c r="AZ33" s="20" t="s">
        <v>310</v>
      </c>
      <c r="BA33" s="20">
        <v>21</v>
      </c>
      <c r="BB33" s="20" t="s">
        <v>42</v>
      </c>
      <c r="BC33" s="20" t="s">
        <v>311</v>
      </c>
      <c r="BD33" s="20">
        <v>1</v>
      </c>
      <c r="BE33" s="20" t="s">
        <v>324</v>
      </c>
      <c r="BF33" s="20" t="s">
        <v>310</v>
      </c>
      <c r="BG33" s="20">
        <v>16</v>
      </c>
      <c r="BH33" s="20" t="s">
        <v>312</v>
      </c>
      <c r="BI33" s="1"/>
      <c r="BJ33">
        <f>+'10% CO Elab'!AA33</f>
        <v>7.096758562370591E-3</v>
      </c>
      <c r="BK33" s="20">
        <f t="shared" si="15"/>
        <v>8</v>
      </c>
      <c r="BL33" s="20" t="s">
        <v>41</v>
      </c>
      <c r="BM33" s="20" t="str">
        <f t="shared" si="26"/>
        <v>+</v>
      </c>
      <c r="BN33" s="20">
        <f t="shared" si="16"/>
        <v>13</v>
      </c>
      <c r="BO33" s="20" t="str">
        <f t="shared" si="27"/>
        <v>H2</v>
      </c>
      <c r="BP33" s="20" t="str">
        <f t="shared" si="18"/>
        <v>=</v>
      </c>
      <c r="BQ33" s="20">
        <f t="shared" si="5"/>
        <v>1</v>
      </c>
      <c r="BR33" s="20" t="str">
        <f t="shared" si="6"/>
        <v>C8H10</v>
      </c>
      <c r="BS33" s="20" t="str">
        <f t="shared" si="7"/>
        <v>+</v>
      </c>
      <c r="BT33" s="20">
        <f t="shared" si="23"/>
        <v>8</v>
      </c>
      <c r="BU33" s="20" t="str">
        <f t="shared" si="19"/>
        <v>H2O</v>
      </c>
      <c r="BW33">
        <f t="shared" si="20"/>
        <v>2.2748657550756373E-2</v>
      </c>
      <c r="BX33">
        <f t="shared" si="21"/>
        <v>5.6774068498964728E-2</v>
      </c>
    </row>
    <row r="34" spans="5:76" x14ac:dyDescent="0.2">
      <c r="E34">
        <f>+'5% CO Elab'!R34</f>
        <v>29</v>
      </c>
      <c r="F34">
        <f>+'5% CO Elab'!S34</f>
        <v>9</v>
      </c>
      <c r="G34" t="str">
        <f>+'5% CO Elab'!T34</f>
        <v>N-NONANE</v>
      </c>
      <c r="H34" t="str">
        <f>+'5% CO Elab'!U34</f>
        <v>C9H20-1</v>
      </c>
      <c r="I34" t="str">
        <f>+'5% CO Elab'!V34</f>
        <v>C9</v>
      </c>
      <c r="J34">
        <f>+'5% CO Elab'!W34</f>
        <v>5.6176551598659127E-2</v>
      </c>
      <c r="L34">
        <f>+'5% CO Elab'!AB34</f>
        <v>1.6026145651181004E-3</v>
      </c>
      <c r="M34" s="20">
        <v>9</v>
      </c>
      <c r="N34" s="20" t="s">
        <v>309</v>
      </c>
      <c r="O34" s="20" t="s">
        <v>310</v>
      </c>
      <c r="P34" s="20">
        <v>28</v>
      </c>
      <c r="Q34" s="20" t="s">
        <v>42</v>
      </c>
      <c r="R34" s="20" t="s">
        <v>311</v>
      </c>
      <c r="S34" s="20">
        <v>1</v>
      </c>
      <c r="T34" s="20" t="s">
        <v>325</v>
      </c>
      <c r="U34" s="20" t="s">
        <v>310</v>
      </c>
      <c r="V34" s="20">
        <v>18</v>
      </c>
      <c r="W34" s="20" t="s">
        <v>312</v>
      </c>
      <c r="X34" s="1"/>
      <c r="Y34">
        <f>+'5% CO Elab'!AA34</f>
        <v>4.5541513386016218E-3</v>
      </c>
      <c r="Z34" s="20">
        <f t="shared" si="8"/>
        <v>9</v>
      </c>
      <c r="AA34" s="20" t="s">
        <v>41</v>
      </c>
      <c r="AB34" s="20" t="str">
        <f t="shared" si="24"/>
        <v>+</v>
      </c>
      <c r="AC34" s="20">
        <f t="shared" si="9"/>
        <v>19</v>
      </c>
      <c r="AD34" s="20" t="str">
        <f t="shared" si="25"/>
        <v>H2</v>
      </c>
      <c r="AE34" s="20" t="str">
        <f t="shared" si="11"/>
        <v>=</v>
      </c>
      <c r="AF34" s="20">
        <f t="shared" si="1"/>
        <v>1</v>
      </c>
      <c r="AG34" s="20" t="str">
        <f t="shared" si="2"/>
        <v>C9H20</v>
      </c>
      <c r="AH34" s="20" t="str">
        <f t="shared" si="3"/>
        <v>+</v>
      </c>
      <c r="AI34" s="20">
        <f t="shared" si="22"/>
        <v>9</v>
      </c>
      <c r="AJ34" s="20" t="str">
        <f t="shared" si="12"/>
        <v>H2O</v>
      </c>
      <c r="AL34">
        <f t="shared" si="13"/>
        <v>2.8847062172125806E-2</v>
      </c>
      <c r="AM34">
        <f t="shared" si="14"/>
        <v>4.0987362047414599E-2</v>
      </c>
      <c r="AP34">
        <f>+'10% CO Elab'!S34</f>
        <v>9</v>
      </c>
      <c r="AQ34" t="str">
        <f>+'10% CO Elab'!T34</f>
        <v>N-NONANE</v>
      </c>
      <c r="AR34" t="str">
        <f>+'10% CO Elab'!U34</f>
        <v>C9H20-1</v>
      </c>
      <c r="AS34" t="str">
        <f>+'10% CO Elab'!V34</f>
        <v>C9</v>
      </c>
      <c r="AT34">
        <f>+'10% CO Elab'!W34</f>
        <v>6.1344523855475869E-2</v>
      </c>
      <c r="AU34">
        <f>+'10% CO Elab'!X34</f>
        <v>0.55210071469928279</v>
      </c>
      <c r="AW34">
        <f>+'10% CO Elab'!AB34</f>
        <v>1.0023060774404637E-3</v>
      </c>
      <c r="AX34" s="20">
        <v>9</v>
      </c>
      <c r="AY34" s="20" t="s">
        <v>309</v>
      </c>
      <c r="AZ34" s="20" t="s">
        <v>310</v>
      </c>
      <c r="BA34" s="20">
        <v>28</v>
      </c>
      <c r="BB34" s="20" t="s">
        <v>42</v>
      </c>
      <c r="BC34" s="20" t="s">
        <v>311</v>
      </c>
      <c r="BD34" s="20">
        <v>1</v>
      </c>
      <c r="BE34" s="20" t="s">
        <v>325</v>
      </c>
      <c r="BF34" s="20" t="s">
        <v>310</v>
      </c>
      <c r="BG34" s="20">
        <v>18</v>
      </c>
      <c r="BH34" s="20" t="s">
        <v>312</v>
      </c>
      <c r="BI34" s="1"/>
      <c r="BJ34">
        <f>+'10% CO Elab'!AA34</f>
        <v>5.0029320429628163E-3</v>
      </c>
      <c r="BK34" s="20">
        <f t="shared" si="15"/>
        <v>9</v>
      </c>
      <c r="BL34" s="20" t="s">
        <v>41</v>
      </c>
      <c r="BM34" s="20" t="str">
        <f t="shared" si="26"/>
        <v>+</v>
      </c>
      <c r="BN34" s="20">
        <f t="shared" si="16"/>
        <v>19</v>
      </c>
      <c r="BO34" s="20" t="str">
        <f t="shared" si="27"/>
        <v>H2</v>
      </c>
      <c r="BP34" s="20" t="str">
        <f t="shared" si="18"/>
        <v>=</v>
      </c>
      <c r="BQ34" s="20">
        <f t="shared" si="5"/>
        <v>1</v>
      </c>
      <c r="BR34" s="20" t="str">
        <f t="shared" si="6"/>
        <v>C9H20</v>
      </c>
      <c r="BS34" s="20" t="str">
        <f t="shared" si="7"/>
        <v>+</v>
      </c>
      <c r="BT34" s="20">
        <f t="shared" si="23"/>
        <v>9</v>
      </c>
      <c r="BU34" s="20" t="str">
        <f t="shared" si="19"/>
        <v>H2O</v>
      </c>
      <c r="BW34">
        <f t="shared" si="20"/>
        <v>1.8041509393928346E-2</v>
      </c>
      <c r="BX34">
        <f t="shared" si="21"/>
        <v>4.5026388386665346E-2</v>
      </c>
    </row>
    <row r="35" spans="5:76" x14ac:dyDescent="0.2">
      <c r="E35">
        <f>+'5% CO Elab'!R35</f>
        <v>30</v>
      </c>
      <c r="F35">
        <f>+'5% CO Elab'!S35</f>
        <v>9</v>
      </c>
      <c r="G35" t="str">
        <f>+'5% CO Elab'!T35</f>
        <v>3-METHYLOCTANE</v>
      </c>
      <c r="H35" t="str">
        <f>+'5% CO Elab'!U35</f>
        <v>C9H20-D2</v>
      </c>
      <c r="I35" t="str">
        <f>+'5% CO Elab'!V35</f>
        <v>C9-IP</v>
      </c>
      <c r="J35">
        <f>+'5% CO Elab'!W35</f>
        <v>0.35805334845579151</v>
      </c>
      <c r="L35">
        <f>+'5% CO Elab'!AB35</f>
        <v>1.0214609031613369E-2</v>
      </c>
      <c r="M35" s="20">
        <v>9</v>
      </c>
      <c r="N35" s="20" t="s">
        <v>309</v>
      </c>
      <c r="O35" s="20" t="s">
        <v>310</v>
      </c>
      <c r="P35" s="20">
        <v>28</v>
      </c>
      <c r="Q35" s="20" t="s">
        <v>42</v>
      </c>
      <c r="R35" s="20" t="s">
        <v>311</v>
      </c>
      <c r="S35" s="20">
        <v>1</v>
      </c>
      <c r="T35" s="20" t="s">
        <v>325</v>
      </c>
      <c r="U35" s="20" t="s">
        <v>310</v>
      </c>
      <c r="V35" s="20">
        <v>18</v>
      </c>
      <c r="W35" s="20" t="s">
        <v>312</v>
      </c>
      <c r="X35" s="1"/>
      <c r="Y35">
        <f>+'5% CO Elab'!AA35</f>
        <v>2.9026864229944244E-2</v>
      </c>
      <c r="Z35" s="20">
        <f t="shared" si="8"/>
        <v>9</v>
      </c>
      <c r="AA35" s="20" t="s">
        <v>41</v>
      </c>
      <c r="AB35" s="20" t="str">
        <f t="shared" si="24"/>
        <v>+</v>
      </c>
      <c r="AC35" s="20">
        <f t="shared" si="9"/>
        <v>19</v>
      </c>
      <c r="AD35" s="20" t="str">
        <f t="shared" si="25"/>
        <v>H2</v>
      </c>
      <c r="AE35" s="20" t="str">
        <f t="shared" si="11"/>
        <v>=</v>
      </c>
      <c r="AF35" s="20">
        <f t="shared" si="1"/>
        <v>1</v>
      </c>
      <c r="AG35" s="20" t="str">
        <f t="shared" si="2"/>
        <v>C9H20</v>
      </c>
      <c r="AH35" s="20" t="str">
        <f t="shared" si="3"/>
        <v>+</v>
      </c>
      <c r="AI35" s="20">
        <f t="shared" si="22"/>
        <v>9</v>
      </c>
      <c r="AJ35" s="20" t="str">
        <f t="shared" si="12"/>
        <v>H2O</v>
      </c>
      <c r="AL35">
        <f t="shared" si="13"/>
        <v>0.18386296256904064</v>
      </c>
      <c r="AM35">
        <f t="shared" si="14"/>
        <v>0.26124177806949822</v>
      </c>
      <c r="AP35">
        <f>+'10% CO Elab'!S35</f>
        <v>9</v>
      </c>
      <c r="AQ35" t="str">
        <f>+'10% CO Elab'!T35</f>
        <v>3-METHYLOCTANE</v>
      </c>
      <c r="AR35" t="str">
        <f>+'10% CO Elab'!U35</f>
        <v>C9H20-D2</v>
      </c>
      <c r="AS35" t="str">
        <f>+'10% CO Elab'!V35</f>
        <v>C9-IP</v>
      </c>
      <c r="AT35">
        <f>+'10% CO Elab'!W35</f>
        <v>0.32918483586691982</v>
      </c>
      <c r="AU35">
        <f>+'10% CO Elab'!X35</f>
        <v>2.9626635228022784</v>
      </c>
      <c r="AW35">
        <f>+'10% CO Elab'!AB35</f>
        <v>5.3785397759054101E-3</v>
      </c>
      <c r="AX35" s="20">
        <v>9</v>
      </c>
      <c r="AY35" s="20" t="s">
        <v>309</v>
      </c>
      <c r="AZ35" s="20" t="s">
        <v>310</v>
      </c>
      <c r="BA35" s="20">
        <v>28</v>
      </c>
      <c r="BB35" s="20" t="s">
        <v>42</v>
      </c>
      <c r="BC35" s="20" t="s">
        <v>311</v>
      </c>
      <c r="BD35" s="20">
        <v>1</v>
      </c>
      <c r="BE35" s="20" t="s">
        <v>325</v>
      </c>
      <c r="BF35" s="20" t="s">
        <v>310</v>
      </c>
      <c r="BG35" s="20">
        <v>18</v>
      </c>
      <c r="BH35" s="20" t="s">
        <v>312</v>
      </c>
      <c r="BI35" s="1"/>
      <c r="BJ35">
        <f>+'10% CO Elab'!AA35</f>
        <v>2.6846558745749566E-2</v>
      </c>
      <c r="BK35" s="20">
        <f t="shared" si="15"/>
        <v>9</v>
      </c>
      <c r="BL35" s="20" t="s">
        <v>41</v>
      </c>
      <c r="BM35" s="20" t="str">
        <f t="shared" si="26"/>
        <v>+</v>
      </c>
      <c r="BN35" s="20">
        <f t="shared" si="16"/>
        <v>19</v>
      </c>
      <c r="BO35" s="20" t="str">
        <f t="shared" si="27"/>
        <v>H2</v>
      </c>
      <c r="BP35" s="20" t="str">
        <f t="shared" si="18"/>
        <v>=</v>
      </c>
      <c r="BQ35" s="20">
        <f t="shared" si="5"/>
        <v>1</v>
      </c>
      <c r="BR35" s="20" t="str">
        <f t="shared" si="6"/>
        <v>C9H20</v>
      </c>
      <c r="BS35" s="20" t="str">
        <f t="shared" si="7"/>
        <v>+</v>
      </c>
      <c r="BT35" s="20">
        <f t="shared" si="23"/>
        <v>9</v>
      </c>
      <c r="BU35" s="20" t="str">
        <f t="shared" si="19"/>
        <v>H2O</v>
      </c>
      <c r="BW35">
        <f t="shared" si="20"/>
        <v>9.6813715966297384E-2</v>
      </c>
      <c r="BX35">
        <f t="shared" si="21"/>
        <v>0.24161902871174609</v>
      </c>
    </row>
    <row r="36" spans="5:76" x14ac:dyDescent="0.2">
      <c r="E36">
        <f>+'5% CO Elab'!R36</f>
        <v>31</v>
      </c>
      <c r="F36">
        <f>+'5% CO Elab'!S36</f>
        <v>9</v>
      </c>
      <c r="G36" t="str">
        <f>+'5% CO Elab'!T36</f>
        <v>1-NONENE</v>
      </c>
      <c r="H36" t="str">
        <f>+'5% CO Elab'!U36</f>
        <v>C9H18-3</v>
      </c>
      <c r="I36" t="str">
        <f>+'5% CO Elab'!V36</f>
        <v>C9-O</v>
      </c>
      <c r="J36">
        <f>+'5% CO Elab'!W36</f>
        <v>6.598404874134095E-2</v>
      </c>
      <c r="L36">
        <f>+'5% CO Elab'!AB36</f>
        <v>1.8824045721749097E-3</v>
      </c>
      <c r="M36" s="20">
        <v>9</v>
      </c>
      <c r="N36" s="20" t="s">
        <v>309</v>
      </c>
      <c r="O36" s="20" t="s">
        <v>310</v>
      </c>
      <c r="P36" s="20">
        <v>27</v>
      </c>
      <c r="Q36" s="20" t="s">
        <v>42</v>
      </c>
      <c r="R36" s="20" t="s">
        <v>311</v>
      </c>
      <c r="S36" s="20">
        <v>1</v>
      </c>
      <c r="T36" s="20" t="s">
        <v>326</v>
      </c>
      <c r="U36" s="20" t="s">
        <v>310</v>
      </c>
      <c r="V36" s="20">
        <v>18</v>
      </c>
      <c r="W36" s="20" t="s">
        <v>312</v>
      </c>
      <c r="X36" s="1"/>
      <c r="Y36">
        <f>+'5% CO Elab'!AA36</f>
        <v>5.349230868576583E-3</v>
      </c>
      <c r="Z36" s="20">
        <f t="shared" si="8"/>
        <v>9</v>
      </c>
      <c r="AA36" s="20" t="s">
        <v>41</v>
      </c>
      <c r="AB36" s="20" t="str">
        <f t="shared" si="24"/>
        <v>+</v>
      </c>
      <c r="AC36" s="20">
        <f t="shared" si="9"/>
        <v>18</v>
      </c>
      <c r="AD36" s="20" t="str">
        <f t="shared" si="25"/>
        <v>H2</v>
      </c>
      <c r="AE36" s="20" t="str">
        <f t="shared" si="11"/>
        <v>=</v>
      </c>
      <c r="AF36" s="20">
        <f t="shared" si="1"/>
        <v>1</v>
      </c>
      <c r="AG36" s="20" t="str">
        <f t="shared" si="2"/>
        <v>C9H18</v>
      </c>
      <c r="AH36" s="20" t="str">
        <f t="shared" si="3"/>
        <v>+</v>
      </c>
      <c r="AI36" s="20">
        <f t="shared" si="22"/>
        <v>9</v>
      </c>
      <c r="AJ36" s="20" t="str">
        <f t="shared" si="12"/>
        <v>H2O</v>
      </c>
      <c r="AL36">
        <f t="shared" si="13"/>
        <v>3.3883282299148373E-2</v>
      </c>
      <c r="AM36">
        <f t="shared" si="14"/>
        <v>4.8143077817189246E-2</v>
      </c>
      <c r="AP36">
        <f>+'10% CO Elab'!S36</f>
        <v>9</v>
      </c>
      <c r="AQ36" t="str">
        <f>+'10% CO Elab'!T36</f>
        <v>1-NONENE</v>
      </c>
      <c r="AR36" t="str">
        <f>+'10% CO Elab'!U36</f>
        <v>C9H18-3</v>
      </c>
      <c r="AS36" t="str">
        <f>+'10% CO Elab'!V36</f>
        <v>C9-O</v>
      </c>
      <c r="AT36">
        <f>+'10% CO Elab'!W36</f>
        <v>6.0663999787827771E-2</v>
      </c>
      <c r="AU36">
        <f>+'10% CO Elab'!X36</f>
        <v>0.54597599809044994</v>
      </c>
      <c r="AW36">
        <f>+'10% CO Elab'!AB36</f>
        <v>9.9118701797143655E-4</v>
      </c>
      <c r="AX36" s="20">
        <v>9</v>
      </c>
      <c r="AY36" s="20" t="s">
        <v>309</v>
      </c>
      <c r="AZ36" s="20" t="s">
        <v>310</v>
      </c>
      <c r="BA36" s="20">
        <v>27</v>
      </c>
      <c r="BB36" s="20" t="s">
        <v>42</v>
      </c>
      <c r="BC36" s="20" t="s">
        <v>311</v>
      </c>
      <c r="BD36" s="20">
        <v>1</v>
      </c>
      <c r="BE36" s="20" t="s">
        <v>326</v>
      </c>
      <c r="BF36" s="20" t="s">
        <v>310</v>
      </c>
      <c r="BG36" s="20">
        <v>18</v>
      </c>
      <c r="BH36" s="20" t="s">
        <v>312</v>
      </c>
      <c r="BI36" s="1"/>
      <c r="BJ36">
        <f>+'10% CO Elab'!AA36</f>
        <v>4.9474321311521853E-3</v>
      </c>
      <c r="BK36" s="20">
        <f t="shared" si="15"/>
        <v>9</v>
      </c>
      <c r="BL36" s="20" t="s">
        <v>41</v>
      </c>
      <c r="BM36" s="20" t="str">
        <f t="shared" si="26"/>
        <v>+</v>
      </c>
      <c r="BN36" s="20">
        <f t="shared" si="16"/>
        <v>18</v>
      </c>
      <c r="BO36" s="20" t="str">
        <f t="shared" si="27"/>
        <v>H2</v>
      </c>
      <c r="BP36" s="20" t="str">
        <f t="shared" si="18"/>
        <v>=</v>
      </c>
      <c r="BQ36" s="20">
        <f t="shared" si="5"/>
        <v>1</v>
      </c>
      <c r="BR36" s="20" t="str">
        <f t="shared" si="6"/>
        <v>C9H18</v>
      </c>
      <c r="BS36" s="20" t="str">
        <f t="shared" si="7"/>
        <v>+</v>
      </c>
      <c r="BT36" s="20">
        <f t="shared" si="23"/>
        <v>9</v>
      </c>
      <c r="BU36" s="20" t="str">
        <f t="shared" si="19"/>
        <v>H2O</v>
      </c>
      <c r="BW36">
        <f t="shared" si="20"/>
        <v>1.7841366323485857E-2</v>
      </c>
      <c r="BX36">
        <f t="shared" si="21"/>
        <v>4.4526889180369671E-2</v>
      </c>
    </row>
    <row r="37" spans="5:76" x14ac:dyDescent="0.2">
      <c r="E37">
        <f>+'5% CO Elab'!R37</f>
        <v>32</v>
      </c>
      <c r="F37">
        <f>+'5% CO Elab'!S37</f>
        <v>9</v>
      </c>
      <c r="G37" t="str">
        <f>+'5% CO Elab'!T37</f>
        <v>ISOPROPYLCYCLOHEXANE</v>
      </c>
      <c r="H37" t="str">
        <f>+'5% CO Elab'!U37</f>
        <v>C9H18-2</v>
      </c>
      <c r="I37" t="str">
        <f>+'5% CO Elab'!V37</f>
        <v>C9-N</v>
      </c>
      <c r="J37">
        <f>+'5% CO Elab'!W37</f>
        <v>3.7197241926675943E-2</v>
      </c>
      <c r="L37">
        <f>+'5% CO Elab'!AB37</f>
        <v>1.061169473694349E-3</v>
      </c>
      <c r="M37" s="20">
        <v>9</v>
      </c>
      <c r="N37" s="20" t="s">
        <v>309</v>
      </c>
      <c r="O37" s="20" t="s">
        <v>310</v>
      </c>
      <c r="P37" s="20">
        <v>27</v>
      </c>
      <c r="Q37" s="20" t="s">
        <v>42</v>
      </c>
      <c r="R37" s="20" t="s">
        <v>311</v>
      </c>
      <c r="S37" s="20">
        <v>1</v>
      </c>
      <c r="T37" s="20" t="s">
        <v>326</v>
      </c>
      <c r="U37" s="20" t="s">
        <v>310</v>
      </c>
      <c r="V37" s="20">
        <v>18</v>
      </c>
      <c r="W37" s="20" t="s">
        <v>312</v>
      </c>
      <c r="X37" s="1"/>
      <c r="Y37">
        <f>+'5% CO Elab'!AA37</f>
        <v>3.0155263057603391E-3</v>
      </c>
      <c r="Z37" s="20">
        <f t="shared" si="8"/>
        <v>9</v>
      </c>
      <c r="AA37" s="20" t="s">
        <v>41</v>
      </c>
      <c r="AB37" s="20" t="str">
        <f t="shared" si="24"/>
        <v>+</v>
      </c>
      <c r="AC37" s="20">
        <f t="shared" si="9"/>
        <v>18</v>
      </c>
      <c r="AD37" s="20" t="str">
        <f t="shared" si="25"/>
        <v>H2</v>
      </c>
      <c r="AE37" s="20" t="str">
        <f t="shared" si="11"/>
        <v>=</v>
      </c>
      <c r="AF37" s="20">
        <f t="shared" si="1"/>
        <v>1</v>
      </c>
      <c r="AG37" s="20" t="str">
        <f t="shared" si="2"/>
        <v>C9H18</v>
      </c>
      <c r="AH37" s="20" t="str">
        <f t="shared" si="3"/>
        <v>+</v>
      </c>
      <c r="AI37" s="20">
        <f t="shared" si="22"/>
        <v>9</v>
      </c>
      <c r="AJ37" s="20" t="str">
        <f t="shared" si="12"/>
        <v>H2O</v>
      </c>
      <c r="AL37">
        <f t="shared" si="13"/>
        <v>1.910105052649828E-2</v>
      </c>
      <c r="AM37">
        <f t="shared" si="14"/>
        <v>2.7139736751843051E-2</v>
      </c>
      <c r="AP37">
        <f>+'10% CO Elab'!S37</f>
        <v>9</v>
      </c>
      <c r="AQ37" t="str">
        <f>+'10% CO Elab'!T37</f>
        <v>ISOPROPYLCYCLOHEXANE</v>
      </c>
      <c r="AR37" t="str">
        <f>+'10% CO Elab'!U37</f>
        <v>C9H18-2</v>
      </c>
      <c r="AS37" t="str">
        <f>+'10% CO Elab'!V37</f>
        <v>C9-N</v>
      </c>
      <c r="AT37">
        <f>+'10% CO Elab'!W37</f>
        <v>3.4198166365833553E-2</v>
      </c>
      <c r="AU37">
        <f>+'10% CO Elab'!X37</f>
        <v>0.30778349729250198</v>
      </c>
      <c r="AW37">
        <f>+'10% CO Elab'!AB37</f>
        <v>5.5876267075688328E-4</v>
      </c>
      <c r="AX37" s="20">
        <v>9</v>
      </c>
      <c r="AY37" s="20" t="s">
        <v>309</v>
      </c>
      <c r="AZ37" s="20" t="s">
        <v>310</v>
      </c>
      <c r="BA37" s="20">
        <v>27</v>
      </c>
      <c r="BB37" s="20" t="s">
        <v>42</v>
      </c>
      <c r="BC37" s="20" t="s">
        <v>311</v>
      </c>
      <c r="BD37" s="20">
        <v>1</v>
      </c>
      <c r="BE37" s="20" t="s">
        <v>326</v>
      </c>
      <c r="BF37" s="20" t="s">
        <v>310</v>
      </c>
      <c r="BG37" s="20">
        <v>18</v>
      </c>
      <c r="BH37" s="20" t="s">
        <v>312</v>
      </c>
      <c r="BI37" s="1"/>
      <c r="BJ37">
        <f>+'10% CO Elab'!AA37</f>
        <v>2.7890199738982834E-3</v>
      </c>
      <c r="BK37" s="20">
        <f t="shared" si="15"/>
        <v>9</v>
      </c>
      <c r="BL37" s="20" t="s">
        <v>41</v>
      </c>
      <c r="BM37" s="20" t="str">
        <f t="shared" si="26"/>
        <v>+</v>
      </c>
      <c r="BN37" s="20">
        <f t="shared" si="16"/>
        <v>18</v>
      </c>
      <c r="BO37" s="20" t="str">
        <f t="shared" si="27"/>
        <v>H2</v>
      </c>
      <c r="BP37" s="20" t="str">
        <f t="shared" si="18"/>
        <v>=</v>
      </c>
      <c r="BQ37" s="20">
        <f t="shared" si="5"/>
        <v>1</v>
      </c>
      <c r="BR37" s="20" t="str">
        <f t="shared" si="6"/>
        <v>C9H18</v>
      </c>
      <c r="BS37" s="20" t="str">
        <f t="shared" si="7"/>
        <v>+</v>
      </c>
      <c r="BT37" s="20">
        <f t="shared" si="23"/>
        <v>9</v>
      </c>
      <c r="BU37" s="20" t="str">
        <f t="shared" si="19"/>
        <v>H2O</v>
      </c>
      <c r="BW37">
        <f t="shared" si="20"/>
        <v>1.0057728073623899E-2</v>
      </c>
      <c r="BX37">
        <f t="shared" si="21"/>
        <v>2.5101179765084553E-2</v>
      </c>
    </row>
    <row r="38" spans="5:76" x14ac:dyDescent="0.2">
      <c r="E38">
        <f>+'5% CO Elab'!R38</f>
        <v>33</v>
      </c>
      <c r="F38">
        <f>+'5% CO Elab'!S38</f>
        <v>9</v>
      </c>
      <c r="G38" t="str">
        <f>+'5% CO Elab'!T38</f>
        <v>INDANE</v>
      </c>
      <c r="H38" t="str">
        <f>+'5% CO Elab'!U38</f>
        <v>C9H10-E1</v>
      </c>
      <c r="I38" t="str">
        <f>+'5% CO Elab'!V38</f>
        <v>C9-A</v>
      </c>
      <c r="J38">
        <f>+'5% CO Elab'!W38</f>
        <v>0.11361486254471226</v>
      </c>
      <c r="L38">
        <f>+'5% CO Elab'!AB38</f>
        <v>3.2412248232836145E-3</v>
      </c>
      <c r="M38" s="20">
        <v>9</v>
      </c>
      <c r="N38" s="20" t="s">
        <v>309</v>
      </c>
      <c r="O38" s="20" t="s">
        <v>310</v>
      </c>
      <c r="P38" s="20">
        <v>23</v>
      </c>
      <c r="Q38" s="20" t="s">
        <v>42</v>
      </c>
      <c r="R38" s="20" t="s">
        <v>311</v>
      </c>
      <c r="S38" s="20">
        <v>1</v>
      </c>
      <c r="T38" s="20" t="s">
        <v>327</v>
      </c>
      <c r="U38" s="20" t="s">
        <v>310</v>
      </c>
      <c r="V38" s="20">
        <v>18</v>
      </c>
      <c r="W38" s="20" t="s">
        <v>312</v>
      </c>
      <c r="X38" s="1"/>
      <c r="Y38">
        <f>+'5% CO Elab'!AA38</f>
        <v>9.2105916724762229E-3</v>
      </c>
      <c r="Z38" s="20">
        <f t="shared" si="8"/>
        <v>9</v>
      </c>
      <c r="AA38" s="20" t="s">
        <v>41</v>
      </c>
      <c r="AB38" s="20" t="str">
        <f t="shared" si="24"/>
        <v>+</v>
      </c>
      <c r="AC38" s="20">
        <f t="shared" si="9"/>
        <v>14</v>
      </c>
      <c r="AD38" s="20" t="str">
        <f t="shared" si="25"/>
        <v>H2</v>
      </c>
      <c r="AE38" s="20" t="str">
        <f t="shared" si="11"/>
        <v>=</v>
      </c>
      <c r="AF38" s="20">
        <f t="shared" si="1"/>
        <v>1</v>
      </c>
      <c r="AG38" s="20" t="str">
        <f t="shared" si="2"/>
        <v>C9H10</v>
      </c>
      <c r="AH38" s="20" t="str">
        <f t="shared" si="3"/>
        <v>+</v>
      </c>
      <c r="AI38" s="20">
        <f t="shared" si="22"/>
        <v>9</v>
      </c>
      <c r="AJ38" s="20" t="str">
        <f t="shared" si="12"/>
        <v>H2O</v>
      </c>
      <c r="AL38">
        <f t="shared" si="13"/>
        <v>5.8342046819105063E-2</v>
      </c>
      <c r="AM38">
        <f t="shared" si="14"/>
        <v>8.2895325052286001E-2</v>
      </c>
      <c r="AP38">
        <f>+'10% CO Elab'!S38</f>
        <v>9</v>
      </c>
      <c r="AQ38" t="str">
        <f>+'10% CO Elab'!T38</f>
        <v>INDANE</v>
      </c>
      <c r="AR38" t="str">
        <f>+'10% CO Elab'!U38</f>
        <v>C9H10-E1</v>
      </c>
      <c r="AS38" t="str">
        <f>+'10% CO Elab'!V38</f>
        <v>C9-A</v>
      </c>
      <c r="AT38">
        <f>+'10% CO Elab'!W38</f>
        <v>8.574549938969897E-2</v>
      </c>
      <c r="AU38">
        <f>+'10% CO Elab'!X38</f>
        <v>0.77170949450729076</v>
      </c>
      <c r="AW38">
        <f>+'10% CO Elab'!AB38</f>
        <v>1.4009927822398642E-3</v>
      </c>
      <c r="AX38" s="20">
        <v>9</v>
      </c>
      <c r="AY38" s="20" t="s">
        <v>309</v>
      </c>
      <c r="AZ38" s="20" t="s">
        <v>310</v>
      </c>
      <c r="BA38" s="20">
        <v>23</v>
      </c>
      <c r="BB38" s="20" t="s">
        <v>42</v>
      </c>
      <c r="BC38" s="20" t="s">
        <v>311</v>
      </c>
      <c r="BD38" s="20">
        <v>1</v>
      </c>
      <c r="BE38" s="20" t="s">
        <v>327</v>
      </c>
      <c r="BF38" s="20" t="s">
        <v>310</v>
      </c>
      <c r="BG38" s="20">
        <v>18</v>
      </c>
      <c r="BH38" s="20" t="s">
        <v>312</v>
      </c>
      <c r="BI38" s="1"/>
      <c r="BJ38">
        <f>+'10% CO Elab'!AA38</f>
        <v>6.992945408578327E-3</v>
      </c>
      <c r="BK38" s="20">
        <f t="shared" si="15"/>
        <v>9</v>
      </c>
      <c r="BL38" s="20" t="s">
        <v>41</v>
      </c>
      <c r="BM38" s="20" t="str">
        <f t="shared" si="26"/>
        <v>+</v>
      </c>
      <c r="BN38" s="20">
        <f t="shared" si="16"/>
        <v>14</v>
      </c>
      <c r="BO38" s="20" t="str">
        <f t="shared" si="27"/>
        <v>H2</v>
      </c>
      <c r="BP38" s="20" t="str">
        <f t="shared" si="18"/>
        <v>=</v>
      </c>
      <c r="BQ38" s="20">
        <f t="shared" si="5"/>
        <v>1</v>
      </c>
      <c r="BR38" s="20" t="str">
        <f t="shared" si="6"/>
        <v>C9H10</v>
      </c>
      <c r="BS38" s="20" t="str">
        <f t="shared" si="7"/>
        <v>+</v>
      </c>
      <c r="BT38" s="20">
        <f t="shared" si="23"/>
        <v>9</v>
      </c>
      <c r="BU38" s="20" t="str">
        <f t="shared" si="19"/>
        <v>H2O</v>
      </c>
      <c r="BW38">
        <f t="shared" si="20"/>
        <v>2.5217870080317555E-2</v>
      </c>
      <c r="BX38">
        <f t="shared" si="21"/>
        <v>6.2936508677204947E-2</v>
      </c>
    </row>
    <row r="39" spans="5:76" x14ac:dyDescent="0.2">
      <c r="E39">
        <f>+'5% CO Elab'!R39</f>
        <v>34</v>
      </c>
      <c r="F39">
        <f>+'5% CO Elab'!S39</f>
        <v>10</v>
      </c>
      <c r="G39" t="str">
        <f>+'5% CO Elab'!T39</f>
        <v>N-DECANE</v>
      </c>
      <c r="H39" t="str">
        <f>+'5% CO Elab'!U39</f>
        <v>C10H22-1</v>
      </c>
      <c r="I39" t="str">
        <f>+'5% CO Elab'!V39</f>
        <v>C10</v>
      </c>
      <c r="J39">
        <f>+'5% CO Elab'!W39</f>
        <v>7.4575363465812131E-2</v>
      </c>
      <c r="L39">
        <f>+'5% CO Elab'!AB39</f>
        <v>2.3638879031699749E-3</v>
      </c>
      <c r="M39" s="20">
        <v>10</v>
      </c>
      <c r="N39" s="20" t="s">
        <v>309</v>
      </c>
      <c r="O39" s="20" t="s">
        <v>310</v>
      </c>
      <c r="P39" s="20">
        <v>31</v>
      </c>
      <c r="Q39" s="20" t="s">
        <v>42</v>
      </c>
      <c r="R39" s="20" t="s">
        <v>311</v>
      </c>
      <c r="S39" s="20">
        <v>1</v>
      </c>
      <c r="T39" s="20" t="s">
        <v>328</v>
      </c>
      <c r="U39" s="20" t="s">
        <v>310</v>
      </c>
      <c r="V39" s="20">
        <v>20</v>
      </c>
      <c r="W39" s="20" t="s">
        <v>312</v>
      </c>
      <c r="X39" s="1"/>
      <c r="Y39">
        <f>+'5% CO Elab'!AA39</f>
        <v>6.7174625096037268E-3</v>
      </c>
      <c r="Z39" s="20">
        <f t="shared" si="8"/>
        <v>10</v>
      </c>
      <c r="AA39" s="20" t="s">
        <v>41</v>
      </c>
      <c r="AB39" s="20" t="str">
        <f t="shared" si="24"/>
        <v>+</v>
      </c>
      <c r="AC39" s="20">
        <f t="shared" si="9"/>
        <v>21</v>
      </c>
      <c r="AD39" s="20" t="str">
        <f t="shared" si="25"/>
        <v>H2</v>
      </c>
      <c r="AE39" s="20" t="str">
        <f t="shared" si="11"/>
        <v>=</v>
      </c>
      <c r="AF39" s="20">
        <f t="shared" si="1"/>
        <v>1</v>
      </c>
      <c r="AG39" s="20" t="str">
        <f t="shared" si="2"/>
        <v>C10H22</v>
      </c>
      <c r="AH39" s="20" t="str">
        <f t="shared" si="3"/>
        <v>+</v>
      </c>
      <c r="AI39" s="20">
        <f t="shared" si="22"/>
        <v>10</v>
      </c>
      <c r="AJ39" s="20" t="str">
        <f t="shared" si="12"/>
        <v>H2O</v>
      </c>
      <c r="AL39">
        <f t="shared" si="13"/>
        <v>4.7277758063399497E-2</v>
      </c>
      <c r="AM39">
        <f t="shared" si="14"/>
        <v>6.7174625096037263E-2</v>
      </c>
      <c r="AP39">
        <f>+'10% CO Elab'!S39</f>
        <v>10</v>
      </c>
      <c r="AQ39" t="str">
        <f>+'10% CO Elab'!T39</f>
        <v>N-DECANE</v>
      </c>
      <c r="AR39" t="str">
        <f>+'10% CO Elab'!U39</f>
        <v>C10H22-1</v>
      </c>
      <c r="AS39" t="str">
        <f>+'10% CO Elab'!V39</f>
        <v>C10</v>
      </c>
      <c r="AT39">
        <f>+'10% CO Elab'!W39</f>
        <v>9.1872102183663887E-2</v>
      </c>
      <c r="AU39">
        <f>+'10% CO Elab'!X39</f>
        <v>0.91872102183663884</v>
      </c>
      <c r="AW39">
        <f>+'10% CO Elab'!AB39</f>
        <v>1.6678834841949758E-3</v>
      </c>
      <c r="AX39" s="20">
        <v>10</v>
      </c>
      <c r="AY39" s="20" t="s">
        <v>309</v>
      </c>
      <c r="AZ39" s="20" t="s">
        <v>310</v>
      </c>
      <c r="BA39" s="20">
        <v>31</v>
      </c>
      <c r="BB39" s="20" t="s">
        <v>42</v>
      </c>
      <c r="BC39" s="20" t="s">
        <v>311</v>
      </c>
      <c r="BD39" s="20">
        <v>1</v>
      </c>
      <c r="BE39" s="20" t="s">
        <v>328</v>
      </c>
      <c r="BF39" s="20" t="s">
        <v>310</v>
      </c>
      <c r="BG39" s="20">
        <v>20</v>
      </c>
      <c r="BH39" s="20" t="s">
        <v>312</v>
      </c>
      <c r="BI39" s="1"/>
      <c r="BJ39">
        <f>+'10% CO Elab'!AA39</f>
        <v>8.3251093800767208E-3</v>
      </c>
      <c r="BK39" s="20">
        <f t="shared" si="15"/>
        <v>10</v>
      </c>
      <c r="BL39" s="20" t="s">
        <v>41</v>
      </c>
      <c r="BM39" s="20" t="str">
        <f t="shared" si="26"/>
        <v>+</v>
      </c>
      <c r="BN39" s="20">
        <f t="shared" si="16"/>
        <v>21</v>
      </c>
      <c r="BO39" s="20" t="str">
        <f t="shared" si="27"/>
        <v>H2</v>
      </c>
      <c r="BP39" s="20" t="str">
        <f t="shared" si="18"/>
        <v>=</v>
      </c>
      <c r="BQ39" s="20">
        <f t="shared" si="5"/>
        <v>1</v>
      </c>
      <c r="BR39" s="20" t="str">
        <f t="shared" si="6"/>
        <v>C10H22</v>
      </c>
      <c r="BS39" s="20" t="str">
        <f t="shared" si="7"/>
        <v>+</v>
      </c>
      <c r="BT39" s="20">
        <f t="shared" si="23"/>
        <v>10</v>
      </c>
      <c r="BU39" s="20" t="str">
        <f t="shared" si="19"/>
        <v>H2O</v>
      </c>
      <c r="BW39">
        <f t="shared" si="20"/>
        <v>3.3357669683899513E-2</v>
      </c>
      <c r="BX39">
        <f t="shared" si="21"/>
        <v>8.3251093800767201E-2</v>
      </c>
    </row>
    <row r="40" spans="5:76" x14ac:dyDescent="0.2">
      <c r="E40">
        <f>+'5% CO Elab'!R40</f>
        <v>35</v>
      </c>
      <c r="F40">
        <f>+'5% CO Elab'!S40</f>
        <v>10</v>
      </c>
      <c r="G40" t="str">
        <f>+'5% CO Elab'!T40</f>
        <v>2-METHYLNONANE</v>
      </c>
      <c r="H40" t="str">
        <f>+'5% CO Elab'!U40</f>
        <v>C10H22-E2</v>
      </c>
      <c r="I40" t="str">
        <f>+'5% CO Elab'!V40</f>
        <v>C10-IP</v>
      </c>
      <c r="J40">
        <f>+'5% CO Elab'!W40</f>
        <v>0.12171613582007894</v>
      </c>
      <c r="L40">
        <f>+'5% CO Elab'!AB40</f>
        <v>3.8581548612576372E-3</v>
      </c>
      <c r="M40" s="20">
        <v>10</v>
      </c>
      <c r="N40" s="20" t="s">
        <v>309</v>
      </c>
      <c r="O40" s="20" t="s">
        <v>310</v>
      </c>
      <c r="P40" s="20">
        <v>31</v>
      </c>
      <c r="Q40" s="20" t="s">
        <v>42</v>
      </c>
      <c r="R40" s="20" t="s">
        <v>311</v>
      </c>
      <c r="S40" s="20">
        <v>1</v>
      </c>
      <c r="T40" s="20" t="s">
        <v>328</v>
      </c>
      <c r="U40" s="20" t="s">
        <v>310</v>
      </c>
      <c r="V40" s="20">
        <v>20</v>
      </c>
      <c r="W40" s="20" t="s">
        <v>312</v>
      </c>
      <c r="X40" s="1"/>
      <c r="Y40">
        <f>+'5% CO Elab'!AA40</f>
        <v>1.0963722349942579E-2</v>
      </c>
      <c r="Z40" s="20">
        <f t="shared" si="8"/>
        <v>10</v>
      </c>
      <c r="AA40" s="20" t="s">
        <v>41</v>
      </c>
      <c r="AB40" s="20" t="str">
        <f t="shared" si="24"/>
        <v>+</v>
      </c>
      <c r="AC40" s="20">
        <f t="shared" si="9"/>
        <v>21</v>
      </c>
      <c r="AD40" s="20" t="str">
        <f t="shared" si="25"/>
        <v>H2</v>
      </c>
      <c r="AE40" s="20" t="str">
        <f t="shared" si="11"/>
        <v>=</v>
      </c>
      <c r="AF40" s="20">
        <f t="shared" si="1"/>
        <v>1</v>
      </c>
      <c r="AG40" s="20" t="str">
        <f t="shared" si="2"/>
        <v>C10H22</v>
      </c>
      <c r="AH40" s="20" t="str">
        <f t="shared" si="3"/>
        <v>+</v>
      </c>
      <c r="AI40" s="20">
        <f t="shared" si="22"/>
        <v>10</v>
      </c>
      <c r="AJ40" s="20" t="str">
        <f t="shared" si="12"/>
        <v>H2O</v>
      </c>
      <c r="AL40">
        <f t="shared" si="13"/>
        <v>7.7163097225152744E-2</v>
      </c>
      <c r="AM40">
        <f t="shared" si="14"/>
        <v>0.10963722349942578</v>
      </c>
      <c r="AP40">
        <f>+'10% CO Elab'!S40</f>
        <v>10</v>
      </c>
      <c r="AQ40" t="str">
        <f>+'10% CO Elab'!T40</f>
        <v>2-METHYLNONANE</v>
      </c>
      <c r="AR40" t="str">
        <f>+'10% CO Elab'!U40</f>
        <v>C10H22-E2</v>
      </c>
      <c r="AS40" t="str">
        <f>+'10% CO Elab'!V40</f>
        <v>C10-IP</v>
      </c>
      <c r="AT40">
        <f>+'10% CO Elab'!W40</f>
        <v>0.11190261553226462</v>
      </c>
      <c r="AU40">
        <f>+'10% CO Elab'!X40</f>
        <v>1.1190261553226462</v>
      </c>
      <c r="AW40">
        <f>+'10% CO Elab'!AB40</f>
        <v>2.0315255648702415E-3</v>
      </c>
      <c r="AX40" s="20">
        <v>10</v>
      </c>
      <c r="AY40" s="20" t="s">
        <v>309</v>
      </c>
      <c r="AZ40" s="20" t="s">
        <v>310</v>
      </c>
      <c r="BA40" s="20">
        <v>31</v>
      </c>
      <c r="BB40" s="20" t="s">
        <v>42</v>
      </c>
      <c r="BC40" s="20" t="s">
        <v>311</v>
      </c>
      <c r="BD40" s="20">
        <v>1</v>
      </c>
      <c r="BE40" s="20" t="s">
        <v>328</v>
      </c>
      <c r="BF40" s="20" t="s">
        <v>310</v>
      </c>
      <c r="BG40" s="20">
        <v>20</v>
      </c>
      <c r="BH40" s="20" t="s">
        <v>312</v>
      </c>
      <c r="BI40" s="1"/>
      <c r="BJ40">
        <f>+'10% CO Elab'!AA40</f>
        <v>1.0140200257531788E-2</v>
      </c>
      <c r="BK40" s="20">
        <f t="shared" si="15"/>
        <v>10</v>
      </c>
      <c r="BL40" s="20" t="s">
        <v>41</v>
      </c>
      <c r="BM40" s="20" t="str">
        <f t="shared" si="26"/>
        <v>+</v>
      </c>
      <c r="BN40" s="20">
        <f t="shared" si="16"/>
        <v>21</v>
      </c>
      <c r="BO40" s="20" t="str">
        <f t="shared" si="27"/>
        <v>H2</v>
      </c>
      <c r="BP40" s="20" t="str">
        <f t="shared" si="18"/>
        <v>=</v>
      </c>
      <c r="BQ40" s="20">
        <f t="shared" si="5"/>
        <v>1</v>
      </c>
      <c r="BR40" s="20" t="str">
        <f t="shared" si="6"/>
        <v>C10H22</v>
      </c>
      <c r="BS40" s="20" t="str">
        <f t="shared" si="7"/>
        <v>+</v>
      </c>
      <c r="BT40" s="20">
        <f t="shared" si="23"/>
        <v>10</v>
      </c>
      <c r="BU40" s="20" t="str">
        <f t="shared" si="19"/>
        <v>H2O</v>
      </c>
      <c r="BW40">
        <f t="shared" si="20"/>
        <v>4.0630511297404831E-2</v>
      </c>
      <c r="BX40">
        <f t="shared" si="21"/>
        <v>0.10140200257531788</v>
      </c>
    </row>
    <row r="41" spans="5:76" x14ac:dyDescent="0.2">
      <c r="E41">
        <f>+'5% CO Elab'!R41</f>
        <v>36</v>
      </c>
      <c r="F41">
        <f>+'5% CO Elab'!S41</f>
        <v>10</v>
      </c>
      <c r="G41" t="str">
        <f>+'5% CO Elab'!T41</f>
        <v>1-DECENE</v>
      </c>
      <c r="H41" t="str">
        <f>+'5% CO Elab'!U41</f>
        <v>C10H20-5</v>
      </c>
      <c r="I41" t="str">
        <f>+'5% CO Elab'!V41</f>
        <v>C10-O</v>
      </c>
      <c r="J41">
        <f>+'5% CO Elab'!W41</f>
        <v>0.13279319704106399</v>
      </c>
      <c r="L41">
        <f>+'5% CO Elab'!AB41</f>
        <v>4.2092752555278421E-3</v>
      </c>
      <c r="M41" s="20">
        <v>10</v>
      </c>
      <c r="N41" s="20" t="s">
        <v>309</v>
      </c>
      <c r="O41" s="20" t="s">
        <v>310</v>
      </c>
      <c r="P41" s="20">
        <v>30</v>
      </c>
      <c r="Q41" s="20" t="s">
        <v>42</v>
      </c>
      <c r="R41" s="20" t="s">
        <v>311</v>
      </c>
      <c r="S41" s="20">
        <v>1</v>
      </c>
      <c r="T41" s="20" t="s">
        <v>329</v>
      </c>
      <c r="U41" s="20" t="s">
        <v>310</v>
      </c>
      <c r="V41" s="20">
        <v>20</v>
      </c>
      <c r="W41" s="20" t="s">
        <v>312</v>
      </c>
      <c r="X41" s="1"/>
      <c r="Y41">
        <f>+'5% CO Elab'!AA41</f>
        <v>1.1961501509311533E-2</v>
      </c>
      <c r="Z41" s="20">
        <f t="shared" si="8"/>
        <v>10</v>
      </c>
      <c r="AA41" s="20" t="s">
        <v>41</v>
      </c>
      <c r="AB41" s="20" t="str">
        <f t="shared" si="24"/>
        <v>+</v>
      </c>
      <c r="AC41" s="20">
        <f t="shared" si="9"/>
        <v>20</v>
      </c>
      <c r="AD41" s="20" t="str">
        <f t="shared" si="25"/>
        <v>H2</v>
      </c>
      <c r="AE41" s="20" t="str">
        <f t="shared" si="11"/>
        <v>=</v>
      </c>
      <c r="AF41" s="20">
        <f t="shared" si="1"/>
        <v>1</v>
      </c>
      <c r="AG41" s="20" t="str">
        <f t="shared" si="2"/>
        <v>C10H20</v>
      </c>
      <c r="AH41" s="20" t="str">
        <f t="shared" si="3"/>
        <v>+</v>
      </c>
      <c r="AI41" s="20">
        <f t="shared" si="22"/>
        <v>10</v>
      </c>
      <c r="AJ41" s="20" t="str">
        <f t="shared" si="12"/>
        <v>H2O</v>
      </c>
      <c r="AL41">
        <f t="shared" si="13"/>
        <v>8.4185505110556835E-2</v>
      </c>
      <c r="AM41">
        <f t="shared" si="14"/>
        <v>0.11961501509311534</v>
      </c>
      <c r="AP41">
        <f>+'10% CO Elab'!S41</f>
        <v>10</v>
      </c>
      <c r="AQ41" t="str">
        <f>+'10% CO Elab'!T41</f>
        <v>1-DECENE</v>
      </c>
      <c r="AR41" t="str">
        <f>+'10% CO Elab'!U41</f>
        <v>C10H20-5</v>
      </c>
      <c r="AS41" t="str">
        <f>+'10% CO Elab'!V41</f>
        <v>C10-O</v>
      </c>
      <c r="AT41">
        <f>+'10% CO Elab'!W41</f>
        <v>0.12208657441896106</v>
      </c>
      <c r="AU41">
        <f>+'10% CO Elab'!X41</f>
        <v>1.2208657441896107</v>
      </c>
      <c r="AW41">
        <f>+'10% CO Elab'!AB41</f>
        <v>2.2164092937402438E-3</v>
      </c>
      <c r="AX41" s="20">
        <v>10</v>
      </c>
      <c r="AY41" s="20" t="s">
        <v>309</v>
      </c>
      <c r="AZ41" s="20" t="s">
        <v>310</v>
      </c>
      <c r="BA41" s="20">
        <v>30</v>
      </c>
      <c r="BB41" s="20" t="s">
        <v>42</v>
      </c>
      <c r="BC41" s="20" t="s">
        <v>311</v>
      </c>
      <c r="BD41" s="20">
        <v>1</v>
      </c>
      <c r="BE41" s="20" t="s">
        <v>329</v>
      </c>
      <c r="BF41" s="20" t="s">
        <v>310</v>
      </c>
      <c r="BG41" s="20">
        <v>20</v>
      </c>
      <c r="BH41" s="20" t="s">
        <v>312</v>
      </c>
      <c r="BI41" s="1"/>
      <c r="BJ41">
        <f>+'10% CO Elab'!AA41</f>
        <v>1.1063032865459507E-2</v>
      </c>
      <c r="BK41" s="20">
        <f t="shared" si="15"/>
        <v>10</v>
      </c>
      <c r="BL41" s="20" t="s">
        <v>41</v>
      </c>
      <c r="BM41" s="20" t="str">
        <f t="shared" si="26"/>
        <v>+</v>
      </c>
      <c r="BN41" s="20">
        <f t="shared" si="16"/>
        <v>20</v>
      </c>
      <c r="BO41" s="20" t="str">
        <f t="shared" si="27"/>
        <v>H2</v>
      </c>
      <c r="BP41" s="20" t="str">
        <f t="shared" si="18"/>
        <v>=</v>
      </c>
      <c r="BQ41" s="20">
        <f t="shared" si="5"/>
        <v>1</v>
      </c>
      <c r="BR41" s="20" t="str">
        <f t="shared" si="6"/>
        <v>C10H20</v>
      </c>
      <c r="BS41" s="20" t="str">
        <f t="shared" si="7"/>
        <v>+</v>
      </c>
      <c r="BT41" s="20">
        <f t="shared" si="23"/>
        <v>10</v>
      </c>
      <c r="BU41" s="20" t="str">
        <f t="shared" si="19"/>
        <v>H2O</v>
      </c>
      <c r="BW41">
        <f t="shared" si="20"/>
        <v>4.4328185874804873E-2</v>
      </c>
      <c r="BX41">
        <f t="shared" si="21"/>
        <v>0.11063032865459507</v>
      </c>
    </row>
    <row r="42" spans="5:76" x14ac:dyDescent="0.2">
      <c r="E42">
        <f>+'5% CO Elab'!R42</f>
        <v>37</v>
      </c>
      <c r="F42">
        <f>+'5% CO Elab'!S42</f>
        <v>10</v>
      </c>
      <c r="G42" t="str">
        <f>+'5% CO Elab'!T42</f>
        <v>1-PROPYL-1-METHYLCYCLOHEXANE</v>
      </c>
      <c r="H42" t="str">
        <f>+'5% CO Elab'!U42</f>
        <v>C10H20-N24</v>
      </c>
      <c r="I42" t="str">
        <f>+'5% CO Elab'!V42</f>
        <v>C10-N</v>
      </c>
      <c r="J42">
        <f>+'5% CO Elab'!W42</f>
        <v>7.7256423384358452E-2</v>
      </c>
      <c r="L42">
        <f>+'5% CO Elab'!AB42</f>
        <v>2.4488720697175633E-3</v>
      </c>
      <c r="M42" s="20">
        <v>10</v>
      </c>
      <c r="N42" s="20" t="s">
        <v>309</v>
      </c>
      <c r="O42" s="20" t="s">
        <v>310</v>
      </c>
      <c r="P42" s="20">
        <v>30</v>
      </c>
      <c r="Q42" s="20" t="s">
        <v>42</v>
      </c>
      <c r="R42" s="20" t="s">
        <v>311</v>
      </c>
      <c r="S42" s="20">
        <v>1</v>
      </c>
      <c r="T42" s="20" t="s">
        <v>329</v>
      </c>
      <c r="U42" s="20" t="s">
        <v>310</v>
      </c>
      <c r="V42" s="20">
        <v>20</v>
      </c>
      <c r="W42" s="20" t="s">
        <v>312</v>
      </c>
      <c r="X42" s="1"/>
      <c r="Y42">
        <f>+'5% CO Elab'!AA42</f>
        <v>6.9589620967574995E-3</v>
      </c>
      <c r="Z42" s="20">
        <f t="shared" si="8"/>
        <v>10</v>
      </c>
      <c r="AA42" s="20" t="s">
        <v>41</v>
      </c>
      <c r="AB42" s="20" t="str">
        <f t="shared" si="24"/>
        <v>+</v>
      </c>
      <c r="AC42" s="20">
        <f t="shared" si="9"/>
        <v>20</v>
      </c>
      <c r="AD42" s="20" t="str">
        <f t="shared" si="25"/>
        <v>H2</v>
      </c>
      <c r="AE42" s="20" t="str">
        <f t="shared" si="11"/>
        <v>=</v>
      </c>
      <c r="AF42" s="20">
        <f t="shared" si="1"/>
        <v>1</v>
      </c>
      <c r="AG42" s="20" t="str">
        <f t="shared" si="2"/>
        <v>C10H20</v>
      </c>
      <c r="AH42" s="20" t="str">
        <f t="shared" si="3"/>
        <v>+</v>
      </c>
      <c r="AI42" s="20">
        <f t="shared" si="22"/>
        <v>10</v>
      </c>
      <c r="AJ42" s="20" t="str">
        <f t="shared" si="12"/>
        <v>H2O</v>
      </c>
      <c r="AL42">
        <f t="shared" si="13"/>
        <v>4.8977441394351263E-2</v>
      </c>
      <c r="AM42">
        <f t="shared" si="14"/>
        <v>6.9589620967574997E-2</v>
      </c>
      <c r="AP42">
        <f>+'10% CO Elab'!S42</f>
        <v>10</v>
      </c>
      <c r="AQ42" t="str">
        <f>+'10% CO Elab'!T42</f>
        <v>1-PROPYL-1-METHYLCYCLOHEXANE</v>
      </c>
      <c r="AR42" t="str">
        <f>+'10% CO Elab'!U42</f>
        <v>C10H20-N24</v>
      </c>
      <c r="AS42" t="str">
        <f>+'10% CO Elab'!V42</f>
        <v>C10-N</v>
      </c>
      <c r="AT42">
        <f>+'10% CO Elab'!W42</f>
        <v>7.1027524700234226E-2</v>
      </c>
      <c r="AU42">
        <f>+'10% CO Elab'!X42</f>
        <v>0.71027524700234224</v>
      </c>
      <c r="AW42">
        <f>+'10% CO Elab'!AB42</f>
        <v>1.2894625523419902E-3</v>
      </c>
      <c r="AX42" s="20">
        <v>10</v>
      </c>
      <c r="AY42" s="20" t="s">
        <v>309</v>
      </c>
      <c r="AZ42" s="20" t="s">
        <v>310</v>
      </c>
      <c r="BA42" s="20">
        <v>30</v>
      </c>
      <c r="BB42" s="20" t="s">
        <v>42</v>
      </c>
      <c r="BC42" s="20" t="s">
        <v>311</v>
      </c>
      <c r="BD42" s="20">
        <v>1</v>
      </c>
      <c r="BE42" s="20" t="s">
        <v>329</v>
      </c>
      <c r="BF42" s="20" t="s">
        <v>310</v>
      </c>
      <c r="BG42" s="20">
        <v>20</v>
      </c>
      <c r="BH42" s="20" t="s">
        <v>312</v>
      </c>
      <c r="BI42" s="1"/>
      <c r="BJ42">
        <f>+'10% CO Elab'!AA42</f>
        <v>6.4362510280154923E-3</v>
      </c>
      <c r="BK42" s="20">
        <f t="shared" si="15"/>
        <v>10</v>
      </c>
      <c r="BL42" s="20" t="s">
        <v>41</v>
      </c>
      <c r="BM42" s="20" t="str">
        <f t="shared" si="26"/>
        <v>+</v>
      </c>
      <c r="BN42" s="20">
        <f t="shared" si="16"/>
        <v>20</v>
      </c>
      <c r="BO42" s="20" t="str">
        <f t="shared" si="27"/>
        <v>H2</v>
      </c>
      <c r="BP42" s="20" t="str">
        <f t="shared" si="18"/>
        <v>=</v>
      </c>
      <c r="BQ42" s="20">
        <f t="shared" si="5"/>
        <v>1</v>
      </c>
      <c r="BR42" s="20" t="str">
        <f t="shared" si="6"/>
        <v>C10H20</v>
      </c>
      <c r="BS42" s="20" t="str">
        <f t="shared" si="7"/>
        <v>+</v>
      </c>
      <c r="BT42" s="20">
        <f t="shared" si="23"/>
        <v>10</v>
      </c>
      <c r="BU42" s="20" t="str">
        <f t="shared" si="19"/>
        <v>H2O</v>
      </c>
      <c r="BW42">
        <f t="shared" si="20"/>
        <v>2.5789251046839802E-2</v>
      </c>
      <c r="BX42">
        <f t="shared" si="21"/>
        <v>6.4362510280154925E-2</v>
      </c>
    </row>
    <row r="43" spans="5:76" x14ac:dyDescent="0.2">
      <c r="E43">
        <f>+'5% CO Elab'!R43</f>
        <v>38</v>
      </c>
      <c r="F43">
        <f>+'5% CO Elab'!S43</f>
        <v>10</v>
      </c>
      <c r="G43" t="str">
        <f>+'5% CO Elab'!T43</f>
        <v>1,2-DIMETHYL-3-ETHYLBENZENE</v>
      </c>
      <c r="H43" t="str">
        <f>+'5% CO Elab'!U43</f>
        <v>C10H14-D3</v>
      </c>
      <c r="I43" t="str">
        <f>+'5% CO Elab'!V43</f>
        <v>C10-A</v>
      </c>
      <c r="J43">
        <f>+'5% CO Elab'!W43</f>
        <v>9.4571556145768718E-2</v>
      </c>
      <c r="L43">
        <f>+'5% CO Elab'!AB43</f>
        <v>2.9977266910596908E-3</v>
      </c>
      <c r="M43" s="20">
        <v>10</v>
      </c>
      <c r="N43" s="20" t="s">
        <v>309</v>
      </c>
      <c r="O43" s="20" t="s">
        <v>310</v>
      </c>
      <c r="P43" s="20">
        <v>27</v>
      </c>
      <c r="Q43" s="20" t="s">
        <v>42</v>
      </c>
      <c r="R43" s="20" t="s">
        <v>311</v>
      </c>
      <c r="S43" s="20">
        <v>1</v>
      </c>
      <c r="T43" s="20" t="s">
        <v>330</v>
      </c>
      <c r="U43" s="20" t="s">
        <v>310</v>
      </c>
      <c r="V43" s="20">
        <v>20</v>
      </c>
      <c r="W43" s="20" t="s">
        <v>312</v>
      </c>
      <c r="X43" s="1"/>
      <c r="Y43">
        <f>+'5% CO Elab'!AA43</f>
        <v>8.5186427978365745E-3</v>
      </c>
      <c r="Z43" s="20">
        <f t="shared" si="8"/>
        <v>10</v>
      </c>
      <c r="AA43" s="20" t="s">
        <v>41</v>
      </c>
      <c r="AB43" s="20" t="str">
        <f t="shared" si="24"/>
        <v>+</v>
      </c>
      <c r="AC43" s="20">
        <f t="shared" si="9"/>
        <v>17</v>
      </c>
      <c r="AD43" s="20" t="str">
        <f t="shared" si="25"/>
        <v>H2</v>
      </c>
      <c r="AE43" s="20" t="str">
        <f t="shared" si="11"/>
        <v>=</v>
      </c>
      <c r="AF43" s="20">
        <f t="shared" si="1"/>
        <v>1</v>
      </c>
      <c r="AG43" s="20" t="str">
        <f t="shared" si="2"/>
        <v>C10H14</v>
      </c>
      <c r="AH43" s="20" t="str">
        <f t="shared" si="3"/>
        <v>+</v>
      </c>
      <c r="AI43" s="20">
        <f t="shared" si="22"/>
        <v>10</v>
      </c>
      <c r="AJ43" s="20" t="str">
        <f t="shared" si="12"/>
        <v>H2O</v>
      </c>
      <c r="AL43">
        <f t="shared" si="13"/>
        <v>5.9954533821193819E-2</v>
      </c>
      <c r="AM43">
        <f t="shared" si="14"/>
        <v>8.5186427978365745E-2</v>
      </c>
      <c r="AP43">
        <f>+'10% CO Elab'!S43</f>
        <v>10</v>
      </c>
      <c r="AQ43" t="str">
        <f>+'10% CO Elab'!T43</f>
        <v>1,2-DIMETHYL-3-ETHYLBENZENE</v>
      </c>
      <c r="AR43" t="str">
        <f>+'10% CO Elab'!U43</f>
        <v>C10H14-D3</v>
      </c>
      <c r="AS43" t="str">
        <f>+'10% CO Elab'!V43</f>
        <v>C10-A</v>
      </c>
      <c r="AT43">
        <f>+'10% CO Elab'!W43</f>
        <v>8.6946602571342374E-2</v>
      </c>
      <c r="AU43">
        <f>+'10% CO Elab'!X43</f>
        <v>0.86946602571342368</v>
      </c>
      <c r="AW43">
        <f>+'10% CO Elab'!AB43</f>
        <v>1.578463962277684E-3</v>
      </c>
      <c r="AX43" s="20">
        <v>10</v>
      </c>
      <c r="AY43" s="20" t="s">
        <v>309</v>
      </c>
      <c r="AZ43" s="20" t="s">
        <v>310</v>
      </c>
      <c r="BA43" s="20">
        <v>27</v>
      </c>
      <c r="BB43" s="20" t="s">
        <v>42</v>
      </c>
      <c r="BC43" s="20" t="s">
        <v>311</v>
      </c>
      <c r="BD43" s="20">
        <v>1</v>
      </c>
      <c r="BE43" s="20" t="s">
        <v>330</v>
      </c>
      <c r="BF43" s="20" t="s">
        <v>310</v>
      </c>
      <c r="BG43" s="20">
        <v>20</v>
      </c>
      <c r="BH43" s="20" t="s">
        <v>312</v>
      </c>
      <c r="BI43" s="1"/>
      <c r="BJ43">
        <f>+'10% CO Elab'!AA43</f>
        <v>7.8787788613505112E-3</v>
      </c>
      <c r="BK43" s="20">
        <f t="shared" si="15"/>
        <v>10</v>
      </c>
      <c r="BL43" s="20" t="s">
        <v>41</v>
      </c>
      <c r="BM43" s="20" t="str">
        <f t="shared" si="26"/>
        <v>+</v>
      </c>
      <c r="BN43" s="20">
        <f t="shared" si="16"/>
        <v>17</v>
      </c>
      <c r="BO43" s="20" t="str">
        <f t="shared" si="27"/>
        <v>H2</v>
      </c>
      <c r="BP43" s="20" t="str">
        <f t="shared" si="18"/>
        <v>=</v>
      </c>
      <c r="BQ43" s="20">
        <f t="shared" si="5"/>
        <v>1</v>
      </c>
      <c r="BR43" s="20" t="str">
        <f t="shared" si="6"/>
        <v>C10H14</v>
      </c>
      <c r="BS43" s="20" t="str">
        <f t="shared" si="7"/>
        <v>+</v>
      </c>
      <c r="BT43" s="20">
        <f t="shared" si="23"/>
        <v>10</v>
      </c>
      <c r="BU43" s="20" t="str">
        <f t="shared" si="19"/>
        <v>H2O</v>
      </c>
      <c r="BW43">
        <f t="shared" si="20"/>
        <v>3.156927924555368E-2</v>
      </c>
      <c r="BX43">
        <f t="shared" si="21"/>
        <v>7.8787788613505105E-2</v>
      </c>
    </row>
    <row r="44" spans="5:76" x14ac:dyDescent="0.2">
      <c r="E44">
        <f>+'5% CO Elab'!R44</f>
        <v>39</v>
      </c>
      <c r="F44">
        <f>+'5% CO Elab'!S44</f>
        <v>11</v>
      </c>
      <c r="G44" t="str">
        <f>+'5% CO Elab'!T44</f>
        <v>N-UNDECANE</v>
      </c>
      <c r="H44" t="str">
        <f>+'5% CO Elab'!U44</f>
        <v>C11H24</v>
      </c>
      <c r="I44" t="str">
        <f>+'5% CO Elab'!V44</f>
        <v>C11</v>
      </c>
      <c r="J44">
        <f>+'5% CO Elab'!W44</f>
        <v>8.429877896413708E-2</v>
      </c>
      <c r="L44">
        <f>+'5% CO Elab'!AB44</f>
        <v>2.939310518149124E-3</v>
      </c>
      <c r="M44" s="20">
        <v>11</v>
      </c>
      <c r="N44" s="20" t="s">
        <v>309</v>
      </c>
      <c r="O44" s="20" t="s">
        <v>310</v>
      </c>
      <c r="P44" s="20">
        <v>34</v>
      </c>
      <c r="Q44" s="20" t="s">
        <v>42</v>
      </c>
      <c r="R44" s="20" t="s">
        <v>311</v>
      </c>
      <c r="S44" s="20">
        <v>1</v>
      </c>
      <c r="T44" s="20" t="s">
        <v>213</v>
      </c>
      <c r="U44" s="20" t="s">
        <v>310</v>
      </c>
      <c r="V44" s="20">
        <v>22</v>
      </c>
      <c r="W44" s="20" t="s">
        <v>312</v>
      </c>
      <c r="X44" s="1"/>
      <c r="Y44">
        <f>+'5% CO Elab'!AA44</f>
        <v>8.3526415035471788E-3</v>
      </c>
      <c r="Z44" s="20">
        <f t="shared" si="8"/>
        <v>11</v>
      </c>
      <c r="AA44" s="20" t="s">
        <v>41</v>
      </c>
      <c r="AB44" s="20" t="str">
        <f t="shared" si="24"/>
        <v>+</v>
      </c>
      <c r="AC44" s="20">
        <f t="shared" si="9"/>
        <v>23</v>
      </c>
      <c r="AD44" s="20" t="str">
        <f t="shared" si="25"/>
        <v>H2</v>
      </c>
      <c r="AE44" s="20" t="str">
        <f t="shared" si="11"/>
        <v>=</v>
      </c>
      <c r="AF44" s="20">
        <f t="shared" si="1"/>
        <v>1</v>
      </c>
      <c r="AG44" s="20" t="str">
        <f t="shared" si="2"/>
        <v>C11H24</v>
      </c>
      <c r="AH44" s="20" t="str">
        <f t="shared" si="3"/>
        <v>+</v>
      </c>
      <c r="AI44" s="20">
        <f t="shared" si="22"/>
        <v>11</v>
      </c>
      <c r="AJ44" s="20" t="str">
        <f t="shared" si="12"/>
        <v>H2O</v>
      </c>
      <c r="AL44">
        <f t="shared" si="13"/>
        <v>6.4664831399280726E-2</v>
      </c>
      <c r="AM44">
        <f t="shared" si="14"/>
        <v>9.1879056539018969E-2</v>
      </c>
      <c r="AP44">
        <f>+'10% CO Elab'!S44</f>
        <v>11</v>
      </c>
      <c r="AQ44" t="str">
        <f>+'10% CO Elab'!T44</f>
        <v>N-UNDECANE</v>
      </c>
      <c r="AR44" t="str">
        <f>+'10% CO Elab'!U44</f>
        <v>C11H24</v>
      </c>
      <c r="AS44" t="str">
        <f>+'10% CO Elab'!V44</f>
        <v>C11</v>
      </c>
      <c r="AT44">
        <f>+'10% CO Elab'!W44</f>
        <v>0.10596828772352648</v>
      </c>
      <c r="AU44">
        <f>+'10% CO Elab'!X44</f>
        <v>1.1656511649587913</v>
      </c>
      <c r="AW44">
        <f>+'10% CO Elab'!AB44</f>
        <v>2.1161705024238591E-3</v>
      </c>
      <c r="AX44" s="20">
        <v>11</v>
      </c>
      <c r="AY44" s="20" t="s">
        <v>309</v>
      </c>
      <c r="AZ44" s="20" t="s">
        <v>310</v>
      </c>
      <c r="BA44" s="20">
        <v>34</v>
      </c>
      <c r="BB44" s="20" t="s">
        <v>42</v>
      </c>
      <c r="BC44" s="20" t="s">
        <v>311</v>
      </c>
      <c r="BD44" s="20">
        <v>1</v>
      </c>
      <c r="BE44" s="20" t="s">
        <v>213</v>
      </c>
      <c r="BF44" s="20" t="s">
        <v>310</v>
      </c>
      <c r="BG44" s="20">
        <v>22</v>
      </c>
      <c r="BH44" s="20" t="s">
        <v>312</v>
      </c>
      <c r="BI44" s="1"/>
      <c r="BJ44">
        <f>+'10% CO Elab'!AA44</f>
        <v>1.0562698813504809E-2</v>
      </c>
      <c r="BK44" s="20">
        <f t="shared" si="15"/>
        <v>11</v>
      </c>
      <c r="BL44" s="20" t="s">
        <v>41</v>
      </c>
      <c r="BM44" s="20" t="str">
        <f t="shared" si="26"/>
        <v>+</v>
      </c>
      <c r="BN44" s="20">
        <f t="shared" si="16"/>
        <v>23</v>
      </c>
      <c r="BO44" s="20" t="str">
        <f t="shared" si="27"/>
        <v>H2</v>
      </c>
      <c r="BP44" s="20" t="str">
        <f t="shared" si="18"/>
        <v>=</v>
      </c>
      <c r="BQ44" s="20">
        <f t="shared" si="5"/>
        <v>1</v>
      </c>
      <c r="BR44" s="20" t="str">
        <f t="shared" si="6"/>
        <v>C11H24</v>
      </c>
      <c r="BS44" s="20" t="str">
        <f t="shared" si="7"/>
        <v>+</v>
      </c>
      <c r="BT44" s="20">
        <f t="shared" si="23"/>
        <v>11</v>
      </c>
      <c r="BU44" s="20" t="str">
        <f t="shared" si="19"/>
        <v>H2O</v>
      </c>
      <c r="BW44">
        <f t="shared" si="20"/>
        <v>4.6555751053324899E-2</v>
      </c>
      <c r="BX44">
        <f t="shared" si="21"/>
        <v>0.1161896869485529</v>
      </c>
    </row>
    <row r="45" spans="5:76" x14ac:dyDescent="0.2">
      <c r="E45">
        <f>+'5% CO Elab'!R45</f>
        <v>40</v>
      </c>
      <c r="F45">
        <f>+'5% CO Elab'!S45</f>
        <v>11</v>
      </c>
      <c r="G45" t="str">
        <f>+'5% CO Elab'!T45</f>
        <v>3-ETHYLNONANE</v>
      </c>
      <c r="H45" t="str">
        <f>+'5% CO Elab'!U45</f>
        <v>C11H24-N8</v>
      </c>
      <c r="I45" t="str">
        <f>+'5% CO Elab'!V45</f>
        <v>C11-IP</v>
      </c>
      <c r="J45">
        <f>+'5% CO Elab'!W45</f>
        <v>0.12608079290427424</v>
      </c>
      <c r="L45">
        <f>+'5% CO Elab'!AB45</f>
        <v>4.3961562109668716E-3</v>
      </c>
      <c r="M45" s="20">
        <v>11</v>
      </c>
      <c r="N45" s="20" t="s">
        <v>309</v>
      </c>
      <c r="O45" s="20" t="s">
        <v>310</v>
      </c>
      <c r="P45" s="20">
        <v>34</v>
      </c>
      <c r="Q45" s="20" t="s">
        <v>42</v>
      </c>
      <c r="R45" s="20" t="s">
        <v>311</v>
      </c>
      <c r="S45" s="20">
        <v>1</v>
      </c>
      <c r="T45" s="20" t="s">
        <v>213</v>
      </c>
      <c r="U45" s="20" t="s">
        <v>310</v>
      </c>
      <c r="V45" s="20">
        <v>22</v>
      </c>
      <c r="W45" s="20" t="s">
        <v>312</v>
      </c>
      <c r="X45" s="1"/>
      <c r="Y45">
        <f>+'5% CO Elab'!AA45</f>
        <v>1.2492561298668364E-2</v>
      </c>
      <c r="Z45" s="20">
        <f t="shared" si="8"/>
        <v>11</v>
      </c>
      <c r="AA45" s="20" t="s">
        <v>41</v>
      </c>
      <c r="AB45" s="20" t="str">
        <f t="shared" si="24"/>
        <v>+</v>
      </c>
      <c r="AC45" s="20">
        <f t="shared" si="9"/>
        <v>23</v>
      </c>
      <c r="AD45" s="20" t="str">
        <f t="shared" si="25"/>
        <v>H2</v>
      </c>
      <c r="AE45" s="20" t="str">
        <f t="shared" si="11"/>
        <v>=</v>
      </c>
      <c r="AF45" s="20">
        <f t="shared" si="1"/>
        <v>1</v>
      </c>
      <c r="AG45" s="20" t="str">
        <f t="shared" si="2"/>
        <v>C11H24</v>
      </c>
      <c r="AH45" s="20" t="str">
        <f t="shared" si="3"/>
        <v>+</v>
      </c>
      <c r="AI45" s="20">
        <f t="shared" si="22"/>
        <v>11</v>
      </c>
      <c r="AJ45" s="20" t="str">
        <f t="shared" si="12"/>
        <v>H2O</v>
      </c>
      <c r="AL45">
        <f t="shared" si="13"/>
        <v>9.6715436641271177E-2</v>
      </c>
      <c r="AM45">
        <f t="shared" si="14"/>
        <v>0.137418174285352</v>
      </c>
      <c r="AP45">
        <f>+'10% CO Elab'!S45</f>
        <v>11</v>
      </c>
      <c r="AQ45" t="str">
        <f>+'10% CO Elab'!T45</f>
        <v>3-ETHYLNONANE</v>
      </c>
      <c r="AR45" t="str">
        <f>+'10% CO Elab'!U45</f>
        <v>C11H24-N8</v>
      </c>
      <c r="AS45" t="str">
        <f>+'10% CO Elab'!V45</f>
        <v>C11-IP</v>
      </c>
      <c r="AT45">
        <f>+'10% CO Elab'!W45</f>
        <v>0.115915366514968</v>
      </c>
      <c r="AU45">
        <f>+'10% CO Elab'!X45</f>
        <v>1.275069031664648</v>
      </c>
      <c r="AW45">
        <f>+'10% CO Elab'!AB45</f>
        <v>2.314812144899518E-3</v>
      </c>
      <c r="AX45" s="20">
        <v>11</v>
      </c>
      <c r="AY45" s="20" t="s">
        <v>309</v>
      </c>
      <c r="AZ45" s="20" t="s">
        <v>310</v>
      </c>
      <c r="BA45" s="20">
        <v>34</v>
      </c>
      <c r="BB45" s="20" t="s">
        <v>42</v>
      </c>
      <c r="BC45" s="20" t="s">
        <v>311</v>
      </c>
      <c r="BD45" s="20">
        <v>1</v>
      </c>
      <c r="BE45" s="20" t="s">
        <v>213</v>
      </c>
      <c r="BF45" s="20" t="s">
        <v>310</v>
      </c>
      <c r="BG45" s="20">
        <v>22</v>
      </c>
      <c r="BH45" s="20" t="s">
        <v>312</v>
      </c>
      <c r="BI45" s="1"/>
      <c r="BJ45">
        <f>+'10% CO Elab'!AA45</f>
        <v>1.1554202966354036E-2</v>
      </c>
      <c r="BK45" s="20">
        <f t="shared" si="15"/>
        <v>11</v>
      </c>
      <c r="BL45" s="20" t="s">
        <v>41</v>
      </c>
      <c r="BM45" s="20" t="str">
        <f t="shared" si="26"/>
        <v>+</v>
      </c>
      <c r="BN45" s="20">
        <f t="shared" si="16"/>
        <v>23</v>
      </c>
      <c r="BO45" s="20" t="str">
        <f t="shared" si="27"/>
        <v>H2</v>
      </c>
      <c r="BP45" s="20" t="str">
        <f t="shared" si="18"/>
        <v>=</v>
      </c>
      <c r="BQ45" s="20">
        <f t="shared" si="5"/>
        <v>1</v>
      </c>
      <c r="BR45" s="20" t="str">
        <f t="shared" si="6"/>
        <v>C11H24</v>
      </c>
      <c r="BS45" s="20" t="str">
        <f t="shared" si="7"/>
        <v>+</v>
      </c>
      <c r="BT45" s="20">
        <f t="shared" si="23"/>
        <v>11</v>
      </c>
      <c r="BU45" s="20" t="str">
        <f t="shared" si="19"/>
        <v>H2O</v>
      </c>
      <c r="BW45">
        <f t="shared" si="20"/>
        <v>5.0925867187789395E-2</v>
      </c>
      <c r="BX45">
        <f t="shared" si="21"/>
        <v>0.12709623262989439</v>
      </c>
    </row>
    <row r="46" spans="5:76" x14ac:dyDescent="0.2">
      <c r="E46">
        <f>+'5% CO Elab'!R46</f>
        <v>41</v>
      </c>
      <c r="F46">
        <f>+'5% CO Elab'!S46</f>
        <v>11</v>
      </c>
      <c r="G46" t="str">
        <f>+'5% CO Elab'!T46</f>
        <v>1-ETHYL-2-ISOPROPYLBENZENE</v>
      </c>
      <c r="H46" t="str">
        <f>+'5% CO Elab'!U46</f>
        <v>C11H16-D1</v>
      </c>
      <c r="I46" t="str">
        <f>+'5% CO Elab'!V46</f>
        <v>C11-A</v>
      </c>
      <c r="J46">
        <f>+'5% CO Elab'!W46</f>
        <v>5.0538344447955866E-2</v>
      </c>
      <c r="L46">
        <f>+'5% CO Elab'!AB46</f>
        <v>1.7621594195203732E-3</v>
      </c>
      <c r="M46" s="20">
        <v>11</v>
      </c>
      <c r="N46" s="20" t="s">
        <v>309</v>
      </c>
      <c r="O46" s="20" t="s">
        <v>310</v>
      </c>
      <c r="P46" s="20">
        <v>30</v>
      </c>
      <c r="Q46" s="20" t="s">
        <v>42</v>
      </c>
      <c r="R46" s="20" t="s">
        <v>311</v>
      </c>
      <c r="S46" s="20">
        <v>1</v>
      </c>
      <c r="T46" s="20" t="s">
        <v>331</v>
      </c>
      <c r="U46" s="20" t="s">
        <v>310</v>
      </c>
      <c r="V46" s="20">
        <v>22</v>
      </c>
      <c r="W46" s="20" t="s">
        <v>312</v>
      </c>
      <c r="X46" s="1"/>
      <c r="Y46">
        <f>+'5% CO Elab'!AA46</f>
        <v>5.0075301035634682E-3</v>
      </c>
      <c r="Z46" s="20">
        <f t="shared" si="8"/>
        <v>11</v>
      </c>
      <c r="AA46" s="20" t="s">
        <v>41</v>
      </c>
      <c r="AB46" s="20" t="str">
        <f t="shared" si="24"/>
        <v>+</v>
      </c>
      <c r="AC46" s="20">
        <f t="shared" si="9"/>
        <v>19</v>
      </c>
      <c r="AD46" s="20" t="str">
        <f t="shared" si="25"/>
        <v>H2</v>
      </c>
      <c r="AE46" s="20" t="str">
        <f t="shared" si="11"/>
        <v>=</v>
      </c>
      <c r="AF46" s="20">
        <f t="shared" si="1"/>
        <v>1</v>
      </c>
      <c r="AG46" s="20" t="str">
        <f t="shared" si="2"/>
        <v>C11H16</v>
      </c>
      <c r="AH46" s="20" t="str">
        <f t="shared" si="3"/>
        <v>+</v>
      </c>
      <c r="AI46" s="20">
        <f t="shared" si="22"/>
        <v>11</v>
      </c>
      <c r="AJ46" s="20" t="str">
        <f t="shared" si="12"/>
        <v>H2O</v>
      </c>
      <c r="AL46">
        <f t="shared" si="13"/>
        <v>3.876750722944821E-2</v>
      </c>
      <c r="AM46">
        <f t="shared" si="14"/>
        <v>5.5082831139198152E-2</v>
      </c>
      <c r="AP46">
        <f>+'10% CO Elab'!S46</f>
        <v>11</v>
      </c>
      <c r="AQ46" t="str">
        <f>+'10% CO Elab'!T46</f>
        <v>1-ETHYL-2-ISOPROPYLBENZENE</v>
      </c>
      <c r="AR46" t="str">
        <f>+'10% CO Elab'!U46</f>
        <v>C11H16-D1</v>
      </c>
      <c r="AS46" t="str">
        <f>+'10% CO Elab'!V46</f>
        <v>C11-A</v>
      </c>
      <c r="AT46">
        <f>+'10% CO Elab'!W46</f>
        <v>4.6463625305658326E-2</v>
      </c>
      <c r="AU46">
        <f>+'10% CO Elab'!X46</f>
        <v>0.51109987836224158</v>
      </c>
      <c r="AW46">
        <f>+'10% CO Elab'!AB46</f>
        <v>9.2787149268695182E-4</v>
      </c>
      <c r="AX46" s="20">
        <v>11</v>
      </c>
      <c r="AY46" s="20" t="s">
        <v>309</v>
      </c>
      <c r="AZ46" s="20" t="s">
        <v>310</v>
      </c>
      <c r="BA46" s="20">
        <v>30</v>
      </c>
      <c r="BB46" s="20" t="s">
        <v>42</v>
      </c>
      <c r="BC46" s="20" t="s">
        <v>311</v>
      </c>
      <c r="BD46" s="20">
        <v>1</v>
      </c>
      <c r="BE46" s="20" t="s">
        <v>331</v>
      </c>
      <c r="BF46" s="20" t="s">
        <v>310</v>
      </c>
      <c r="BG46" s="20">
        <v>22</v>
      </c>
      <c r="BH46" s="20" t="s">
        <v>312</v>
      </c>
      <c r="BI46" s="1"/>
      <c r="BJ46">
        <f>+'10% CO Elab'!AA46</f>
        <v>4.6313976608517837E-3</v>
      </c>
      <c r="BK46" s="20">
        <f t="shared" si="15"/>
        <v>11</v>
      </c>
      <c r="BL46" s="20" t="s">
        <v>41</v>
      </c>
      <c r="BM46" s="20" t="str">
        <f t="shared" si="26"/>
        <v>+</v>
      </c>
      <c r="BN46" s="20">
        <f t="shared" si="16"/>
        <v>19</v>
      </c>
      <c r="BO46" s="20" t="str">
        <f t="shared" si="27"/>
        <v>H2</v>
      </c>
      <c r="BP46" s="20" t="str">
        <f t="shared" si="18"/>
        <v>=</v>
      </c>
      <c r="BQ46" s="20">
        <f t="shared" si="5"/>
        <v>1</v>
      </c>
      <c r="BR46" s="20" t="str">
        <f t="shared" si="6"/>
        <v>C11H16</v>
      </c>
      <c r="BS46" s="20" t="str">
        <f t="shared" si="7"/>
        <v>+</v>
      </c>
      <c r="BT46" s="20">
        <f t="shared" si="23"/>
        <v>11</v>
      </c>
      <c r="BU46" s="20" t="str">
        <f t="shared" si="19"/>
        <v>H2O</v>
      </c>
      <c r="BW46">
        <f t="shared" si="20"/>
        <v>2.0413172839112939E-2</v>
      </c>
      <c r="BX46">
        <f t="shared" si="21"/>
        <v>5.0945374269369618E-2</v>
      </c>
    </row>
    <row r="47" spans="5:76" x14ac:dyDescent="0.2">
      <c r="E47">
        <f>+'5% CO Elab'!R47</f>
        <v>42</v>
      </c>
      <c r="F47">
        <f>+'5% CO Elab'!S47</f>
        <v>11</v>
      </c>
      <c r="G47" t="str">
        <f>+'5% CO Elab'!T47</f>
        <v>Undecene-1</v>
      </c>
      <c r="H47">
        <f>+'5% CO Elab'!U47</f>
        <v>0</v>
      </c>
      <c r="I47" t="str">
        <f>+'5% CO Elab'!V47</f>
        <v>C11-O</v>
      </c>
      <c r="J47">
        <f>+'5% CO Elab'!W47</f>
        <v>8.1174649789622355E-2</v>
      </c>
      <c r="L47">
        <f>+'5% CO Elab'!AB47</f>
        <v>2.8303790976048917E-3</v>
      </c>
      <c r="M47" s="20">
        <v>11</v>
      </c>
      <c r="N47" s="20" t="s">
        <v>309</v>
      </c>
      <c r="O47" s="20" t="s">
        <v>310</v>
      </c>
      <c r="P47" s="20">
        <v>33</v>
      </c>
      <c r="Q47" s="20" t="s">
        <v>42</v>
      </c>
      <c r="R47" s="20" t="s">
        <v>311</v>
      </c>
      <c r="S47" s="20">
        <v>1</v>
      </c>
      <c r="T47" s="20" t="s">
        <v>218</v>
      </c>
      <c r="U47" s="20" t="s">
        <v>310</v>
      </c>
      <c r="V47" s="20">
        <v>22</v>
      </c>
      <c r="W47" s="20" t="s">
        <v>312</v>
      </c>
      <c r="X47" s="1"/>
      <c r="Y47">
        <f>+'5% CO Elab'!AA47</f>
        <v>8.0430909818652967E-3</v>
      </c>
      <c r="Z47" s="20">
        <f t="shared" si="8"/>
        <v>11</v>
      </c>
      <c r="AA47" s="20" t="s">
        <v>41</v>
      </c>
      <c r="AB47" s="20" t="str">
        <f t="shared" si="24"/>
        <v>+</v>
      </c>
      <c r="AC47" s="20">
        <f t="shared" si="9"/>
        <v>22</v>
      </c>
      <c r="AD47" s="20" t="str">
        <f t="shared" si="25"/>
        <v>H2</v>
      </c>
      <c r="AE47" s="20" t="str">
        <f t="shared" si="11"/>
        <v>=</v>
      </c>
      <c r="AF47" s="20">
        <f t="shared" si="1"/>
        <v>1</v>
      </c>
      <c r="AG47" s="20" t="str">
        <f t="shared" si="2"/>
        <v>C11H22</v>
      </c>
      <c r="AH47" s="20" t="str">
        <f t="shared" si="3"/>
        <v>+</v>
      </c>
      <c r="AI47" s="20">
        <f t="shared" si="22"/>
        <v>11</v>
      </c>
      <c r="AJ47" s="20" t="str">
        <f t="shared" si="12"/>
        <v>H2O</v>
      </c>
      <c r="AL47">
        <f t="shared" si="13"/>
        <v>6.2268340147307616E-2</v>
      </c>
      <c r="AM47">
        <f t="shared" si="14"/>
        <v>8.847400080051826E-2</v>
      </c>
      <c r="AP47">
        <f>+'10% CO Elab'!S47</f>
        <v>11</v>
      </c>
      <c r="AQ47" t="str">
        <f>+'10% CO Elab'!T47</f>
        <v>Undecene-1</v>
      </c>
      <c r="AR47">
        <f>+'10% CO Elab'!U47</f>
        <v>0</v>
      </c>
      <c r="AS47" t="str">
        <f>+'10% CO Elab'!V47</f>
        <v>C11-O</v>
      </c>
      <c r="AT47">
        <f>+'10% CO Elab'!W47</f>
        <v>7.4629839052743285E-2</v>
      </c>
      <c r="AU47">
        <f>+'10% CO Elab'!X47</f>
        <v>0.82092822958017608</v>
      </c>
      <c r="AW47">
        <f>+'10% CO Elab'!AB47</f>
        <v>1.4903464743725673E-3</v>
      </c>
      <c r="AX47" s="20">
        <v>11</v>
      </c>
      <c r="AY47" s="20" t="s">
        <v>309</v>
      </c>
      <c r="AZ47" s="20" t="s">
        <v>310</v>
      </c>
      <c r="BA47" s="20">
        <v>33</v>
      </c>
      <c r="BB47" s="20" t="s">
        <v>42</v>
      </c>
      <c r="BC47" s="20" t="s">
        <v>311</v>
      </c>
      <c r="BD47" s="20">
        <v>1</v>
      </c>
      <c r="BE47" s="20" t="s">
        <v>218</v>
      </c>
      <c r="BF47" s="20" t="s">
        <v>310</v>
      </c>
      <c r="BG47" s="20">
        <v>22</v>
      </c>
      <c r="BH47" s="20" t="s">
        <v>312</v>
      </c>
      <c r="BI47" s="1"/>
      <c r="BJ47">
        <f>+'10% CO Elab'!AA47</f>
        <v>7.438947343106443E-3</v>
      </c>
      <c r="BK47" s="20">
        <f t="shared" si="15"/>
        <v>11</v>
      </c>
      <c r="BL47" s="20" t="s">
        <v>41</v>
      </c>
      <c r="BM47" s="20" t="str">
        <f t="shared" si="26"/>
        <v>+</v>
      </c>
      <c r="BN47" s="20">
        <f t="shared" si="16"/>
        <v>22</v>
      </c>
      <c r="BO47" s="20" t="str">
        <f t="shared" si="27"/>
        <v>H2</v>
      </c>
      <c r="BP47" s="20" t="str">
        <f t="shared" si="18"/>
        <v>=</v>
      </c>
      <c r="BQ47" s="20">
        <f t="shared" si="5"/>
        <v>1</v>
      </c>
      <c r="BR47" s="20" t="str">
        <f t="shared" si="6"/>
        <v>C11H22</v>
      </c>
      <c r="BS47" s="20" t="str">
        <f t="shared" si="7"/>
        <v>+</v>
      </c>
      <c r="BT47" s="20">
        <f t="shared" si="23"/>
        <v>11</v>
      </c>
      <c r="BU47" s="20" t="str">
        <f t="shared" si="19"/>
        <v>H2O</v>
      </c>
      <c r="BW47">
        <f t="shared" si="20"/>
        <v>3.2787622436196484E-2</v>
      </c>
      <c r="BX47">
        <f t="shared" si="21"/>
        <v>8.1828420774170879E-2</v>
      </c>
    </row>
    <row r="48" spans="5:76" x14ac:dyDescent="0.2">
      <c r="E48">
        <f>+'5% CO Elab'!R48</f>
        <v>43</v>
      </c>
      <c r="F48">
        <f>+'5% CO Elab'!S48</f>
        <v>12</v>
      </c>
      <c r="G48" t="str">
        <f>+'5% CO Elab'!T48</f>
        <v>2-METHYLUNDECANE</v>
      </c>
      <c r="H48" t="str">
        <f>+'5% CO Elab'!U48</f>
        <v>C12H26-N9</v>
      </c>
      <c r="I48" t="str">
        <f>+'5% CO Elab'!V48</f>
        <v>C12-IP</v>
      </c>
      <c r="J48">
        <f>+'5% CO Elab'!W48</f>
        <v>8.8871593012984015E-2</v>
      </c>
      <c r="L48">
        <f>+'5% CO Elab'!AB48</f>
        <v>3.3804592921116163E-3</v>
      </c>
      <c r="M48" s="20">
        <v>12</v>
      </c>
      <c r="N48" s="20" t="s">
        <v>309</v>
      </c>
      <c r="O48" s="20" t="s">
        <v>310</v>
      </c>
      <c r="P48" s="20">
        <v>37</v>
      </c>
      <c r="Q48" s="20" t="s">
        <v>42</v>
      </c>
      <c r="R48" s="20" t="s">
        <v>311</v>
      </c>
      <c r="S48" s="20">
        <v>1</v>
      </c>
      <c r="T48" s="20" t="s">
        <v>226</v>
      </c>
      <c r="U48" s="20" t="s">
        <v>310</v>
      </c>
      <c r="V48" s="20">
        <v>24</v>
      </c>
      <c r="W48" s="20" t="s">
        <v>312</v>
      </c>
      <c r="X48" s="1"/>
      <c r="Y48">
        <f>+'5% CO Elab'!AA48</f>
        <v>9.6062543953754128E-3</v>
      </c>
      <c r="Z48" s="20">
        <f t="shared" si="8"/>
        <v>12</v>
      </c>
      <c r="AA48" s="20" t="s">
        <v>41</v>
      </c>
      <c r="AB48" s="20" t="str">
        <f t="shared" si="24"/>
        <v>+</v>
      </c>
      <c r="AC48" s="20">
        <f t="shared" si="9"/>
        <v>25</v>
      </c>
      <c r="AD48" s="20" t="str">
        <f t="shared" si="25"/>
        <v>H2</v>
      </c>
      <c r="AE48" s="20" t="str">
        <f t="shared" si="11"/>
        <v>=</v>
      </c>
      <c r="AF48" s="20">
        <f t="shared" si="1"/>
        <v>1</v>
      </c>
      <c r="AG48" s="20" t="str">
        <f t="shared" si="2"/>
        <v>C12H26</v>
      </c>
      <c r="AH48" s="20" t="str">
        <f t="shared" si="3"/>
        <v>+</v>
      </c>
      <c r="AI48" s="20">
        <f t="shared" si="22"/>
        <v>12</v>
      </c>
      <c r="AJ48" s="20" t="str">
        <f t="shared" si="12"/>
        <v>H2O</v>
      </c>
      <c r="AL48">
        <f t="shared" si="13"/>
        <v>8.1131023010678788E-2</v>
      </c>
      <c r="AM48">
        <f t="shared" si="14"/>
        <v>0.11527505274450495</v>
      </c>
      <c r="AP48">
        <f>+'10% CO Elab'!S48</f>
        <v>12</v>
      </c>
      <c r="AQ48" t="str">
        <f>+'10% CO Elab'!T48</f>
        <v>2-METHYLUNDECANE</v>
      </c>
      <c r="AR48" t="str">
        <f>+'10% CO Elab'!U48</f>
        <v>C12H26-N9</v>
      </c>
      <c r="AS48" t="str">
        <f>+'10% CO Elab'!V48</f>
        <v>C12-IP</v>
      </c>
      <c r="AT48">
        <f>+'10% CO Elab'!W48</f>
        <v>8.1706206310825619E-2</v>
      </c>
      <c r="AU48">
        <f>+'10% CO Elab'!X48</f>
        <v>0.98047447572990742</v>
      </c>
      <c r="AW48">
        <f>+'10% CO Elab'!AB48</f>
        <v>1.7799932143442584E-3</v>
      </c>
      <c r="AX48" s="20">
        <v>12</v>
      </c>
      <c r="AY48" s="20" t="s">
        <v>309</v>
      </c>
      <c r="AZ48" s="20" t="s">
        <v>310</v>
      </c>
      <c r="BA48" s="20">
        <v>37</v>
      </c>
      <c r="BB48" s="20" t="s">
        <v>42</v>
      </c>
      <c r="BC48" s="20" t="s">
        <v>311</v>
      </c>
      <c r="BD48" s="20">
        <v>1</v>
      </c>
      <c r="BE48" s="20" t="s">
        <v>226</v>
      </c>
      <c r="BF48" s="20" t="s">
        <v>310</v>
      </c>
      <c r="BG48" s="20">
        <v>24</v>
      </c>
      <c r="BH48" s="20" t="s">
        <v>312</v>
      </c>
      <c r="BI48" s="1"/>
      <c r="BJ48">
        <f>+'10% CO Elab'!AA48</f>
        <v>8.8846962906181035E-3</v>
      </c>
      <c r="BK48" s="20">
        <f t="shared" si="15"/>
        <v>12</v>
      </c>
      <c r="BL48" s="20" t="s">
        <v>41</v>
      </c>
      <c r="BM48" s="20" t="str">
        <f t="shared" si="26"/>
        <v>+</v>
      </c>
      <c r="BN48" s="20">
        <f t="shared" si="16"/>
        <v>25</v>
      </c>
      <c r="BO48" s="20" t="str">
        <f t="shared" si="27"/>
        <v>H2</v>
      </c>
      <c r="BP48" s="20" t="str">
        <f t="shared" si="18"/>
        <v>=</v>
      </c>
      <c r="BQ48" s="20">
        <f t="shared" si="5"/>
        <v>1</v>
      </c>
      <c r="BR48" s="20" t="str">
        <f t="shared" si="6"/>
        <v>C12H26</v>
      </c>
      <c r="BS48" s="20" t="str">
        <f t="shared" si="7"/>
        <v>+</v>
      </c>
      <c r="BT48" s="20">
        <f t="shared" si="23"/>
        <v>12</v>
      </c>
      <c r="BU48" s="20" t="str">
        <f t="shared" si="19"/>
        <v>H2O</v>
      </c>
      <c r="BW48">
        <f t="shared" si="20"/>
        <v>4.2719837144262203E-2</v>
      </c>
      <c r="BX48">
        <f t="shared" si="21"/>
        <v>0.10661635548741724</v>
      </c>
    </row>
    <row r="49" spans="5:76" x14ac:dyDescent="0.2">
      <c r="E49">
        <f>+'5% CO Elab'!R49</f>
        <v>44</v>
      </c>
      <c r="F49">
        <f>+'5% CO Elab'!S49</f>
        <v>12</v>
      </c>
      <c r="G49" t="str">
        <f>+'5% CO Elab'!T49</f>
        <v>N-DODECANE</v>
      </c>
      <c r="H49" t="str">
        <f>+'5% CO Elab'!U49</f>
        <v>C12H26</v>
      </c>
      <c r="I49" t="str">
        <f>+'5% CO Elab'!V49</f>
        <v>C12</v>
      </c>
      <c r="J49">
        <f>+'5% CO Elab'!W49</f>
        <v>9.3487265376735088E-2</v>
      </c>
      <c r="L49">
        <f>+'5% CO Elab'!AB49</f>
        <v>3.5560282450514554E-3</v>
      </c>
      <c r="M49" s="20">
        <v>12</v>
      </c>
      <c r="N49" s="20" t="s">
        <v>309</v>
      </c>
      <c r="O49" s="20" t="s">
        <v>310</v>
      </c>
      <c r="P49" s="20">
        <v>37</v>
      </c>
      <c r="Q49" s="20" t="s">
        <v>42</v>
      </c>
      <c r="R49" s="20" t="s">
        <v>311</v>
      </c>
      <c r="S49" s="20">
        <v>1</v>
      </c>
      <c r="T49" s="20" t="s">
        <v>226</v>
      </c>
      <c r="U49" s="20" t="s">
        <v>310</v>
      </c>
      <c r="V49" s="20">
        <v>24</v>
      </c>
      <c r="W49" s="20" t="s">
        <v>312</v>
      </c>
      <c r="X49" s="1"/>
      <c r="Y49">
        <f>+'5% CO Elab'!AA49</f>
        <v>1.0105168856438564E-2</v>
      </c>
      <c r="Z49" s="20">
        <f t="shared" si="8"/>
        <v>12</v>
      </c>
      <c r="AA49" s="20" t="s">
        <v>41</v>
      </c>
      <c r="AB49" s="20" t="str">
        <f t="shared" si="24"/>
        <v>+</v>
      </c>
      <c r="AC49" s="20">
        <f t="shared" si="9"/>
        <v>25</v>
      </c>
      <c r="AD49" s="20" t="str">
        <f t="shared" si="25"/>
        <v>H2</v>
      </c>
      <c r="AE49" s="20" t="str">
        <f t="shared" si="11"/>
        <v>=</v>
      </c>
      <c r="AF49" s="20">
        <f t="shared" si="1"/>
        <v>1</v>
      </c>
      <c r="AG49" s="20" t="str">
        <f t="shared" si="2"/>
        <v>C12H26</v>
      </c>
      <c r="AH49" s="20" t="str">
        <f t="shared" si="3"/>
        <v>+</v>
      </c>
      <c r="AI49" s="20">
        <f t="shared" si="22"/>
        <v>12</v>
      </c>
      <c r="AJ49" s="20" t="str">
        <f t="shared" si="12"/>
        <v>H2O</v>
      </c>
      <c r="AL49">
        <f t="shared" si="13"/>
        <v>8.5344677881234926E-2</v>
      </c>
      <c r="AM49">
        <f t="shared" si="14"/>
        <v>0.12126202627726276</v>
      </c>
      <c r="AP49">
        <f>+'10% CO Elab'!S49</f>
        <v>12</v>
      </c>
      <c r="AQ49" t="str">
        <f>+'10% CO Elab'!T49</f>
        <v>N-DODECANE</v>
      </c>
      <c r="AR49" t="str">
        <f>+'10% CO Elab'!U49</f>
        <v>C12H26</v>
      </c>
      <c r="AS49" t="str">
        <f>+'10% CO Elab'!V49</f>
        <v>C12</v>
      </c>
      <c r="AT49">
        <f>+'10% CO Elab'!W49</f>
        <v>0.11879535695414049</v>
      </c>
      <c r="AU49">
        <f>+'10% CO Elab'!X49</f>
        <v>1.4255442834496859</v>
      </c>
      <c r="AW49">
        <f>+'10% CO Elab'!AB49</f>
        <v>2.5879910330135771E-3</v>
      </c>
      <c r="AX49" s="20">
        <v>12</v>
      </c>
      <c r="AY49" s="20" t="s">
        <v>309</v>
      </c>
      <c r="AZ49" s="20" t="s">
        <v>310</v>
      </c>
      <c r="BA49" s="20">
        <v>37</v>
      </c>
      <c r="BB49" s="20" t="s">
        <v>42</v>
      </c>
      <c r="BC49" s="20" t="s">
        <v>311</v>
      </c>
      <c r="BD49" s="20">
        <v>1</v>
      </c>
      <c r="BE49" s="20" t="s">
        <v>226</v>
      </c>
      <c r="BF49" s="20" t="s">
        <v>310</v>
      </c>
      <c r="BG49" s="20">
        <v>24</v>
      </c>
      <c r="BH49" s="20" t="s">
        <v>312</v>
      </c>
      <c r="BI49" s="1"/>
      <c r="BJ49">
        <f>+'10% CO Elab'!AA49</f>
        <v>1.2917753925056031E-2</v>
      </c>
      <c r="BK49" s="20">
        <f t="shared" si="15"/>
        <v>12</v>
      </c>
      <c r="BL49" s="20" t="s">
        <v>41</v>
      </c>
      <c r="BM49" s="20" t="str">
        <f t="shared" si="26"/>
        <v>+</v>
      </c>
      <c r="BN49" s="20">
        <f t="shared" si="16"/>
        <v>25</v>
      </c>
      <c r="BO49" s="20" t="str">
        <f t="shared" si="27"/>
        <v>H2</v>
      </c>
      <c r="BP49" s="20" t="str">
        <f t="shared" si="18"/>
        <v>=</v>
      </c>
      <c r="BQ49" s="20">
        <f t="shared" si="5"/>
        <v>1</v>
      </c>
      <c r="BR49" s="20" t="str">
        <f t="shared" si="6"/>
        <v>C12H26</v>
      </c>
      <c r="BS49" s="20" t="str">
        <f t="shared" si="7"/>
        <v>+</v>
      </c>
      <c r="BT49" s="20">
        <f t="shared" si="23"/>
        <v>12</v>
      </c>
      <c r="BU49" s="20" t="str">
        <f t="shared" si="19"/>
        <v>H2O</v>
      </c>
      <c r="BW49">
        <f t="shared" si="20"/>
        <v>6.2111784792325847E-2</v>
      </c>
      <c r="BX49">
        <f t="shared" si="21"/>
        <v>0.15501304710067237</v>
      </c>
    </row>
    <row r="50" spans="5:76" x14ac:dyDescent="0.2">
      <c r="E50">
        <f>+'5% CO Elab'!R50</f>
        <v>45</v>
      </c>
      <c r="F50">
        <f>+'5% CO Elab'!S50</f>
        <v>12</v>
      </c>
      <c r="G50" t="str">
        <f>+'5% CO Elab'!T50</f>
        <v>1-DODECENE</v>
      </c>
      <c r="H50" t="str">
        <f>+'5% CO Elab'!U50</f>
        <v>C12H24-2</v>
      </c>
      <c r="I50" t="str">
        <f>+'5% CO Elab'!V50</f>
        <v>C12-O</v>
      </c>
      <c r="J50">
        <f>+'5% CO Elab'!W50</f>
        <v>8.7293141683905204E-3</v>
      </c>
      <c r="L50">
        <f>+'5% CO Elab'!AB50</f>
        <v>3.3204188418211532E-4</v>
      </c>
      <c r="M50" s="20">
        <v>12</v>
      </c>
      <c r="N50" s="20" t="s">
        <v>309</v>
      </c>
      <c r="O50" s="20" t="s">
        <v>310</v>
      </c>
      <c r="P50" s="20">
        <v>36</v>
      </c>
      <c r="Q50" s="20" t="s">
        <v>42</v>
      </c>
      <c r="R50" s="20" t="s">
        <v>311</v>
      </c>
      <c r="S50" s="20">
        <v>1</v>
      </c>
      <c r="T50" s="20" t="s">
        <v>332</v>
      </c>
      <c r="U50" s="20" t="s">
        <v>310</v>
      </c>
      <c r="V50" s="20">
        <v>24</v>
      </c>
      <c r="W50" s="20" t="s">
        <v>312</v>
      </c>
      <c r="X50" s="1"/>
      <c r="Y50">
        <f>+'5% CO Elab'!AA50</f>
        <v>9.4356373905059928E-4</v>
      </c>
      <c r="Z50" s="20">
        <f t="shared" si="8"/>
        <v>12</v>
      </c>
      <c r="AA50" s="20" t="s">
        <v>41</v>
      </c>
      <c r="AB50" s="20" t="str">
        <f t="shared" si="24"/>
        <v>+</v>
      </c>
      <c r="AC50" s="20">
        <f t="shared" si="9"/>
        <v>24</v>
      </c>
      <c r="AD50" s="20" t="str">
        <f t="shared" si="25"/>
        <v>H2</v>
      </c>
      <c r="AE50" s="20" t="str">
        <f t="shared" si="11"/>
        <v>=</v>
      </c>
      <c r="AF50" s="20">
        <f t="shared" si="1"/>
        <v>1</v>
      </c>
      <c r="AG50" s="20" t="str">
        <f t="shared" si="2"/>
        <v>C12H24</v>
      </c>
      <c r="AH50" s="20" t="str">
        <f t="shared" si="3"/>
        <v>+</v>
      </c>
      <c r="AI50" s="20">
        <f t="shared" si="22"/>
        <v>12</v>
      </c>
      <c r="AJ50" s="20" t="str">
        <f t="shared" si="12"/>
        <v>H2O</v>
      </c>
      <c r="AL50">
        <f t="shared" si="13"/>
        <v>7.969005220370768E-3</v>
      </c>
      <c r="AM50">
        <f t="shared" si="14"/>
        <v>1.1322764868607192E-2</v>
      </c>
      <c r="AP50">
        <f>+'10% CO Elab'!S50</f>
        <v>12</v>
      </c>
      <c r="AQ50" t="str">
        <f>+'10% CO Elab'!T50</f>
        <v>1-DODECENE</v>
      </c>
      <c r="AR50" t="str">
        <f>+'10% CO Elab'!U50</f>
        <v>C12H24-2</v>
      </c>
      <c r="AS50" t="str">
        <f>+'10% CO Elab'!V50</f>
        <v>C12-O</v>
      </c>
      <c r="AT50">
        <f>+'10% CO Elab'!W50</f>
        <v>8.0255019654067172E-3</v>
      </c>
      <c r="AU50">
        <f>+'10% CO Elab'!X50</f>
        <v>9.6306023584880607E-2</v>
      </c>
      <c r="AW50">
        <f>+'10% CO Elab'!AB50</f>
        <v>1.7483786954673158E-4</v>
      </c>
      <c r="AX50" s="20">
        <v>12</v>
      </c>
      <c r="AY50" s="20" t="s">
        <v>309</v>
      </c>
      <c r="AZ50" s="20" t="s">
        <v>310</v>
      </c>
      <c r="BA50" s="20">
        <v>36</v>
      </c>
      <c r="BB50" s="20" t="s">
        <v>42</v>
      </c>
      <c r="BC50" s="20" t="s">
        <v>311</v>
      </c>
      <c r="BD50" s="20">
        <v>1</v>
      </c>
      <c r="BE50" s="20" t="s">
        <v>332</v>
      </c>
      <c r="BF50" s="20" t="s">
        <v>310</v>
      </c>
      <c r="BG50" s="20">
        <v>24</v>
      </c>
      <c r="BH50" s="20" t="s">
        <v>312</v>
      </c>
      <c r="BI50" s="1"/>
      <c r="BJ50">
        <f>+'10% CO Elab'!AA50</f>
        <v>8.7268949033251044E-4</v>
      </c>
      <c r="BK50" s="20">
        <f t="shared" si="15"/>
        <v>12</v>
      </c>
      <c r="BL50" s="20" t="s">
        <v>41</v>
      </c>
      <c r="BM50" s="20" t="str">
        <f t="shared" si="26"/>
        <v>+</v>
      </c>
      <c r="BN50" s="20">
        <f t="shared" si="16"/>
        <v>24</v>
      </c>
      <c r="BO50" s="20" t="str">
        <f t="shared" si="27"/>
        <v>H2</v>
      </c>
      <c r="BP50" s="20" t="str">
        <f t="shared" si="18"/>
        <v>=</v>
      </c>
      <c r="BQ50" s="20">
        <f t="shared" si="5"/>
        <v>1</v>
      </c>
      <c r="BR50" s="20" t="str">
        <f t="shared" si="6"/>
        <v>C12H24</v>
      </c>
      <c r="BS50" s="20" t="str">
        <f t="shared" si="7"/>
        <v>+</v>
      </c>
      <c r="BT50" s="20">
        <f t="shared" si="23"/>
        <v>12</v>
      </c>
      <c r="BU50" s="20" t="str">
        <f t="shared" si="19"/>
        <v>H2O</v>
      </c>
      <c r="BW50">
        <f t="shared" si="20"/>
        <v>4.1961088691215582E-3</v>
      </c>
      <c r="BX50">
        <f t="shared" si="21"/>
        <v>1.0472273883990125E-2</v>
      </c>
    </row>
    <row r="51" spans="5:76" x14ac:dyDescent="0.2">
      <c r="E51">
        <f>+'5% CO Elab'!R51</f>
        <v>46</v>
      </c>
      <c r="F51">
        <f>+'5% CO Elab'!S51</f>
        <v>12</v>
      </c>
      <c r="G51" t="str">
        <f>+'5% CO Elab'!T51</f>
        <v>1,2,4-TRIETHYLBENZENE</v>
      </c>
      <c r="H51" t="str">
        <f>+'5% CO Elab'!U51</f>
        <v>C12H18-D6</v>
      </c>
      <c r="I51" t="str">
        <f>+'5% CO Elab'!V51</f>
        <v>C12-A</v>
      </c>
      <c r="J51">
        <f>+'5% CO Elab'!W51</f>
        <v>3.0767842952423023E-2</v>
      </c>
      <c r="L51">
        <f>+'5% CO Elab'!AB51</f>
        <v>1.1703339287679213E-3</v>
      </c>
      <c r="M51" s="20">
        <v>12</v>
      </c>
      <c r="N51" s="20" t="s">
        <v>309</v>
      </c>
      <c r="O51" s="20" t="s">
        <v>310</v>
      </c>
      <c r="P51" s="20">
        <v>33</v>
      </c>
      <c r="Q51" s="20" t="s">
        <v>42</v>
      </c>
      <c r="R51" s="20" t="s">
        <v>311</v>
      </c>
      <c r="S51" s="20">
        <v>1</v>
      </c>
      <c r="T51" s="20" t="s">
        <v>333</v>
      </c>
      <c r="U51" s="20" t="s">
        <v>310</v>
      </c>
      <c r="V51" s="20">
        <v>24</v>
      </c>
      <c r="W51" s="20" t="s">
        <v>312</v>
      </c>
      <c r="X51" s="1"/>
      <c r="Y51">
        <f>+'5% CO Elab'!AA51</f>
        <v>3.325739041886564E-3</v>
      </c>
      <c r="Z51" s="20">
        <f t="shared" si="8"/>
        <v>12</v>
      </c>
      <c r="AA51" s="20" t="s">
        <v>41</v>
      </c>
      <c r="AB51" s="20" t="str">
        <f t="shared" si="24"/>
        <v>+</v>
      </c>
      <c r="AC51" s="20">
        <f t="shared" si="9"/>
        <v>21</v>
      </c>
      <c r="AD51" s="20" t="str">
        <f t="shared" si="25"/>
        <v>H2</v>
      </c>
      <c r="AE51" s="20" t="str">
        <f t="shared" si="11"/>
        <v>=</v>
      </c>
      <c r="AF51" s="20">
        <f t="shared" si="1"/>
        <v>1</v>
      </c>
      <c r="AG51" s="20" t="str">
        <f t="shared" si="2"/>
        <v>C12H18</v>
      </c>
      <c r="AH51" s="20" t="str">
        <f t="shared" si="3"/>
        <v>+</v>
      </c>
      <c r="AI51" s="20">
        <f t="shared" si="22"/>
        <v>12</v>
      </c>
      <c r="AJ51" s="20" t="str">
        <f t="shared" si="12"/>
        <v>H2O</v>
      </c>
      <c r="AL51">
        <f t="shared" si="13"/>
        <v>2.8088014290430112E-2</v>
      </c>
      <c r="AM51">
        <f t="shared" si="14"/>
        <v>3.9908868502638764E-2</v>
      </c>
      <c r="AP51">
        <f>+'10% CO Elab'!S51</f>
        <v>12</v>
      </c>
      <c r="AQ51" t="str">
        <f>+'10% CO Elab'!T51</f>
        <v>1,2,4-TRIETHYLBENZENE</v>
      </c>
      <c r="AR51" t="str">
        <f>+'10% CO Elab'!U51</f>
        <v>C12H18-D6</v>
      </c>
      <c r="AS51" t="str">
        <f>+'10% CO Elab'!V51</f>
        <v>C12-A</v>
      </c>
      <c r="AT51">
        <f>+'10% CO Elab'!W51</f>
        <v>2.8287145968481486E-2</v>
      </c>
      <c r="AU51">
        <f>+'10% CO Elab'!X51</f>
        <v>0.33944575162177781</v>
      </c>
      <c r="AW51">
        <f>+'10% CO Elab'!AB51</f>
        <v>6.1624361416950729E-4</v>
      </c>
      <c r="AX51" s="20">
        <v>12</v>
      </c>
      <c r="AY51" s="20" t="s">
        <v>309</v>
      </c>
      <c r="AZ51" s="20" t="s">
        <v>310</v>
      </c>
      <c r="BA51" s="20">
        <v>33</v>
      </c>
      <c r="BB51" s="20" t="s">
        <v>42</v>
      </c>
      <c r="BC51" s="20" t="s">
        <v>311</v>
      </c>
      <c r="BD51" s="20">
        <v>1</v>
      </c>
      <c r="BE51" s="20" t="s">
        <v>333</v>
      </c>
      <c r="BF51" s="20" t="s">
        <v>310</v>
      </c>
      <c r="BG51" s="20">
        <v>24</v>
      </c>
      <c r="BH51" s="20" t="s">
        <v>312</v>
      </c>
      <c r="BI51" s="1"/>
      <c r="BJ51">
        <f>+'10% CO Elab'!AA51</f>
        <v>3.0759315871582869E-3</v>
      </c>
      <c r="BK51" s="20">
        <f t="shared" si="15"/>
        <v>12</v>
      </c>
      <c r="BL51" s="20" t="s">
        <v>41</v>
      </c>
      <c r="BM51" s="20" t="str">
        <f t="shared" si="26"/>
        <v>+</v>
      </c>
      <c r="BN51" s="20">
        <f t="shared" si="16"/>
        <v>21</v>
      </c>
      <c r="BO51" s="20" t="str">
        <f t="shared" si="27"/>
        <v>H2</v>
      </c>
      <c r="BP51" s="20" t="str">
        <f t="shared" si="18"/>
        <v>=</v>
      </c>
      <c r="BQ51" s="20">
        <f t="shared" si="5"/>
        <v>1</v>
      </c>
      <c r="BR51" s="20" t="str">
        <f t="shared" si="6"/>
        <v>C12H18</v>
      </c>
      <c r="BS51" s="20" t="str">
        <f t="shared" si="7"/>
        <v>+</v>
      </c>
      <c r="BT51" s="20">
        <f t="shared" si="23"/>
        <v>12</v>
      </c>
      <c r="BU51" s="20" t="str">
        <f t="shared" si="19"/>
        <v>H2O</v>
      </c>
      <c r="BW51">
        <f t="shared" si="20"/>
        <v>1.4789846740068176E-2</v>
      </c>
      <c r="BX51">
        <f t="shared" si="21"/>
        <v>3.6911179045899439E-2</v>
      </c>
    </row>
    <row r="52" spans="5:76" x14ac:dyDescent="0.2">
      <c r="E52">
        <f>+'5% CO Elab'!R52</f>
        <v>47</v>
      </c>
      <c r="F52">
        <f>+'5% CO Elab'!S52</f>
        <v>12</v>
      </c>
      <c r="G52">
        <f>+'5% CO Elab'!T52</f>
        <v>0</v>
      </c>
      <c r="H52">
        <f>+'5% CO Elab'!U52</f>
        <v>0</v>
      </c>
      <c r="I52" t="str">
        <f>+'5% CO Elab'!V52</f>
        <v>C12-N</v>
      </c>
      <c r="J52">
        <f>+'5% CO Elab'!W52</f>
        <v>7.9958923387175255E-3</v>
      </c>
      <c r="L52">
        <f>+'5% CO Elab'!AB52</f>
        <v>3.0414430121886903E-4</v>
      </c>
      <c r="M52" s="20">
        <v>12</v>
      </c>
      <c r="N52" s="20" t="s">
        <v>309</v>
      </c>
      <c r="O52" s="20" t="s">
        <v>310</v>
      </c>
      <c r="P52" s="20">
        <v>36</v>
      </c>
      <c r="Q52" s="20" t="s">
        <v>42</v>
      </c>
      <c r="R52" s="20" t="s">
        <v>311</v>
      </c>
      <c r="S52" s="20">
        <v>1</v>
      </c>
      <c r="T52" s="20" t="s">
        <v>332</v>
      </c>
      <c r="U52" s="20" t="s">
        <v>310</v>
      </c>
      <c r="V52" s="20">
        <v>24</v>
      </c>
      <c r="W52" s="20" t="s">
        <v>312</v>
      </c>
      <c r="X52" s="1"/>
      <c r="Y52">
        <f>+'5% CO Elab'!AA52</f>
        <v>8.642871509294529E-4</v>
      </c>
      <c r="Z52" s="20">
        <f t="shared" si="8"/>
        <v>12</v>
      </c>
      <c r="AA52" s="20" t="s">
        <v>41</v>
      </c>
      <c r="AB52" s="20" t="str">
        <f t="shared" si="24"/>
        <v>+</v>
      </c>
      <c r="AC52" s="20">
        <f t="shared" si="9"/>
        <v>24</v>
      </c>
      <c r="AD52" s="20" t="str">
        <f t="shared" si="25"/>
        <v>H2</v>
      </c>
      <c r="AE52" s="20" t="str">
        <f t="shared" si="11"/>
        <v>=</v>
      </c>
      <c r="AF52" s="20">
        <f t="shared" si="1"/>
        <v>1</v>
      </c>
      <c r="AG52" s="20" t="str">
        <f t="shared" si="2"/>
        <v>C12H24</v>
      </c>
      <c r="AH52" s="20" t="str">
        <f t="shared" si="3"/>
        <v>+</v>
      </c>
      <c r="AI52" s="20">
        <f t="shared" si="22"/>
        <v>12</v>
      </c>
      <c r="AJ52" s="20" t="str">
        <f t="shared" si="12"/>
        <v>H2O</v>
      </c>
      <c r="AL52">
        <f t="shared" si="13"/>
        <v>7.2994632292528571E-3</v>
      </c>
      <c r="AM52">
        <f t="shared" si="14"/>
        <v>1.0371445811153434E-2</v>
      </c>
      <c r="AP52">
        <f>+'10% CO Elab'!S52</f>
        <v>12</v>
      </c>
      <c r="AQ52">
        <f>+'10% CO Elab'!T52</f>
        <v>0</v>
      </c>
      <c r="AR52">
        <f>+'10% CO Elab'!U52</f>
        <v>0</v>
      </c>
      <c r="AS52" t="str">
        <f>+'10% CO Elab'!V52</f>
        <v>C12-N</v>
      </c>
      <c r="AT52">
        <f>+'10% CO Elab'!W52</f>
        <v>7.3512132158017685E-3</v>
      </c>
      <c r="AU52">
        <f>+'10% CO Elab'!X52</f>
        <v>8.8214558589621225E-2</v>
      </c>
      <c r="AW52">
        <f>+'10% CO Elab'!AB52</f>
        <v>1.6014829511906096E-4</v>
      </c>
      <c r="AX52" s="20">
        <v>12</v>
      </c>
      <c r="AY52" s="20" t="s">
        <v>309</v>
      </c>
      <c r="AZ52" s="20" t="s">
        <v>310</v>
      </c>
      <c r="BA52" s="20">
        <v>36</v>
      </c>
      <c r="BB52" s="20" t="s">
        <v>42</v>
      </c>
      <c r="BC52" s="20" t="s">
        <v>311</v>
      </c>
      <c r="BD52" s="20">
        <v>1</v>
      </c>
      <c r="BE52" s="20" t="s">
        <v>332</v>
      </c>
      <c r="BF52" s="20" t="s">
        <v>310</v>
      </c>
      <c r="BG52" s="20">
        <v>24</v>
      </c>
      <c r="BH52" s="20" t="s">
        <v>312</v>
      </c>
      <c r="BI52" s="1"/>
      <c r="BJ52">
        <f>+'10% CO Elab'!AA52</f>
        <v>7.9936763361050959E-4</v>
      </c>
      <c r="BK52" s="20">
        <f t="shared" si="15"/>
        <v>12</v>
      </c>
      <c r="BL52" s="20" t="s">
        <v>41</v>
      </c>
      <c r="BM52" s="20" t="str">
        <f t="shared" si="26"/>
        <v>+</v>
      </c>
      <c r="BN52" s="20">
        <f t="shared" si="16"/>
        <v>24</v>
      </c>
      <c r="BO52" s="20" t="str">
        <f t="shared" si="27"/>
        <v>H2</v>
      </c>
      <c r="BP52" s="20" t="str">
        <f t="shared" si="18"/>
        <v>=</v>
      </c>
      <c r="BQ52" s="20">
        <f t="shared" si="5"/>
        <v>1</v>
      </c>
      <c r="BR52" s="20" t="str">
        <f t="shared" si="6"/>
        <v>C12H24</v>
      </c>
      <c r="BS52" s="20" t="str">
        <f t="shared" si="7"/>
        <v>+</v>
      </c>
      <c r="BT52" s="20">
        <f t="shared" si="23"/>
        <v>12</v>
      </c>
      <c r="BU52" s="20" t="str">
        <f t="shared" si="19"/>
        <v>H2O</v>
      </c>
      <c r="BW52">
        <f t="shared" si="20"/>
        <v>3.8435590828574629E-3</v>
      </c>
      <c r="BX52">
        <f t="shared" si="21"/>
        <v>9.5924116033261151E-3</v>
      </c>
    </row>
    <row r="53" spans="5:76" x14ac:dyDescent="0.2">
      <c r="E53">
        <f>+'5% CO Elab'!R53</f>
        <v>48</v>
      </c>
      <c r="F53">
        <f>+'5% CO Elab'!S53</f>
        <v>13</v>
      </c>
      <c r="G53" t="str">
        <f>+'5% CO Elab'!T53</f>
        <v>2-METHYLDODECANE</v>
      </c>
      <c r="H53" t="str">
        <f>+'5% CO Elab'!U53</f>
        <v>C13H28-N1</v>
      </c>
      <c r="I53" t="str">
        <f>+'5% CO Elab'!V53</f>
        <v>C13-IP</v>
      </c>
      <c r="J53">
        <f>+'5% CO Elab'!W53</f>
        <v>3.2103149001012445E-2</v>
      </c>
      <c r="L53">
        <f>+'5% CO Elab'!AB53</f>
        <v>1.3228862008232815E-3</v>
      </c>
      <c r="M53" s="20">
        <v>13</v>
      </c>
      <c r="N53" s="20" t="s">
        <v>309</v>
      </c>
      <c r="O53" s="20" t="s">
        <v>310</v>
      </c>
      <c r="P53" s="20">
        <v>40</v>
      </c>
      <c r="Q53" s="20" t="s">
        <v>42</v>
      </c>
      <c r="R53" s="20" t="s">
        <v>311</v>
      </c>
      <c r="S53" s="20">
        <v>1</v>
      </c>
      <c r="T53" s="20" t="s">
        <v>241</v>
      </c>
      <c r="U53" s="20" t="s">
        <v>310</v>
      </c>
      <c r="V53" s="20">
        <v>26</v>
      </c>
      <c r="W53" s="20" t="s">
        <v>312</v>
      </c>
      <c r="X53" s="1"/>
      <c r="Y53">
        <f>+'5% CO Elab'!AA53</f>
        <v>3.7592469789222162E-3</v>
      </c>
      <c r="Z53" s="20">
        <f t="shared" si="8"/>
        <v>13</v>
      </c>
      <c r="AA53" s="20" t="s">
        <v>41</v>
      </c>
      <c r="AB53" s="20" t="str">
        <f t="shared" si="24"/>
        <v>+</v>
      </c>
      <c r="AC53" s="20">
        <f t="shared" si="9"/>
        <v>27</v>
      </c>
      <c r="AD53" s="20" t="str">
        <f t="shared" si="25"/>
        <v>H2</v>
      </c>
      <c r="AE53" s="20" t="str">
        <f t="shared" si="11"/>
        <v>=</v>
      </c>
      <c r="AF53" s="20">
        <f t="shared" si="1"/>
        <v>1</v>
      </c>
      <c r="AG53" s="20" t="str">
        <f t="shared" si="2"/>
        <v>C13H28</v>
      </c>
      <c r="AH53" s="20" t="str">
        <f t="shared" si="3"/>
        <v>+</v>
      </c>
      <c r="AI53" s="20">
        <f t="shared" si="22"/>
        <v>13</v>
      </c>
      <c r="AJ53" s="20" t="str">
        <f t="shared" si="12"/>
        <v>H2O</v>
      </c>
      <c r="AL53">
        <f t="shared" si="13"/>
        <v>3.4395041221405319E-2</v>
      </c>
      <c r="AM53">
        <f t="shared" si="14"/>
        <v>4.8870210725988808E-2</v>
      </c>
      <c r="AP53">
        <f>+'10% CO Elab'!S53</f>
        <v>13</v>
      </c>
      <c r="AQ53" t="str">
        <f>+'10% CO Elab'!T53</f>
        <v>2-METHYLDODECANE</v>
      </c>
      <c r="AR53" t="str">
        <f>+'10% CO Elab'!U53</f>
        <v>C13H28-N1</v>
      </c>
      <c r="AS53" t="str">
        <f>+'10% CO Elab'!V53</f>
        <v>C13-IP</v>
      </c>
      <c r="AT53">
        <f>+'10% CO Elab'!W53</f>
        <v>2.9514791246294841E-2</v>
      </c>
      <c r="AU53">
        <f>+'10% CO Elab'!X53</f>
        <v>0.38369228620183293</v>
      </c>
      <c r="AW53">
        <f>+'10% CO Elab'!AB53</f>
        <v>6.9657057143386191E-4</v>
      </c>
      <c r="AX53" s="20">
        <v>13</v>
      </c>
      <c r="AY53" s="20" t="s">
        <v>309</v>
      </c>
      <c r="AZ53" s="20" t="s">
        <v>310</v>
      </c>
      <c r="BA53" s="20">
        <v>40</v>
      </c>
      <c r="BB53" s="20" t="s">
        <v>42</v>
      </c>
      <c r="BC53" s="20" t="s">
        <v>311</v>
      </c>
      <c r="BD53" s="20">
        <v>1</v>
      </c>
      <c r="BE53" s="20" t="s">
        <v>241</v>
      </c>
      <c r="BF53" s="20" t="s">
        <v>310</v>
      </c>
      <c r="BG53" s="20">
        <v>26</v>
      </c>
      <c r="BH53" s="20" t="s">
        <v>312</v>
      </c>
      <c r="BI53" s="1"/>
      <c r="BJ53">
        <f>+'10% CO Elab'!AA53</f>
        <v>3.4768772837440831E-3</v>
      </c>
      <c r="BK53" s="20">
        <f t="shared" si="15"/>
        <v>13</v>
      </c>
      <c r="BL53" s="20" t="s">
        <v>41</v>
      </c>
      <c r="BM53" s="20" t="str">
        <f t="shared" si="26"/>
        <v>+</v>
      </c>
      <c r="BN53" s="20">
        <f t="shared" si="16"/>
        <v>27</v>
      </c>
      <c r="BO53" s="20" t="str">
        <f t="shared" si="27"/>
        <v>H2</v>
      </c>
      <c r="BP53" s="20" t="str">
        <f t="shared" si="18"/>
        <v>=</v>
      </c>
      <c r="BQ53" s="20">
        <f t="shared" si="5"/>
        <v>1</v>
      </c>
      <c r="BR53" s="20" t="str">
        <f t="shared" si="6"/>
        <v>C13H28</v>
      </c>
      <c r="BS53" s="20" t="str">
        <f t="shared" si="7"/>
        <v>+</v>
      </c>
      <c r="BT53" s="20">
        <f t="shared" si="23"/>
        <v>13</v>
      </c>
      <c r="BU53" s="20" t="str">
        <f t="shared" si="19"/>
        <v>H2O</v>
      </c>
      <c r="BW53">
        <f t="shared" si="20"/>
        <v>1.8110834857280409E-2</v>
      </c>
      <c r="BX53">
        <f t="shared" si="21"/>
        <v>4.5199404688673082E-2</v>
      </c>
    </row>
    <row r="54" spans="5:76" x14ac:dyDescent="0.2">
      <c r="E54">
        <f>+'5% CO Elab'!R54</f>
        <v>49</v>
      </c>
      <c r="F54">
        <f>+'5% CO Elab'!S54</f>
        <v>13</v>
      </c>
      <c r="G54" t="str">
        <f>+'5% CO Elab'!T54</f>
        <v>1-TRIDECENE</v>
      </c>
      <c r="H54" t="str">
        <f>+'5% CO Elab'!U54</f>
        <v>C13H26-2</v>
      </c>
      <c r="I54" t="str">
        <f>+'5% CO Elab'!V54</f>
        <v>C13-O</v>
      </c>
      <c r="J54">
        <f>+'5% CO Elab'!W54</f>
        <v>2.774247790502192E-3</v>
      </c>
      <c r="L54">
        <f>+'5% CO Elab'!AB54</f>
        <v>1.1431944322982413E-4</v>
      </c>
      <c r="M54" s="20">
        <v>13</v>
      </c>
      <c r="N54" s="20" t="s">
        <v>309</v>
      </c>
      <c r="O54" s="20" t="s">
        <v>310</v>
      </c>
      <c r="P54" s="20">
        <v>39</v>
      </c>
      <c r="Q54" s="20" t="s">
        <v>42</v>
      </c>
      <c r="R54" s="20" t="s">
        <v>311</v>
      </c>
      <c r="S54" s="20">
        <v>1</v>
      </c>
      <c r="T54" s="20" t="s">
        <v>334</v>
      </c>
      <c r="U54" s="20" t="s">
        <v>310</v>
      </c>
      <c r="V54" s="20">
        <v>26</v>
      </c>
      <c r="W54" s="20" t="s">
        <v>312</v>
      </c>
      <c r="X54" s="1"/>
      <c r="Y54">
        <f>+'5% CO Elab'!AA54</f>
        <v>3.2486167088774045E-4</v>
      </c>
      <c r="Z54" s="20">
        <f t="shared" si="8"/>
        <v>13</v>
      </c>
      <c r="AA54" s="20" t="s">
        <v>41</v>
      </c>
      <c r="AB54" s="20" t="str">
        <f t="shared" si="24"/>
        <v>+</v>
      </c>
      <c r="AC54" s="20">
        <f t="shared" si="9"/>
        <v>26</v>
      </c>
      <c r="AD54" s="20" t="str">
        <f t="shared" si="25"/>
        <v>H2</v>
      </c>
      <c r="AE54" s="20" t="str">
        <f t="shared" si="11"/>
        <v>=</v>
      </c>
      <c r="AF54" s="20">
        <f t="shared" si="1"/>
        <v>1</v>
      </c>
      <c r="AG54" s="20" t="str">
        <f t="shared" si="2"/>
        <v>C13H26</v>
      </c>
      <c r="AH54" s="20" t="str">
        <f t="shared" si="3"/>
        <v>+</v>
      </c>
      <c r="AI54" s="20">
        <f t="shared" si="22"/>
        <v>13</v>
      </c>
      <c r="AJ54" s="20" t="str">
        <f t="shared" si="12"/>
        <v>H2O</v>
      </c>
      <c r="AL54">
        <f t="shared" si="13"/>
        <v>2.9723055239754275E-3</v>
      </c>
      <c r="AM54">
        <f t="shared" si="14"/>
        <v>4.2232017215406261E-3</v>
      </c>
      <c r="AP54">
        <f>+'10% CO Elab'!S54</f>
        <v>13</v>
      </c>
      <c r="AQ54" t="str">
        <f>+'10% CO Elab'!T54</f>
        <v>1-TRIDECENE</v>
      </c>
      <c r="AR54" t="str">
        <f>+'10% CO Elab'!U54</f>
        <v>C13H26-2</v>
      </c>
      <c r="AS54" t="str">
        <f>+'10% CO Elab'!V54</f>
        <v>C13-O</v>
      </c>
      <c r="AT54">
        <f>+'10% CO Elab'!W54</f>
        <v>2.5505704876361067E-3</v>
      </c>
      <c r="AU54">
        <f>+'10% CO Elab'!X54</f>
        <v>3.3157416339269385E-2</v>
      </c>
      <c r="AW54">
        <f>+'10% CO Elab'!AB54</f>
        <v>6.0195321295997968E-5</v>
      </c>
      <c r="AX54" s="20">
        <v>13</v>
      </c>
      <c r="AY54" s="20" t="s">
        <v>309</v>
      </c>
      <c r="AZ54" s="20" t="s">
        <v>310</v>
      </c>
      <c r="BA54" s="20">
        <v>39</v>
      </c>
      <c r="BB54" s="20" t="s">
        <v>42</v>
      </c>
      <c r="BC54" s="20" t="s">
        <v>311</v>
      </c>
      <c r="BD54" s="20">
        <v>1</v>
      </c>
      <c r="BE54" s="20" t="s">
        <v>334</v>
      </c>
      <c r="BF54" s="20" t="s">
        <v>310</v>
      </c>
      <c r="BG54" s="20">
        <v>26</v>
      </c>
      <c r="BH54" s="20" t="s">
        <v>312</v>
      </c>
      <c r="BI54" s="1"/>
      <c r="BJ54">
        <f>+'10% CO Elab'!AA54</f>
        <v>3.0046021721950351E-4</v>
      </c>
      <c r="BK54" s="20">
        <f t="shared" si="15"/>
        <v>13</v>
      </c>
      <c r="BL54" s="20" t="s">
        <v>41</v>
      </c>
      <c r="BM54" s="20" t="str">
        <f t="shared" si="26"/>
        <v>+</v>
      </c>
      <c r="BN54" s="20">
        <f t="shared" si="16"/>
        <v>26</v>
      </c>
      <c r="BO54" s="20" t="str">
        <f t="shared" si="27"/>
        <v>H2</v>
      </c>
      <c r="BP54" s="20" t="str">
        <f t="shared" si="18"/>
        <v>=</v>
      </c>
      <c r="BQ54" s="20">
        <f t="shared" si="5"/>
        <v>1</v>
      </c>
      <c r="BR54" s="20" t="str">
        <f t="shared" si="6"/>
        <v>C13H26</v>
      </c>
      <c r="BS54" s="20" t="str">
        <f t="shared" si="7"/>
        <v>+</v>
      </c>
      <c r="BT54" s="20">
        <f t="shared" si="23"/>
        <v>13</v>
      </c>
      <c r="BU54" s="20" t="str">
        <f t="shared" si="19"/>
        <v>H2O</v>
      </c>
      <c r="BW54">
        <f t="shared" si="20"/>
        <v>1.5650783536959472E-3</v>
      </c>
      <c r="BX54">
        <f t="shared" si="21"/>
        <v>3.9059828238535458E-3</v>
      </c>
    </row>
    <row r="55" spans="5:76" x14ac:dyDescent="0.2">
      <c r="E55">
        <f>+'5% CO Elab'!R55</f>
        <v>50</v>
      </c>
      <c r="F55">
        <f>+'5% CO Elab'!S55</f>
        <v>13</v>
      </c>
      <c r="G55" t="str">
        <f>+'5% CO Elab'!T55</f>
        <v>N-TRIDECANE</v>
      </c>
      <c r="H55" t="str">
        <f>+'5% CO Elab'!U55</f>
        <v>C13H28</v>
      </c>
      <c r="I55" t="str">
        <f>+'5% CO Elab'!V55</f>
        <v>C13</v>
      </c>
      <c r="J55">
        <f>+'5% CO Elab'!W55</f>
        <v>9.7048685010134514E-2</v>
      </c>
      <c r="L55">
        <f>+'5% CO Elab'!AB55</f>
        <v>3.9991206533634225E-3</v>
      </c>
      <c r="M55" s="20">
        <v>13</v>
      </c>
      <c r="N55" s="20" t="s">
        <v>309</v>
      </c>
      <c r="O55" s="20" t="s">
        <v>310</v>
      </c>
      <c r="P55" s="20">
        <v>40</v>
      </c>
      <c r="Q55" s="20" t="s">
        <v>42</v>
      </c>
      <c r="R55" s="20" t="s">
        <v>311</v>
      </c>
      <c r="S55" s="20">
        <v>1</v>
      </c>
      <c r="T55" s="20" t="s">
        <v>241</v>
      </c>
      <c r="U55" s="20" t="s">
        <v>310</v>
      </c>
      <c r="V55" s="20">
        <v>26</v>
      </c>
      <c r="W55" s="20" t="s">
        <v>312</v>
      </c>
      <c r="X55" s="1"/>
      <c r="Y55">
        <f>+'5% CO Elab'!AA55</f>
        <v>1.1364304975851941E-2</v>
      </c>
      <c r="Z55" s="20">
        <f t="shared" si="8"/>
        <v>13</v>
      </c>
      <c r="AA55" s="20" t="s">
        <v>41</v>
      </c>
      <c r="AB55" s="20" t="str">
        <f t="shared" si="24"/>
        <v>+</v>
      </c>
      <c r="AC55" s="20">
        <f t="shared" si="9"/>
        <v>27</v>
      </c>
      <c r="AD55" s="20" t="str">
        <f t="shared" si="25"/>
        <v>H2</v>
      </c>
      <c r="AE55" s="20" t="str">
        <f t="shared" si="11"/>
        <v>=</v>
      </c>
      <c r="AF55" s="20">
        <f t="shared" si="1"/>
        <v>1</v>
      </c>
      <c r="AG55" s="20" t="str">
        <f t="shared" si="2"/>
        <v>C13H28</v>
      </c>
      <c r="AH55" s="20" t="str">
        <f t="shared" si="3"/>
        <v>+</v>
      </c>
      <c r="AI55" s="20">
        <f t="shared" si="22"/>
        <v>13</v>
      </c>
      <c r="AJ55" s="20" t="str">
        <f t="shared" si="12"/>
        <v>H2O</v>
      </c>
      <c r="AL55">
        <f t="shared" si="13"/>
        <v>0.10397713698744898</v>
      </c>
      <c r="AM55">
        <f t="shared" si="14"/>
        <v>0.14773596468607525</v>
      </c>
      <c r="AP55">
        <f>+'10% CO Elab'!S55</f>
        <v>13</v>
      </c>
      <c r="AQ55" t="str">
        <f>+'10% CO Elab'!T55</f>
        <v>N-TRIDECANE</v>
      </c>
      <c r="AR55" t="str">
        <f>+'10% CO Elab'!U55</f>
        <v>C13H28</v>
      </c>
      <c r="AS55" t="str">
        <f>+'10% CO Elab'!V55</f>
        <v>C13</v>
      </c>
      <c r="AT55">
        <f>+'10% CO Elab'!W55</f>
        <v>0.12332089436191727</v>
      </c>
      <c r="AU55">
        <f>+'10% CO Elab'!X55</f>
        <v>1.6031716267049245</v>
      </c>
      <c r="AW55">
        <f>+'10% CO Elab'!AB55</f>
        <v>2.910462931571618E-3</v>
      </c>
      <c r="AX55" s="20">
        <v>13</v>
      </c>
      <c r="AY55" s="20" t="s">
        <v>309</v>
      </c>
      <c r="AZ55" s="20" t="s">
        <v>310</v>
      </c>
      <c r="BA55" s="20">
        <v>40</v>
      </c>
      <c r="BB55" s="20" t="s">
        <v>42</v>
      </c>
      <c r="BC55" s="20" t="s">
        <v>311</v>
      </c>
      <c r="BD55" s="20">
        <v>1</v>
      </c>
      <c r="BE55" s="20" t="s">
        <v>241</v>
      </c>
      <c r="BF55" s="20" t="s">
        <v>310</v>
      </c>
      <c r="BG55" s="20">
        <v>26</v>
      </c>
      <c r="BH55" s="20" t="s">
        <v>312</v>
      </c>
      <c r="BI55" s="1"/>
      <c r="BJ55">
        <f>+'10% CO Elab'!AA55</f>
        <v>1.4527347072860632E-2</v>
      </c>
      <c r="BK55" s="20">
        <f t="shared" si="15"/>
        <v>13</v>
      </c>
      <c r="BL55" s="20" t="s">
        <v>41</v>
      </c>
      <c r="BM55" s="20" t="str">
        <f t="shared" si="26"/>
        <v>+</v>
      </c>
      <c r="BN55" s="20">
        <f t="shared" si="16"/>
        <v>27</v>
      </c>
      <c r="BO55" s="20" t="str">
        <f t="shared" si="27"/>
        <v>H2</v>
      </c>
      <c r="BP55" s="20" t="str">
        <f t="shared" si="18"/>
        <v>=</v>
      </c>
      <c r="BQ55" s="20">
        <f t="shared" si="5"/>
        <v>1</v>
      </c>
      <c r="BR55" s="20" t="str">
        <f t="shared" si="6"/>
        <v>C13H28</v>
      </c>
      <c r="BS55" s="20" t="str">
        <f t="shared" si="7"/>
        <v>+</v>
      </c>
      <c r="BT55" s="20">
        <f t="shared" si="23"/>
        <v>13</v>
      </c>
      <c r="BU55" s="20" t="str">
        <f t="shared" si="19"/>
        <v>H2O</v>
      </c>
      <c r="BW55">
        <f t="shared" si="20"/>
        <v>7.5672036220862063E-2</v>
      </c>
      <c r="BX55">
        <f t="shared" si="21"/>
        <v>0.18885551194718822</v>
      </c>
    </row>
    <row r="56" spans="5:76" x14ac:dyDescent="0.2">
      <c r="E56">
        <f>+'5% CO Elab'!R56</f>
        <v>51</v>
      </c>
      <c r="F56">
        <f>+'5% CO Elab'!S56</f>
        <v>14</v>
      </c>
      <c r="G56" t="str">
        <f>+'5% CO Elab'!T56</f>
        <v>2-METHYLTRIDECANE</v>
      </c>
      <c r="H56" t="str">
        <f>+'5% CO Elab'!U56</f>
        <v>C14H30-N1</v>
      </c>
      <c r="I56" t="str">
        <f>+'5% CO Elab'!V56</f>
        <v>C14-IP</v>
      </c>
      <c r="J56">
        <f>+'5% CO Elab'!W56</f>
        <v>7.3023303910919749E-3</v>
      </c>
      <c r="L56">
        <f>+'5% CO Elab'!AB56</f>
        <v>3.2405670644988164E-4</v>
      </c>
      <c r="M56" s="20">
        <v>14</v>
      </c>
      <c r="N56" s="20" t="s">
        <v>309</v>
      </c>
      <c r="O56" s="20" t="s">
        <v>310</v>
      </c>
      <c r="P56" s="20">
        <v>43</v>
      </c>
      <c r="Q56" s="20" t="s">
        <v>42</v>
      </c>
      <c r="R56" s="20" t="s">
        <v>311</v>
      </c>
      <c r="S56" s="20">
        <v>1</v>
      </c>
      <c r="T56" s="20" t="s">
        <v>247</v>
      </c>
      <c r="U56" s="20" t="s">
        <v>310</v>
      </c>
      <c r="V56" s="20">
        <v>28</v>
      </c>
      <c r="W56" s="20" t="s">
        <v>312</v>
      </c>
      <c r="X56" s="1"/>
      <c r="Y56">
        <f>+'5% CO Elab'!AA56</f>
        <v>9.2087225187099529E-4</v>
      </c>
      <c r="Z56" s="20">
        <f t="shared" si="8"/>
        <v>14</v>
      </c>
      <c r="AA56" s="20" t="s">
        <v>41</v>
      </c>
      <c r="AB56" s="20" t="str">
        <f t="shared" si="24"/>
        <v>+</v>
      </c>
      <c r="AC56" s="20">
        <f t="shared" si="9"/>
        <v>29</v>
      </c>
      <c r="AD56" s="20" t="str">
        <f t="shared" si="25"/>
        <v>H2</v>
      </c>
      <c r="AE56" s="20" t="str">
        <f t="shared" si="11"/>
        <v>=</v>
      </c>
      <c r="AF56" s="20">
        <f t="shared" si="1"/>
        <v>1</v>
      </c>
      <c r="AG56" s="20" t="str">
        <f t="shared" si="2"/>
        <v>C14H30</v>
      </c>
      <c r="AH56" s="20" t="str">
        <f t="shared" si="3"/>
        <v>+</v>
      </c>
      <c r="AI56" s="20">
        <f t="shared" si="22"/>
        <v>14</v>
      </c>
      <c r="AJ56" s="20" t="str">
        <f t="shared" si="12"/>
        <v>H2O</v>
      </c>
      <c r="AL56">
        <f t="shared" si="13"/>
        <v>9.0735877805966855E-3</v>
      </c>
      <c r="AM56">
        <f t="shared" si="14"/>
        <v>1.2892211526193935E-2</v>
      </c>
      <c r="AP56">
        <f>+'10% CO Elab'!S56</f>
        <v>14</v>
      </c>
      <c r="AQ56" t="str">
        <f>+'10% CO Elab'!T56</f>
        <v>2-METHYLTRIDECANE</v>
      </c>
      <c r="AR56" t="str">
        <f>+'10% CO Elab'!U56</f>
        <v>C14H30-N1</v>
      </c>
      <c r="AS56" t="str">
        <f>+'10% CO Elab'!V56</f>
        <v>C14-IP</v>
      </c>
      <c r="AT56">
        <f>+'10% CO Elab'!W56</f>
        <v>6.71357059389274E-3</v>
      </c>
      <c r="AU56">
        <f>+'10% CO Elab'!X56</f>
        <v>9.3989988314498354E-2</v>
      </c>
      <c r="AW56">
        <f>+'10% CO Elab'!AB56</f>
        <v>1.7063324498228953E-4</v>
      </c>
      <c r="AX56" s="20">
        <v>14</v>
      </c>
      <c r="AY56" s="20" t="s">
        <v>309</v>
      </c>
      <c r="AZ56" s="20" t="s">
        <v>310</v>
      </c>
      <c r="BA56" s="20">
        <v>43</v>
      </c>
      <c r="BB56" s="20" t="s">
        <v>42</v>
      </c>
      <c r="BC56" s="20" t="s">
        <v>311</v>
      </c>
      <c r="BD56" s="20">
        <v>1</v>
      </c>
      <c r="BE56" s="20" t="s">
        <v>247</v>
      </c>
      <c r="BF56" s="20" t="s">
        <v>310</v>
      </c>
      <c r="BG56" s="20">
        <v>28</v>
      </c>
      <c r="BH56" s="20" t="s">
        <v>312</v>
      </c>
      <c r="BI56" s="1"/>
      <c r="BJ56">
        <f>+'10% CO Elab'!AA56</f>
        <v>8.517024371403431E-4</v>
      </c>
      <c r="BK56" s="20">
        <f t="shared" si="15"/>
        <v>14</v>
      </c>
      <c r="BL56" s="20" t="s">
        <v>41</v>
      </c>
      <c r="BM56" s="20" t="str">
        <f t="shared" si="26"/>
        <v>+</v>
      </c>
      <c r="BN56" s="20">
        <f t="shared" si="16"/>
        <v>29</v>
      </c>
      <c r="BO56" s="20" t="str">
        <f t="shared" si="27"/>
        <v>H2</v>
      </c>
      <c r="BP56" s="20" t="str">
        <f t="shared" si="18"/>
        <v>=</v>
      </c>
      <c r="BQ56" s="20">
        <f t="shared" si="5"/>
        <v>1</v>
      </c>
      <c r="BR56" s="20" t="str">
        <f t="shared" si="6"/>
        <v>C14H30</v>
      </c>
      <c r="BS56" s="20" t="str">
        <f t="shared" si="7"/>
        <v>+</v>
      </c>
      <c r="BT56" s="20">
        <f t="shared" si="23"/>
        <v>14</v>
      </c>
      <c r="BU56" s="20" t="str">
        <f t="shared" si="19"/>
        <v>H2O</v>
      </c>
      <c r="BW56">
        <f t="shared" si="20"/>
        <v>4.7777308595041068E-3</v>
      </c>
      <c r="BX56">
        <f t="shared" si="21"/>
        <v>1.1923834119964803E-2</v>
      </c>
    </row>
    <row r="57" spans="5:76" x14ac:dyDescent="0.2">
      <c r="E57">
        <f>+'5% CO Elab'!R57</f>
        <v>52</v>
      </c>
      <c r="F57">
        <f>+'5% CO Elab'!S57</f>
        <v>14</v>
      </c>
      <c r="G57" t="str">
        <f>+'5% CO Elab'!T57</f>
        <v>N-TETRADECANE</v>
      </c>
      <c r="H57" t="str">
        <f>+'5% CO Elab'!U57</f>
        <v>C14H30</v>
      </c>
      <c r="I57" t="str">
        <f>+'5% CO Elab'!V57</f>
        <v xml:space="preserve"> C14 </v>
      </c>
      <c r="J57">
        <f>+'5% CO Elab'!W57</f>
        <v>9.5267975193434815E-2</v>
      </c>
      <c r="L57">
        <f>+'5% CO Elab'!AB57</f>
        <v>4.2277224691167313E-3</v>
      </c>
      <c r="M57" s="20">
        <v>14</v>
      </c>
      <c r="N57" s="20" t="s">
        <v>309</v>
      </c>
      <c r="O57" s="20" t="s">
        <v>310</v>
      </c>
      <c r="P57" s="20">
        <v>43</v>
      </c>
      <c r="Q57" s="20" t="s">
        <v>42</v>
      </c>
      <c r="R57" s="20" t="s">
        <v>311</v>
      </c>
      <c r="S57" s="20">
        <v>1</v>
      </c>
      <c r="T57" s="20" t="s">
        <v>247</v>
      </c>
      <c r="U57" s="20" t="s">
        <v>310</v>
      </c>
      <c r="V57" s="20">
        <v>28</v>
      </c>
      <c r="W57" s="20" t="s">
        <v>312</v>
      </c>
      <c r="X57" s="1"/>
      <c r="Y57">
        <f>+'5% CO Elab'!AA57</f>
        <v>1.2013922973765851E-2</v>
      </c>
      <c r="Z57" s="20">
        <f t="shared" si="8"/>
        <v>14</v>
      </c>
      <c r="AA57" s="20" t="s">
        <v>41</v>
      </c>
      <c r="AB57" s="20" t="str">
        <f t="shared" si="24"/>
        <v>+</v>
      </c>
      <c r="AC57" s="20">
        <f t="shared" si="9"/>
        <v>29</v>
      </c>
      <c r="AD57" s="20" t="str">
        <f t="shared" si="25"/>
        <v>H2</v>
      </c>
      <c r="AE57" s="20" t="str">
        <f t="shared" si="11"/>
        <v>=</v>
      </c>
      <c r="AF57" s="20">
        <f t="shared" si="1"/>
        <v>1</v>
      </c>
      <c r="AG57" s="20" t="str">
        <f t="shared" si="2"/>
        <v>C14H30</v>
      </c>
      <c r="AH57" s="20" t="str">
        <f t="shared" si="3"/>
        <v>+</v>
      </c>
      <c r="AI57" s="20">
        <f t="shared" si="22"/>
        <v>14</v>
      </c>
      <c r="AJ57" s="20" t="str">
        <f t="shared" si="12"/>
        <v>H2O</v>
      </c>
      <c r="AL57">
        <f t="shared" si="13"/>
        <v>0.11837622913526848</v>
      </c>
      <c r="AM57">
        <f t="shared" si="14"/>
        <v>0.1681949216327219</v>
      </c>
      <c r="AP57">
        <f>+'10% CO Elab'!S57</f>
        <v>14</v>
      </c>
      <c r="AQ57" t="str">
        <f>+'10% CO Elab'!T57</f>
        <v>N-TETRADECANE</v>
      </c>
      <c r="AR57" t="str">
        <f>+'10% CO Elab'!U57</f>
        <v>C14H30</v>
      </c>
      <c r="AS57" t="str">
        <f>+'10% CO Elab'!V57</f>
        <v xml:space="preserve"> C14 </v>
      </c>
      <c r="AT57">
        <f>+'10% CO Elab'!W57</f>
        <v>0.12105812565802891</v>
      </c>
      <c r="AU57">
        <f>+'10% CO Elab'!X57</f>
        <v>1.6948137592124048</v>
      </c>
      <c r="AW57">
        <f>+'10% CO Elab'!AB57</f>
        <v>3.0768337836939207E-3</v>
      </c>
      <c r="AX57" s="20">
        <v>14</v>
      </c>
      <c r="AY57" s="20" t="s">
        <v>309</v>
      </c>
      <c r="AZ57" s="20" t="s">
        <v>310</v>
      </c>
      <c r="BA57" s="20">
        <v>43</v>
      </c>
      <c r="BB57" s="20" t="s">
        <v>42</v>
      </c>
      <c r="BC57" s="20" t="s">
        <v>311</v>
      </c>
      <c r="BD57" s="20">
        <v>1</v>
      </c>
      <c r="BE57" s="20" t="s">
        <v>247</v>
      </c>
      <c r="BF57" s="20" t="s">
        <v>310</v>
      </c>
      <c r="BG57" s="20">
        <v>28</v>
      </c>
      <c r="BH57" s="20" t="s">
        <v>312</v>
      </c>
      <c r="BI57" s="1"/>
      <c r="BJ57">
        <f>+'10% CO Elab'!AA57</f>
        <v>1.5357774110899952E-2</v>
      </c>
      <c r="BK57" s="20">
        <f t="shared" si="15"/>
        <v>14</v>
      </c>
      <c r="BL57" s="20" t="s">
        <v>41</v>
      </c>
      <c r="BM57" s="20" t="str">
        <f t="shared" si="26"/>
        <v>+</v>
      </c>
      <c r="BN57" s="20">
        <f t="shared" si="16"/>
        <v>29</v>
      </c>
      <c r="BO57" s="20" t="str">
        <f t="shared" si="27"/>
        <v>H2</v>
      </c>
      <c r="BP57" s="20" t="str">
        <f t="shared" si="18"/>
        <v>=</v>
      </c>
      <c r="BQ57" s="20">
        <f t="shared" si="5"/>
        <v>1</v>
      </c>
      <c r="BR57" s="20" t="str">
        <f t="shared" si="6"/>
        <v>C14H30</v>
      </c>
      <c r="BS57" s="20" t="str">
        <f t="shared" si="7"/>
        <v>+</v>
      </c>
      <c r="BT57" s="20">
        <f t="shared" si="23"/>
        <v>14</v>
      </c>
      <c r="BU57" s="20" t="str">
        <f t="shared" si="19"/>
        <v>H2O</v>
      </c>
      <c r="BW57">
        <f t="shared" si="20"/>
        <v>8.6151345943429783E-2</v>
      </c>
      <c r="BX57">
        <f t="shared" si="21"/>
        <v>0.21500883755259934</v>
      </c>
    </row>
    <row r="58" spans="5:76" x14ac:dyDescent="0.2">
      <c r="E58">
        <f>+'5% CO Elab'!R58</f>
        <v>53</v>
      </c>
      <c r="F58">
        <f>+'5% CO Elab'!S58</f>
        <v>15</v>
      </c>
      <c r="G58" t="str">
        <f>+'5% CO Elab'!T58</f>
        <v>2-METHYLTETRADECANE</v>
      </c>
      <c r="H58" t="str">
        <f>+'5% CO Elab'!U58</f>
        <v>C15H32-N1</v>
      </c>
      <c r="I58" t="str">
        <f>+'5% CO Elab'!V58</f>
        <v xml:space="preserve">C15-IP </v>
      </c>
      <c r="J58">
        <f>+'5% CO Elab'!W58</f>
        <v>5.7597529558558449E-3</v>
      </c>
      <c r="L58">
        <f>+'5% CO Elab'!AB58</f>
        <v>2.7385874580088842E-4</v>
      </c>
      <c r="M58" s="20">
        <v>15</v>
      </c>
      <c r="N58" s="20" t="s">
        <v>309</v>
      </c>
      <c r="O58" s="20" t="s">
        <v>310</v>
      </c>
      <c r="P58" s="20">
        <v>46</v>
      </c>
      <c r="Q58" s="20" t="s">
        <v>42</v>
      </c>
      <c r="R58" s="20" t="s">
        <v>311</v>
      </c>
      <c r="S58" s="20">
        <v>1</v>
      </c>
      <c r="T58" s="20" t="s">
        <v>253</v>
      </c>
      <c r="U58" s="20" t="s">
        <v>310</v>
      </c>
      <c r="V58" s="20">
        <v>30</v>
      </c>
      <c r="W58" s="20" t="s">
        <v>312</v>
      </c>
      <c r="X58" s="1"/>
      <c r="Y58">
        <f>+'5% CO Elab'!AA58</f>
        <v>7.7822465920554561E-4</v>
      </c>
      <c r="Z58" s="20">
        <f t="shared" si="8"/>
        <v>15</v>
      </c>
      <c r="AA58" s="20" t="s">
        <v>41</v>
      </c>
      <c r="AB58" s="20" t="str">
        <f t="shared" si="24"/>
        <v>+</v>
      </c>
      <c r="AC58" s="20">
        <f t="shared" si="9"/>
        <v>31</v>
      </c>
      <c r="AD58" s="20" t="str">
        <f t="shared" si="25"/>
        <v>H2</v>
      </c>
      <c r="AE58" s="20" t="str">
        <f t="shared" si="11"/>
        <v>=</v>
      </c>
      <c r="AF58" s="20">
        <f t="shared" si="1"/>
        <v>1</v>
      </c>
      <c r="AG58" s="20" t="str">
        <f t="shared" si="2"/>
        <v>C15H32</v>
      </c>
      <c r="AH58" s="20" t="str">
        <f t="shared" si="3"/>
        <v>+</v>
      </c>
      <c r="AI58" s="20">
        <f t="shared" si="22"/>
        <v>15</v>
      </c>
      <c r="AJ58" s="20" t="str">
        <f t="shared" si="12"/>
        <v>H2O</v>
      </c>
      <c r="AL58">
        <f t="shared" si="13"/>
        <v>8.2157623740266531E-3</v>
      </c>
      <c r="AM58">
        <f t="shared" si="14"/>
        <v>1.1673369888083185E-2</v>
      </c>
      <c r="AP58">
        <f>+'10% CO Elab'!S58</f>
        <v>15</v>
      </c>
      <c r="AQ58" t="str">
        <f>+'10% CO Elab'!T58</f>
        <v>2-METHYLTETRADECANE</v>
      </c>
      <c r="AR58" t="str">
        <f>+'10% CO Elab'!U58</f>
        <v>C15H32-N1</v>
      </c>
      <c r="AS58" t="str">
        <f>+'10% CO Elab'!V58</f>
        <v xml:space="preserve">C15-IP </v>
      </c>
      <c r="AT58">
        <f>+'10% CO Elab'!W58</f>
        <v>5.2953654520605962E-3</v>
      </c>
      <c r="AU58">
        <f>+'10% CO Elab'!X58</f>
        <v>7.9430481780908946E-2</v>
      </c>
      <c r="AW58">
        <f>+'10% CO Elab'!AB58</f>
        <v>1.4420132505423919E-4</v>
      </c>
      <c r="AX58" s="20">
        <v>15</v>
      </c>
      <c r="AY58" s="20" t="s">
        <v>309</v>
      </c>
      <c r="AZ58" s="20" t="s">
        <v>310</v>
      </c>
      <c r="BA58" s="20">
        <v>46</v>
      </c>
      <c r="BB58" s="20" t="s">
        <v>42</v>
      </c>
      <c r="BC58" s="20" t="s">
        <v>311</v>
      </c>
      <c r="BD58" s="20">
        <v>1</v>
      </c>
      <c r="BE58" s="20" t="s">
        <v>253</v>
      </c>
      <c r="BF58" s="20" t="s">
        <v>310</v>
      </c>
      <c r="BG58" s="20">
        <v>30</v>
      </c>
      <c r="BH58" s="20" t="s">
        <v>312</v>
      </c>
      <c r="BI58" s="1"/>
      <c r="BJ58">
        <f>+'10% CO Elab'!AA58</f>
        <v>7.1976958534844602E-4</v>
      </c>
      <c r="BK58" s="20">
        <f t="shared" si="15"/>
        <v>15</v>
      </c>
      <c r="BL58" s="20" t="s">
        <v>41</v>
      </c>
      <c r="BM58" s="20" t="str">
        <f t="shared" si="26"/>
        <v>+</v>
      </c>
      <c r="BN58" s="20">
        <f t="shared" si="16"/>
        <v>31</v>
      </c>
      <c r="BO58" s="20" t="str">
        <f t="shared" si="27"/>
        <v>H2</v>
      </c>
      <c r="BP58" s="20" t="str">
        <f t="shared" si="18"/>
        <v>=</v>
      </c>
      <c r="BQ58" s="20">
        <f t="shared" si="5"/>
        <v>1</v>
      </c>
      <c r="BR58" s="20" t="str">
        <f t="shared" si="6"/>
        <v>C15H32</v>
      </c>
      <c r="BS58" s="20" t="str">
        <f t="shared" si="7"/>
        <v>+</v>
      </c>
      <c r="BT58" s="20">
        <f t="shared" si="23"/>
        <v>15</v>
      </c>
      <c r="BU58" s="20" t="str">
        <f t="shared" si="19"/>
        <v>H2O</v>
      </c>
      <c r="BW58">
        <f t="shared" si="20"/>
        <v>4.3260397516271757E-3</v>
      </c>
      <c r="BX58">
        <f t="shared" si="21"/>
        <v>1.0796543780226691E-2</v>
      </c>
    </row>
    <row r="59" spans="5:76" x14ac:dyDescent="0.2">
      <c r="E59">
        <f>+'5% CO Elab'!R59</f>
        <v>54</v>
      </c>
      <c r="F59">
        <f>+'5% CO Elab'!S59</f>
        <v>15</v>
      </c>
      <c r="G59" t="str">
        <f>+'5% CO Elab'!T59</f>
        <v>N-PENTADECANE</v>
      </c>
      <c r="H59" t="str">
        <f>+'5% CO Elab'!U59</f>
        <v>C15H32</v>
      </c>
      <c r="I59" t="str">
        <f>+'5% CO Elab'!V59</f>
        <v>C15</v>
      </c>
      <c r="J59">
        <f>+'5% CO Elab'!W59</f>
        <v>8.4583716293236522E-2</v>
      </c>
      <c r="L59">
        <f>+'5% CO Elab'!AB59</f>
        <v>4.0216986104748605E-3</v>
      </c>
      <c r="M59" s="20">
        <v>15</v>
      </c>
      <c r="N59" s="20" t="s">
        <v>309</v>
      </c>
      <c r="O59" s="20" t="s">
        <v>310</v>
      </c>
      <c r="P59" s="20">
        <v>46</v>
      </c>
      <c r="Q59" s="20" t="s">
        <v>42</v>
      </c>
      <c r="R59" s="20" t="s">
        <v>311</v>
      </c>
      <c r="S59" s="20">
        <v>1</v>
      </c>
      <c r="T59" s="20" t="s">
        <v>253</v>
      </c>
      <c r="U59" s="20" t="s">
        <v>310</v>
      </c>
      <c r="V59" s="20">
        <v>30</v>
      </c>
      <c r="W59" s="20" t="s">
        <v>312</v>
      </c>
      <c r="X59" s="1"/>
      <c r="Y59">
        <f>+'5% CO Elab'!AA59</f>
        <v>1.1428464778115044E-2</v>
      </c>
      <c r="Z59" s="20">
        <f t="shared" si="8"/>
        <v>15</v>
      </c>
      <c r="AA59" s="20" t="s">
        <v>41</v>
      </c>
      <c r="AB59" s="20" t="str">
        <f t="shared" si="24"/>
        <v>+</v>
      </c>
      <c r="AC59" s="20">
        <f t="shared" si="9"/>
        <v>31</v>
      </c>
      <c r="AD59" s="20" t="str">
        <f t="shared" si="25"/>
        <v>H2</v>
      </c>
      <c r="AE59" s="20" t="str">
        <f t="shared" si="11"/>
        <v>=</v>
      </c>
      <c r="AF59" s="20">
        <f t="shared" si="1"/>
        <v>1</v>
      </c>
      <c r="AG59" s="20" t="str">
        <f t="shared" si="2"/>
        <v>C15H32</v>
      </c>
      <c r="AH59" s="20" t="str">
        <f t="shared" si="3"/>
        <v>+</v>
      </c>
      <c r="AI59" s="20">
        <f t="shared" si="22"/>
        <v>15</v>
      </c>
      <c r="AJ59" s="20" t="str">
        <f t="shared" si="12"/>
        <v>H2O</v>
      </c>
      <c r="AL59">
        <f t="shared" si="13"/>
        <v>0.12065095831424581</v>
      </c>
      <c r="AM59">
        <f t="shared" si="14"/>
        <v>0.17142697167172566</v>
      </c>
      <c r="AP59">
        <f>+'10% CO Elab'!S59</f>
        <v>15</v>
      </c>
      <c r="AQ59" t="str">
        <f>+'10% CO Elab'!T59</f>
        <v>N-PENTADECANE</v>
      </c>
      <c r="AR59" t="str">
        <f>+'10% CO Elab'!U59</f>
        <v>C15H32</v>
      </c>
      <c r="AS59" t="str">
        <f>+'10% CO Elab'!V59</f>
        <v>C15</v>
      </c>
      <c r="AT59">
        <f>+'10% CO Elab'!W59</f>
        <v>0.10748151343469854</v>
      </c>
      <c r="AU59">
        <f>+'10% CO Elab'!X59</f>
        <v>1.6122227015204782</v>
      </c>
      <c r="AW59">
        <f>+'10% CO Elab'!AB59</f>
        <v>2.9268946206701175E-3</v>
      </c>
      <c r="AX59" s="20">
        <v>15</v>
      </c>
      <c r="AY59" s="20" t="s">
        <v>309</v>
      </c>
      <c r="AZ59" s="20" t="s">
        <v>310</v>
      </c>
      <c r="BA59" s="20">
        <v>46</v>
      </c>
      <c r="BB59" s="20" t="s">
        <v>42</v>
      </c>
      <c r="BC59" s="20" t="s">
        <v>311</v>
      </c>
      <c r="BD59" s="20">
        <v>1</v>
      </c>
      <c r="BE59" s="20" t="s">
        <v>253</v>
      </c>
      <c r="BF59" s="20" t="s">
        <v>310</v>
      </c>
      <c r="BG59" s="20">
        <v>30</v>
      </c>
      <c r="BH59" s="20" t="s">
        <v>312</v>
      </c>
      <c r="BI59" s="1"/>
      <c r="BJ59">
        <f>+'10% CO Elab'!AA59</f>
        <v>1.4609364558099086E-2</v>
      </c>
      <c r="BK59" s="20">
        <f t="shared" si="15"/>
        <v>15</v>
      </c>
      <c r="BL59" s="20" t="s">
        <v>41</v>
      </c>
      <c r="BM59" s="20" t="str">
        <f t="shared" si="26"/>
        <v>+</v>
      </c>
      <c r="BN59" s="20">
        <f t="shared" si="16"/>
        <v>31</v>
      </c>
      <c r="BO59" s="20" t="str">
        <f t="shared" si="27"/>
        <v>H2</v>
      </c>
      <c r="BP59" s="20" t="str">
        <f t="shared" si="18"/>
        <v>=</v>
      </c>
      <c r="BQ59" s="20">
        <f t="shared" si="5"/>
        <v>1</v>
      </c>
      <c r="BR59" s="20" t="str">
        <f t="shared" si="6"/>
        <v>C15H32</v>
      </c>
      <c r="BS59" s="20" t="str">
        <f t="shared" si="7"/>
        <v>+</v>
      </c>
      <c r="BT59" s="20">
        <f t="shared" si="23"/>
        <v>15</v>
      </c>
      <c r="BU59" s="20" t="str">
        <f t="shared" si="19"/>
        <v>H2O</v>
      </c>
      <c r="BW59">
        <f t="shared" si="20"/>
        <v>8.7806838620103522E-2</v>
      </c>
      <c r="BX59">
        <f t="shared" si="21"/>
        <v>0.21914046837148629</v>
      </c>
    </row>
    <row r="60" spans="5:76" x14ac:dyDescent="0.2">
      <c r="E60">
        <f>+'5% CO Elab'!R60</f>
        <v>55</v>
      </c>
      <c r="F60">
        <f>+'5% CO Elab'!S60</f>
        <v>16</v>
      </c>
      <c r="G60" t="str">
        <f>+'5% CO Elab'!T60</f>
        <v>2-METHYLPENTADECANE</v>
      </c>
      <c r="H60" t="str">
        <f>+'5% CO Elab'!U60</f>
        <v>C16H34-N1</v>
      </c>
      <c r="I60" t="str">
        <f>+'5% CO Elab'!V60</f>
        <v>C16-IP</v>
      </c>
      <c r="J60">
        <f>+'5% CO Elab'!W60</f>
        <v>1.4688366534483587E-2</v>
      </c>
      <c r="L60">
        <f>+'5% CO Elab'!AB60</f>
        <v>7.4494632767798741E-4</v>
      </c>
      <c r="M60" s="20">
        <v>16</v>
      </c>
      <c r="N60" s="20" t="s">
        <v>309</v>
      </c>
      <c r="O60" s="20" t="s">
        <v>310</v>
      </c>
      <c r="P60" s="20">
        <v>49</v>
      </c>
      <c r="Q60" s="20" t="s">
        <v>42</v>
      </c>
      <c r="R60" s="20" t="s">
        <v>311</v>
      </c>
      <c r="S60" s="20">
        <v>1</v>
      </c>
      <c r="T60" s="20" t="s">
        <v>259</v>
      </c>
      <c r="U60" s="20" t="s">
        <v>310</v>
      </c>
      <c r="V60" s="20">
        <v>32</v>
      </c>
      <c r="W60" s="20" t="s">
        <v>312</v>
      </c>
      <c r="X60" s="1"/>
      <c r="Y60">
        <f>+'5% CO Elab'!AA60</f>
        <v>2.1169146900465491E-3</v>
      </c>
      <c r="Z60" s="20">
        <f t="shared" si="8"/>
        <v>16</v>
      </c>
      <c r="AA60" s="20" t="s">
        <v>41</v>
      </c>
      <c r="AB60" s="20" t="str">
        <f t="shared" si="24"/>
        <v>+</v>
      </c>
      <c r="AC60" s="20">
        <f t="shared" si="9"/>
        <v>33</v>
      </c>
      <c r="AD60" s="20" t="str">
        <f t="shared" si="25"/>
        <v>H2</v>
      </c>
      <c r="AE60" s="20" t="str">
        <f t="shared" si="11"/>
        <v>=</v>
      </c>
      <c r="AF60" s="20">
        <f t="shared" si="1"/>
        <v>1</v>
      </c>
      <c r="AG60" s="20" t="str">
        <f t="shared" si="2"/>
        <v>C16H34</v>
      </c>
      <c r="AH60" s="20" t="str">
        <f t="shared" si="3"/>
        <v>+</v>
      </c>
      <c r="AI60" s="20">
        <f t="shared" si="22"/>
        <v>16</v>
      </c>
      <c r="AJ60" s="20" t="str">
        <f t="shared" si="12"/>
        <v>H2O</v>
      </c>
      <c r="AL60">
        <f t="shared" si="13"/>
        <v>2.3838282485695597E-2</v>
      </c>
      <c r="AM60">
        <f t="shared" si="14"/>
        <v>3.3870635040744786E-2</v>
      </c>
      <c r="AP60">
        <f>+'10% CO Elab'!S60</f>
        <v>16</v>
      </c>
      <c r="AQ60" t="str">
        <f>+'10% CO Elab'!T60</f>
        <v>2-METHYLPENTADECANE</v>
      </c>
      <c r="AR60" t="str">
        <f>+'10% CO Elab'!U60</f>
        <v>C16H34-N1</v>
      </c>
      <c r="AS60" t="str">
        <f>+'10% CO Elab'!V60</f>
        <v>C16-IP</v>
      </c>
      <c r="AT60">
        <f>+'10% CO Elab'!W60</f>
        <v>1.3504098055946915E-2</v>
      </c>
      <c r="AU60">
        <f>+'10% CO Elab'!X60</f>
        <v>0.21606556889515063</v>
      </c>
      <c r="AW60">
        <f>+'10% CO Elab'!AB60</f>
        <v>3.9225421569540671E-4</v>
      </c>
      <c r="AX60" s="20">
        <v>16</v>
      </c>
      <c r="AY60" s="20" t="s">
        <v>309</v>
      </c>
      <c r="AZ60" s="20" t="s">
        <v>310</v>
      </c>
      <c r="BA60" s="20">
        <v>49</v>
      </c>
      <c r="BB60" s="20" t="s">
        <v>42</v>
      </c>
      <c r="BC60" s="20" t="s">
        <v>311</v>
      </c>
      <c r="BD60" s="20">
        <v>1</v>
      </c>
      <c r="BE60" s="20" t="s">
        <v>259</v>
      </c>
      <c r="BF60" s="20" t="s">
        <v>310</v>
      </c>
      <c r="BG60" s="20">
        <v>32</v>
      </c>
      <c r="BH60" s="20" t="s">
        <v>312</v>
      </c>
      <c r="BI60" s="1"/>
      <c r="BJ60">
        <f>+'10% CO Elab'!AA60</f>
        <v>1.9579061015983562E-3</v>
      </c>
      <c r="BK60" s="20">
        <f t="shared" si="15"/>
        <v>16</v>
      </c>
      <c r="BL60" s="20" t="s">
        <v>41</v>
      </c>
      <c r="BM60" s="20" t="str">
        <f t="shared" si="26"/>
        <v>+</v>
      </c>
      <c r="BN60" s="20">
        <f t="shared" si="16"/>
        <v>33</v>
      </c>
      <c r="BO60" s="20" t="str">
        <f t="shared" si="27"/>
        <v>H2</v>
      </c>
      <c r="BP60" s="20" t="str">
        <f t="shared" si="18"/>
        <v>=</v>
      </c>
      <c r="BQ60" s="20">
        <f t="shared" si="5"/>
        <v>1</v>
      </c>
      <c r="BR60" s="20" t="str">
        <f t="shared" si="6"/>
        <v>C16H34</v>
      </c>
      <c r="BS60" s="20" t="str">
        <f t="shared" si="7"/>
        <v>+</v>
      </c>
      <c r="BT60" s="20">
        <f t="shared" si="23"/>
        <v>16</v>
      </c>
      <c r="BU60" s="20" t="str">
        <f t="shared" si="19"/>
        <v>H2O</v>
      </c>
      <c r="BW60">
        <f t="shared" si="20"/>
        <v>1.2552134902253015E-2</v>
      </c>
      <c r="BX60">
        <f t="shared" si="21"/>
        <v>3.1326497625573699E-2</v>
      </c>
    </row>
    <row r="61" spans="5:76" x14ac:dyDescent="0.2">
      <c r="E61">
        <f>+'5% CO Elab'!R61</f>
        <v>56</v>
      </c>
      <c r="F61">
        <f>+'5% CO Elab'!S61</f>
        <v>16</v>
      </c>
      <c r="G61" t="str">
        <f>+'5% CO Elab'!T61</f>
        <v>N-HEXADECANE</v>
      </c>
      <c r="H61" t="str">
        <f>+'5% CO Elab'!U61</f>
        <v>C16H34</v>
      </c>
      <c r="I61" t="str">
        <f>+'5% CO Elab'!V61</f>
        <v>C16</v>
      </c>
      <c r="J61">
        <f>+'5% CO Elab'!W61</f>
        <v>6.8557327942939089E-2</v>
      </c>
      <c r="L61">
        <f>+'5% CO Elab'!AB61</f>
        <v>3.477005395161424E-3</v>
      </c>
      <c r="M61" s="20">
        <v>16</v>
      </c>
      <c r="N61" s="20" t="s">
        <v>309</v>
      </c>
      <c r="O61" s="20" t="s">
        <v>310</v>
      </c>
      <c r="P61" s="20">
        <v>49</v>
      </c>
      <c r="Q61" s="20" t="s">
        <v>42</v>
      </c>
      <c r="R61" s="20" t="s">
        <v>311</v>
      </c>
      <c r="S61" s="20">
        <v>1</v>
      </c>
      <c r="T61" s="20" t="s">
        <v>259</v>
      </c>
      <c r="U61" s="20" t="s">
        <v>310</v>
      </c>
      <c r="V61" s="20">
        <v>32</v>
      </c>
      <c r="W61" s="20" t="s">
        <v>312</v>
      </c>
      <c r="X61" s="1"/>
      <c r="Y61">
        <f>+'5% CO Elab'!AA61</f>
        <v>9.8806095485177107E-3</v>
      </c>
      <c r="Z61" s="20">
        <f t="shared" si="8"/>
        <v>16</v>
      </c>
      <c r="AA61" s="20" t="s">
        <v>41</v>
      </c>
      <c r="AB61" s="20" t="str">
        <f t="shared" si="24"/>
        <v>+</v>
      </c>
      <c r="AC61" s="20">
        <f t="shared" si="9"/>
        <v>33</v>
      </c>
      <c r="AD61" s="20" t="str">
        <f t="shared" si="25"/>
        <v>H2</v>
      </c>
      <c r="AE61" s="20" t="str">
        <f t="shared" si="11"/>
        <v>=</v>
      </c>
      <c r="AF61" s="20">
        <f t="shared" si="1"/>
        <v>1</v>
      </c>
      <c r="AG61" s="20" t="str">
        <f t="shared" si="2"/>
        <v>C16H34</v>
      </c>
      <c r="AH61" s="20" t="str">
        <f t="shared" si="3"/>
        <v>+</v>
      </c>
      <c r="AI61" s="20">
        <f t="shared" si="22"/>
        <v>16</v>
      </c>
      <c r="AJ61" s="20" t="str">
        <f t="shared" si="12"/>
        <v>H2O</v>
      </c>
      <c r="AL61">
        <f t="shared" si="13"/>
        <v>0.11126417264516557</v>
      </c>
      <c r="AM61">
        <f t="shared" si="14"/>
        <v>0.15808975277628337</v>
      </c>
      <c r="AP61">
        <f>+'10% CO Elab'!S61</f>
        <v>16</v>
      </c>
      <c r="AQ61" t="str">
        <f>+'10% CO Elab'!T61</f>
        <v>N-HEXADECANE</v>
      </c>
      <c r="AR61" t="str">
        <f>+'10% CO Elab'!U61</f>
        <v>C16H34</v>
      </c>
      <c r="AS61" t="str">
        <f>+'10% CO Elab'!V61</f>
        <v>C16</v>
      </c>
      <c r="AT61">
        <f>+'10% CO Elab'!W61</f>
        <v>8.7116595099703056E-2</v>
      </c>
      <c r="AU61">
        <f>+'10% CO Elab'!X61</f>
        <v>1.3938655215952489</v>
      </c>
      <c r="AW61">
        <f>+'10% CO Elab'!AB61</f>
        <v>2.5304801211688322E-3</v>
      </c>
      <c r="AX61" s="20">
        <v>16</v>
      </c>
      <c r="AY61" s="20" t="s">
        <v>309</v>
      </c>
      <c r="AZ61" s="20" t="s">
        <v>310</v>
      </c>
      <c r="BA61" s="20">
        <v>49</v>
      </c>
      <c r="BB61" s="20" t="s">
        <v>42</v>
      </c>
      <c r="BC61" s="20" t="s">
        <v>311</v>
      </c>
      <c r="BD61" s="20">
        <v>1</v>
      </c>
      <c r="BE61" s="20" t="s">
        <v>259</v>
      </c>
      <c r="BF61" s="20" t="s">
        <v>310</v>
      </c>
      <c r="BG61" s="20">
        <v>32</v>
      </c>
      <c r="BH61" s="20" t="s">
        <v>312</v>
      </c>
      <c r="BI61" s="1"/>
      <c r="BJ61">
        <f>+'10% CO Elab'!AA61</f>
        <v>1.2630692726721458E-2</v>
      </c>
      <c r="BK61" s="20">
        <f t="shared" si="15"/>
        <v>16</v>
      </c>
      <c r="BL61" s="20" t="s">
        <v>41</v>
      </c>
      <c r="BM61" s="20" t="str">
        <f t="shared" si="26"/>
        <v>+</v>
      </c>
      <c r="BN61" s="20">
        <f t="shared" si="16"/>
        <v>33</v>
      </c>
      <c r="BO61" s="20" t="str">
        <f t="shared" si="27"/>
        <v>H2</v>
      </c>
      <c r="BP61" s="20" t="str">
        <f t="shared" si="18"/>
        <v>=</v>
      </c>
      <c r="BQ61" s="20">
        <f t="shared" si="5"/>
        <v>1</v>
      </c>
      <c r="BR61" s="20" t="str">
        <f t="shared" si="6"/>
        <v>C16H34</v>
      </c>
      <c r="BS61" s="20" t="str">
        <f t="shared" si="7"/>
        <v>+</v>
      </c>
      <c r="BT61" s="20">
        <f t="shared" si="23"/>
        <v>16</v>
      </c>
      <c r="BU61" s="20" t="str">
        <f t="shared" si="19"/>
        <v>H2O</v>
      </c>
      <c r="BW61">
        <f t="shared" si="20"/>
        <v>8.0975363877402631E-2</v>
      </c>
      <c r="BX61">
        <f t="shared" si="21"/>
        <v>0.20209108362754333</v>
      </c>
    </row>
    <row r="62" spans="5:76" x14ac:dyDescent="0.2">
      <c r="E62">
        <f>+'5% CO Elab'!R62</f>
        <v>57</v>
      </c>
      <c r="F62">
        <f>+'5% CO Elab'!S62</f>
        <v>17</v>
      </c>
      <c r="G62" t="str">
        <f>+'5% CO Elab'!T62</f>
        <v>14-METHYLHEXADECANE</v>
      </c>
      <c r="H62" t="str">
        <f>+'5% CO Elab'!U62</f>
        <v>C17H36-N10</v>
      </c>
      <c r="I62" t="str">
        <f>+'5% CO Elab'!V62</f>
        <v>C17-IP</v>
      </c>
      <c r="J62">
        <f>+'5% CO Elab'!W62</f>
        <v>5.4408738994762822E-3</v>
      </c>
      <c r="L62">
        <f>+'5% CO Elab'!AB62</f>
        <v>2.9318995138683348E-4</v>
      </c>
      <c r="M62" s="20">
        <v>17</v>
      </c>
      <c r="N62" s="20" t="s">
        <v>309</v>
      </c>
      <c r="O62" s="20" t="s">
        <v>310</v>
      </c>
      <c r="P62" s="20">
        <v>52</v>
      </c>
      <c r="Q62" s="20" t="s">
        <v>42</v>
      </c>
      <c r="R62" s="20" t="s">
        <v>311</v>
      </c>
      <c r="S62" s="20">
        <v>1</v>
      </c>
      <c r="T62" s="20" t="s">
        <v>265</v>
      </c>
      <c r="U62" s="20" t="s">
        <v>310</v>
      </c>
      <c r="V62" s="20">
        <v>34</v>
      </c>
      <c r="W62" s="20" t="s">
        <v>312</v>
      </c>
      <c r="X62" s="1"/>
      <c r="Y62">
        <f>+'5% CO Elab'!AA62</f>
        <v>8.3315816456123104E-4</v>
      </c>
      <c r="Z62" s="20">
        <f t="shared" si="8"/>
        <v>17</v>
      </c>
      <c r="AA62" s="20" t="s">
        <v>41</v>
      </c>
      <c r="AB62" s="20" t="str">
        <f t="shared" si="24"/>
        <v>+</v>
      </c>
      <c r="AC62" s="20">
        <f t="shared" si="9"/>
        <v>35</v>
      </c>
      <c r="AD62" s="20" t="str">
        <f t="shared" si="25"/>
        <v>H2</v>
      </c>
      <c r="AE62" s="20" t="str">
        <f t="shared" si="11"/>
        <v>=</v>
      </c>
      <c r="AF62" s="20">
        <f t="shared" si="1"/>
        <v>1</v>
      </c>
      <c r="AG62" s="20" t="str">
        <f t="shared" si="2"/>
        <v>C17H36</v>
      </c>
      <c r="AH62" s="20" t="str">
        <f t="shared" si="3"/>
        <v>+</v>
      </c>
      <c r="AI62" s="20">
        <f t="shared" si="22"/>
        <v>17</v>
      </c>
      <c r="AJ62" s="20" t="str">
        <f t="shared" si="12"/>
        <v>H2O</v>
      </c>
      <c r="AL62">
        <f t="shared" si="13"/>
        <v>9.9684583471523376E-3</v>
      </c>
      <c r="AM62">
        <f t="shared" si="14"/>
        <v>1.4163688797540928E-2</v>
      </c>
      <c r="AP62">
        <f>+'10% CO Elab'!S62</f>
        <v>17</v>
      </c>
      <c r="AQ62" t="str">
        <f>+'10% CO Elab'!T62</f>
        <v>14-METHYLHEXADECANE</v>
      </c>
      <c r="AR62" t="str">
        <f>+'10% CO Elab'!U62</f>
        <v>C17H36-N10</v>
      </c>
      <c r="AS62" t="str">
        <f>+'10% CO Elab'!V62</f>
        <v>C17-IP</v>
      </c>
      <c r="AT62">
        <f>+'10% CO Elab'!W62</f>
        <v>5.0021964304932274E-3</v>
      </c>
      <c r="AU62">
        <f>+'10% CO Elab'!X62</f>
        <v>8.5037339318384864E-2</v>
      </c>
      <c r="AW62">
        <f>+'10% CO Elab'!AB62</f>
        <v>1.5438024211689136E-4</v>
      </c>
      <c r="AX62" s="20">
        <v>17</v>
      </c>
      <c r="AY62" s="20" t="s">
        <v>309</v>
      </c>
      <c r="AZ62" s="20" t="s">
        <v>310</v>
      </c>
      <c r="BA62" s="20">
        <v>52</v>
      </c>
      <c r="BB62" s="20" t="s">
        <v>42</v>
      </c>
      <c r="BC62" s="20" t="s">
        <v>311</v>
      </c>
      <c r="BD62" s="20">
        <v>1</v>
      </c>
      <c r="BE62" s="20" t="s">
        <v>265</v>
      </c>
      <c r="BF62" s="20" t="s">
        <v>310</v>
      </c>
      <c r="BG62" s="20">
        <v>34</v>
      </c>
      <c r="BH62" s="20" t="s">
        <v>312</v>
      </c>
      <c r="BI62" s="1"/>
      <c r="BJ62">
        <f>+'10% CO Elab'!AA62</f>
        <v>7.7057685019657159E-4</v>
      </c>
      <c r="BK62" s="20">
        <f t="shared" si="15"/>
        <v>17</v>
      </c>
      <c r="BL62" s="20" t="s">
        <v>41</v>
      </c>
      <c r="BM62" s="20" t="str">
        <f t="shared" si="26"/>
        <v>+</v>
      </c>
      <c r="BN62" s="20">
        <f t="shared" si="16"/>
        <v>35</v>
      </c>
      <c r="BO62" s="20" t="str">
        <f t="shared" si="27"/>
        <v>H2</v>
      </c>
      <c r="BP62" s="20" t="str">
        <f t="shared" si="18"/>
        <v>=</v>
      </c>
      <c r="BQ62" s="20">
        <f t="shared" si="5"/>
        <v>1</v>
      </c>
      <c r="BR62" s="20" t="str">
        <f t="shared" si="6"/>
        <v>C17H36</v>
      </c>
      <c r="BS62" s="20" t="str">
        <f t="shared" si="7"/>
        <v>+</v>
      </c>
      <c r="BT62" s="20">
        <f t="shared" si="23"/>
        <v>17</v>
      </c>
      <c r="BU62" s="20" t="str">
        <f t="shared" si="19"/>
        <v>H2O</v>
      </c>
      <c r="BW62">
        <f t="shared" si="20"/>
        <v>5.248928231974306E-3</v>
      </c>
      <c r="BX62">
        <f t="shared" si="21"/>
        <v>1.3099806453341717E-2</v>
      </c>
    </row>
    <row r="63" spans="5:76" x14ac:dyDescent="0.2">
      <c r="E63">
        <f>+'5% CO Elab'!R63</f>
        <v>58</v>
      </c>
      <c r="F63">
        <f>+'5% CO Elab'!S63</f>
        <v>17</v>
      </c>
      <c r="G63" t="str">
        <f>+'5% CO Elab'!T63</f>
        <v>N-HEPTADECANE</v>
      </c>
      <c r="H63" t="str">
        <f>+'5% CO Elab'!U63</f>
        <v>C17H36</v>
      </c>
      <c r="I63" t="str">
        <f>+'5% CO Elab'!V63</f>
        <v>C17</v>
      </c>
      <c r="J63">
        <f>+'5% CO Elab'!W63</f>
        <v>5.9653778859440378E-2</v>
      </c>
      <c r="L63">
        <f>+'5% CO Elab'!AB63</f>
        <v>3.2145366437409529E-3</v>
      </c>
      <c r="M63" s="20">
        <v>17</v>
      </c>
      <c r="N63" s="20" t="s">
        <v>309</v>
      </c>
      <c r="O63" s="20" t="s">
        <v>310</v>
      </c>
      <c r="P63" s="20">
        <v>52</v>
      </c>
      <c r="Q63" s="20" t="s">
        <v>42</v>
      </c>
      <c r="R63" s="20" t="s">
        <v>311</v>
      </c>
      <c r="S63" s="20">
        <v>1</v>
      </c>
      <c r="T63" s="20" t="s">
        <v>265</v>
      </c>
      <c r="U63" s="20" t="s">
        <v>310</v>
      </c>
      <c r="V63" s="20">
        <v>34</v>
      </c>
      <c r="W63" s="20" t="s">
        <v>312</v>
      </c>
      <c r="X63" s="1"/>
      <c r="Y63">
        <f>+'5% CO Elab'!AA63</f>
        <v>9.1347518472091292E-3</v>
      </c>
      <c r="Z63" s="20">
        <f t="shared" si="8"/>
        <v>17</v>
      </c>
      <c r="AA63" s="20" t="s">
        <v>41</v>
      </c>
      <c r="AB63" s="20" t="str">
        <f t="shared" si="24"/>
        <v>+</v>
      </c>
      <c r="AC63" s="20">
        <f t="shared" si="9"/>
        <v>35</v>
      </c>
      <c r="AD63" s="20" t="str">
        <f t="shared" si="25"/>
        <v>H2</v>
      </c>
      <c r="AE63" s="20" t="str">
        <f t="shared" si="11"/>
        <v>=</v>
      </c>
      <c r="AF63" s="20">
        <f t="shared" si="1"/>
        <v>1</v>
      </c>
      <c r="AG63" s="20" t="str">
        <f t="shared" si="2"/>
        <v>C17H36</v>
      </c>
      <c r="AH63" s="20" t="str">
        <f t="shared" si="3"/>
        <v>+</v>
      </c>
      <c r="AI63" s="20">
        <f t="shared" si="22"/>
        <v>17</v>
      </c>
      <c r="AJ63" s="20" t="str">
        <f t="shared" si="12"/>
        <v>H2O</v>
      </c>
      <c r="AL63">
        <f t="shared" si="13"/>
        <v>0.1092942458871924</v>
      </c>
      <c r="AM63">
        <f t="shared" si="14"/>
        <v>0.1552907814025552</v>
      </c>
      <c r="AP63">
        <f>+'10% CO Elab'!S63</f>
        <v>17</v>
      </c>
      <c r="AQ63" t="str">
        <f>+'10% CO Elab'!T63</f>
        <v>N-HEPTADECANE</v>
      </c>
      <c r="AR63" t="str">
        <f>+'10% CO Elab'!U63</f>
        <v>C17H36</v>
      </c>
      <c r="AS63" t="str">
        <f>+'10% CO Elab'!V63</f>
        <v>C17</v>
      </c>
      <c r="AT63">
        <f>+'10% CO Elab'!W63</f>
        <v>7.5802751580260952E-2</v>
      </c>
      <c r="AU63">
        <f>+'10% CO Elab'!X63</f>
        <v>1.2886467768644363</v>
      </c>
      <c r="AW63">
        <f>+'10% CO Elab'!AB63</f>
        <v>2.3394617353987776E-3</v>
      </c>
      <c r="AX63" s="20">
        <v>17</v>
      </c>
      <c r="AY63" s="20" t="s">
        <v>309</v>
      </c>
      <c r="AZ63" s="20" t="s">
        <v>310</v>
      </c>
      <c r="BA63" s="20">
        <v>52</v>
      </c>
      <c r="BB63" s="20" t="s">
        <v>42</v>
      </c>
      <c r="BC63" s="20" t="s">
        <v>311</v>
      </c>
      <c r="BD63" s="20">
        <v>1</v>
      </c>
      <c r="BE63" s="20" t="s">
        <v>265</v>
      </c>
      <c r="BF63" s="20" t="s">
        <v>310</v>
      </c>
      <c r="BG63" s="20">
        <v>34</v>
      </c>
      <c r="BH63" s="20" t="s">
        <v>312</v>
      </c>
      <c r="BI63" s="1"/>
      <c r="BJ63">
        <f>+'10% CO Elab'!AA63</f>
        <v>1.1677239460824442E-2</v>
      </c>
      <c r="BK63" s="20">
        <f t="shared" si="15"/>
        <v>17</v>
      </c>
      <c r="BL63" s="20" t="s">
        <v>41</v>
      </c>
      <c r="BM63" s="20" t="str">
        <f t="shared" si="26"/>
        <v>+</v>
      </c>
      <c r="BN63" s="20">
        <f t="shared" si="16"/>
        <v>35</v>
      </c>
      <c r="BO63" s="20" t="str">
        <f t="shared" si="27"/>
        <v>H2</v>
      </c>
      <c r="BP63" s="20" t="str">
        <f t="shared" si="18"/>
        <v>=</v>
      </c>
      <c r="BQ63" s="20">
        <f t="shared" si="5"/>
        <v>1</v>
      </c>
      <c r="BR63" s="20" t="str">
        <f t="shared" si="6"/>
        <v>C17H36</v>
      </c>
      <c r="BS63" s="20" t="str">
        <f t="shared" si="7"/>
        <v>+</v>
      </c>
      <c r="BT63" s="20">
        <f t="shared" si="23"/>
        <v>17</v>
      </c>
      <c r="BU63" s="20" t="str">
        <f t="shared" si="19"/>
        <v>H2O</v>
      </c>
      <c r="BW63">
        <f t="shared" si="20"/>
        <v>7.9541699003558439E-2</v>
      </c>
      <c r="BX63">
        <f t="shared" si="21"/>
        <v>0.19851307083401551</v>
      </c>
    </row>
    <row r="64" spans="5:76" x14ac:dyDescent="0.2">
      <c r="E64">
        <f>+'5% CO Elab'!R64</f>
        <v>59</v>
      </c>
      <c r="F64">
        <f>+'5% CO Elab'!S64</f>
        <v>18</v>
      </c>
      <c r="G64" t="str">
        <f>+'5% CO Elab'!T64</f>
        <v>N-OCTADECANE</v>
      </c>
      <c r="H64" t="str">
        <f>+'5% CO Elab'!U64</f>
        <v>C18H38</v>
      </c>
      <c r="I64" t="str">
        <f>+'5% CO Elab'!V64</f>
        <v>C18</v>
      </c>
      <c r="J64">
        <f>+'5% CO Elab'!W64</f>
        <v>5.520200431769122E-2</v>
      </c>
      <c r="L64">
        <f>+'5% CO Elab'!AB64</f>
        <v>3.149625017045576E-3</v>
      </c>
      <c r="M64" s="20">
        <v>18</v>
      </c>
      <c r="N64" s="20" t="s">
        <v>309</v>
      </c>
      <c r="O64" s="20" t="s">
        <v>310</v>
      </c>
      <c r="P64" s="20">
        <v>55</v>
      </c>
      <c r="Q64" s="20" t="s">
        <v>42</v>
      </c>
      <c r="R64" s="20" t="s">
        <v>311</v>
      </c>
      <c r="S64" s="20">
        <v>1</v>
      </c>
      <c r="T64" s="20" t="s">
        <v>268</v>
      </c>
      <c r="U64" s="20" t="s">
        <v>310</v>
      </c>
      <c r="V64" s="20">
        <v>36</v>
      </c>
      <c r="W64" s="20" t="s">
        <v>312</v>
      </c>
      <c r="X64" s="1"/>
      <c r="Y64">
        <f>+'5% CO Elab'!AA64</f>
        <v>8.950292415702733E-3</v>
      </c>
      <c r="Z64" s="20">
        <f t="shared" si="8"/>
        <v>18</v>
      </c>
      <c r="AA64" s="20" t="s">
        <v>41</v>
      </c>
      <c r="AB64" s="20" t="str">
        <f t="shared" si="24"/>
        <v>+</v>
      </c>
      <c r="AC64" s="20">
        <f t="shared" si="9"/>
        <v>37</v>
      </c>
      <c r="AD64" s="20" t="str">
        <f t="shared" si="25"/>
        <v>H2</v>
      </c>
      <c r="AE64" s="20" t="str">
        <f t="shared" si="11"/>
        <v>=</v>
      </c>
      <c r="AF64" s="20">
        <f t="shared" si="1"/>
        <v>1</v>
      </c>
      <c r="AG64" s="20" t="str">
        <f t="shared" si="2"/>
        <v>C18H38</v>
      </c>
      <c r="AH64" s="20" t="str">
        <f t="shared" si="3"/>
        <v>+</v>
      </c>
      <c r="AI64" s="20">
        <f t="shared" si="22"/>
        <v>18</v>
      </c>
      <c r="AJ64" s="20" t="str">
        <f t="shared" si="12"/>
        <v>H2O</v>
      </c>
      <c r="AL64">
        <f t="shared" si="13"/>
        <v>0.11338650061364074</v>
      </c>
      <c r="AM64">
        <f t="shared" si="14"/>
        <v>0.1611052634826492</v>
      </c>
      <c r="AP64">
        <f>+'10% CO Elab'!S64</f>
        <v>18</v>
      </c>
      <c r="AQ64" t="str">
        <f>+'10% CO Elab'!T64</f>
        <v>N-OCTADECANE</v>
      </c>
      <c r="AR64" t="str">
        <f>+'10% CO Elab'!U64</f>
        <v>C18H38</v>
      </c>
      <c r="AS64" t="str">
        <f>+'10% CO Elab'!V64</f>
        <v>C18</v>
      </c>
      <c r="AT64">
        <f>+'10% CO Elab'!W64</f>
        <v>7.0145829820540129E-2</v>
      </c>
      <c r="AU64">
        <f>+'10% CO Elab'!X64</f>
        <v>1.2626249367697224</v>
      </c>
      <c r="AW64">
        <f>+'10% CO Elab'!AB64</f>
        <v>2.2922206292405982E-3</v>
      </c>
      <c r="AX64" s="20">
        <v>18</v>
      </c>
      <c r="AY64" s="20" t="s">
        <v>309</v>
      </c>
      <c r="AZ64" s="20" t="s">
        <v>310</v>
      </c>
      <c r="BA64" s="20">
        <v>55</v>
      </c>
      <c r="BB64" s="20" t="s">
        <v>42</v>
      </c>
      <c r="BC64" s="20" t="s">
        <v>311</v>
      </c>
      <c r="BD64" s="20">
        <v>1</v>
      </c>
      <c r="BE64" s="20" t="s">
        <v>268</v>
      </c>
      <c r="BF64" s="20" t="s">
        <v>310</v>
      </c>
      <c r="BG64" s="20">
        <v>36</v>
      </c>
      <c r="BH64" s="20" t="s">
        <v>312</v>
      </c>
      <c r="BI64" s="1"/>
      <c r="BJ64">
        <f>+'10% CO Elab'!AA64</f>
        <v>1.144143919076392E-2</v>
      </c>
      <c r="BK64" s="20">
        <f t="shared" si="15"/>
        <v>18</v>
      </c>
      <c r="BL64" s="20" t="s">
        <v>41</v>
      </c>
      <c r="BM64" s="20" t="str">
        <f t="shared" si="26"/>
        <v>+</v>
      </c>
      <c r="BN64" s="20">
        <f t="shared" si="16"/>
        <v>37</v>
      </c>
      <c r="BO64" s="20" t="str">
        <f t="shared" si="27"/>
        <v>H2</v>
      </c>
      <c r="BP64" s="20" t="str">
        <f t="shared" si="18"/>
        <v>=</v>
      </c>
      <c r="BQ64" s="20">
        <f t="shared" si="5"/>
        <v>1</v>
      </c>
      <c r="BR64" s="20" t="str">
        <f t="shared" si="6"/>
        <v>C18H38</v>
      </c>
      <c r="BS64" s="20" t="str">
        <f t="shared" si="7"/>
        <v>+</v>
      </c>
      <c r="BT64" s="20">
        <f t="shared" si="23"/>
        <v>18</v>
      </c>
      <c r="BU64" s="20" t="str">
        <f t="shared" si="19"/>
        <v>H2O</v>
      </c>
      <c r="BW64">
        <f t="shared" si="20"/>
        <v>8.2519942652661535E-2</v>
      </c>
      <c r="BX64">
        <f t="shared" si="21"/>
        <v>0.20594590543375055</v>
      </c>
    </row>
    <row r="65" spans="5:76" x14ac:dyDescent="0.2">
      <c r="E65">
        <f>+'5% CO Elab'!R65</f>
        <v>60</v>
      </c>
      <c r="F65">
        <f>+'5% CO Elab'!S65</f>
        <v>19</v>
      </c>
      <c r="G65" t="str">
        <f>+'5% CO Elab'!T65</f>
        <v>N-NONADECANE</v>
      </c>
      <c r="H65" t="str">
        <f>+'5% CO Elab'!U65</f>
        <v>C19H40</v>
      </c>
      <c r="I65" t="str">
        <f>+'5% CO Elab'!V65</f>
        <v>C19</v>
      </c>
      <c r="J65">
        <f>+'5% CO Elab'!W65</f>
        <v>2.4929937433796023E-2</v>
      </c>
      <c r="L65">
        <f>+'5% CO Elab'!AB65</f>
        <v>1.5014341479106146E-3</v>
      </c>
      <c r="M65" s="20">
        <v>19</v>
      </c>
      <c r="N65" s="20" t="s">
        <v>309</v>
      </c>
      <c r="O65" s="20" t="s">
        <v>310</v>
      </c>
      <c r="P65" s="20">
        <v>58</v>
      </c>
      <c r="Q65" s="20" t="s">
        <v>42</v>
      </c>
      <c r="R65" s="20" t="s">
        <v>311</v>
      </c>
      <c r="S65" s="20">
        <v>1</v>
      </c>
      <c r="T65" s="20" t="s">
        <v>271</v>
      </c>
      <c r="U65" s="20" t="s">
        <v>310</v>
      </c>
      <c r="V65" s="20">
        <v>38</v>
      </c>
      <c r="W65" s="20" t="s">
        <v>312</v>
      </c>
      <c r="X65" s="1"/>
      <c r="Y65">
        <f>+'5% CO Elab'!AA65</f>
        <v>4.2666268504962827E-3</v>
      </c>
      <c r="Z65" s="20">
        <f t="shared" si="8"/>
        <v>19</v>
      </c>
      <c r="AA65" s="20" t="s">
        <v>41</v>
      </c>
      <c r="AB65" s="20" t="str">
        <f t="shared" si="24"/>
        <v>+</v>
      </c>
      <c r="AC65" s="20">
        <f t="shared" si="9"/>
        <v>39</v>
      </c>
      <c r="AD65" s="20" t="str">
        <f t="shared" si="25"/>
        <v>H2</v>
      </c>
      <c r="AE65" s="20" t="str">
        <f t="shared" si="11"/>
        <v>=</v>
      </c>
      <c r="AF65" s="20">
        <f t="shared" si="1"/>
        <v>1</v>
      </c>
      <c r="AG65" s="20" t="str">
        <f t="shared" si="2"/>
        <v>C19H40</v>
      </c>
      <c r="AH65" s="20" t="str">
        <f t="shared" si="3"/>
        <v>+</v>
      </c>
      <c r="AI65" s="20">
        <f t="shared" si="22"/>
        <v>19</v>
      </c>
      <c r="AJ65" s="20" t="str">
        <f t="shared" si="12"/>
        <v>H2O</v>
      </c>
      <c r="AL65">
        <f t="shared" si="13"/>
        <v>5.7054497620603356E-2</v>
      </c>
      <c r="AM65">
        <f t="shared" si="14"/>
        <v>8.1065910159429377E-2</v>
      </c>
      <c r="AP65">
        <f>+'10% CO Elab'!S65</f>
        <v>19</v>
      </c>
      <c r="AQ65" t="str">
        <f>+'10% CO Elab'!T65</f>
        <v>N-NONADECANE</v>
      </c>
      <c r="AR65" t="str">
        <f>+'10% CO Elab'!U65</f>
        <v>C19H40</v>
      </c>
      <c r="AS65" t="str">
        <f>+'10% CO Elab'!V65</f>
        <v>C19</v>
      </c>
      <c r="AT65">
        <f>+'10% CO Elab'!W65</f>
        <v>3.1678761854437465E-2</v>
      </c>
      <c r="AU65">
        <f>+'10% CO Elab'!X65</f>
        <v>0.60189647523431189</v>
      </c>
      <c r="AW65">
        <f>+'10% CO Elab'!AB65</f>
        <v>1.0927073250501771E-3</v>
      </c>
      <c r="AX65" s="20">
        <v>19</v>
      </c>
      <c r="AY65" s="20" t="s">
        <v>309</v>
      </c>
      <c r="AZ65" s="20" t="s">
        <v>310</v>
      </c>
      <c r="BA65" s="20">
        <v>58</v>
      </c>
      <c r="BB65" s="20" t="s">
        <v>42</v>
      </c>
      <c r="BC65" s="20" t="s">
        <v>311</v>
      </c>
      <c r="BD65" s="20">
        <v>1</v>
      </c>
      <c r="BE65" s="20" t="s">
        <v>271</v>
      </c>
      <c r="BF65" s="20" t="s">
        <v>310</v>
      </c>
      <c r="BG65" s="20">
        <v>38</v>
      </c>
      <c r="BH65" s="20" t="s">
        <v>312</v>
      </c>
      <c r="BI65" s="1"/>
      <c r="BJ65">
        <f>+'10% CO Elab'!AA65</f>
        <v>5.454162768356992E-3</v>
      </c>
      <c r="BK65" s="20">
        <f t="shared" si="15"/>
        <v>19</v>
      </c>
      <c r="BL65" s="20" t="s">
        <v>41</v>
      </c>
      <c r="BM65" s="20" t="str">
        <f t="shared" si="26"/>
        <v>+</v>
      </c>
      <c r="BN65" s="20">
        <f t="shared" si="16"/>
        <v>39</v>
      </c>
      <c r="BO65" s="20" t="str">
        <f t="shared" si="27"/>
        <v>H2</v>
      </c>
      <c r="BP65" s="20" t="str">
        <f t="shared" si="18"/>
        <v>=</v>
      </c>
      <c r="BQ65" s="20">
        <f t="shared" si="5"/>
        <v>1</v>
      </c>
      <c r="BR65" s="20" t="str">
        <f t="shared" si="6"/>
        <v>C19H40</v>
      </c>
      <c r="BS65" s="20" t="str">
        <f t="shared" si="7"/>
        <v>+</v>
      </c>
      <c r="BT65" s="20">
        <f t="shared" si="23"/>
        <v>19</v>
      </c>
      <c r="BU65" s="20" t="str">
        <f t="shared" si="19"/>
        <v>H2O</v>
      </c>
      <c r="BW65">
        <f t="shared" si="20"/>
        <v>4.1522878351906732E-2</v>
      </c>
      <c r="BX65">
        <f t="shared" si="21"/>
        <v>0.10362909259878285</v>
      </c>
    </row>
    <row r="66" spans="5:76" x14ac:dyDescent="0.2">
      <c r="E66">
        <f>+'5% CO Elab'!R66</f>
        <v>61</v>
      </c>
      <c r="F66">
        <f>+'5% CO Elab'!S66</f>
        <v>20</v>
      </c>
      <c r="G66" t="str">
        <f>+'5% CO Elab'!T66</f>
        <v>N-EICOSANE</v>
      </c>
      <c r="H66" t="str">
        <f>+'5% CO Elab'!U66</f>
        <v>C20H42</v>
      </c>
      <c r="I66" t="str">
        <f>+'5% CO Elab'!V66</f>
        <v>C20</v>
      </c>
      <c r="J66">
        <f>+'5% CO Elab'!W66</f>
        <v>1.9587807983696876E-2</v>
      </c>
      <c r="L66">
        <f>+'5% CO Elab'!AB66</f>
        <v>1.2417876411290798E-3</v>
      </c>
      <c r="M66" s="20">
        <v>20</v>
      </c>
      <c r="N66" s="20" t="s">
        <v>309</v>
      </c>
      <c r="O66" s="20" t="s">
        <v>310</v>
      </c>
      <c r="P66" s="20">
        <v>61</v>
      </c>
      <c r="Q66" s="20" t="s">
        <v>42</v>
      </c>
      <c r="R66" s="20" t="s">
        <v>311</v>
      </c>
      <c r="S66" s="20">
        <v>1</v>
      </c>
      <c r="T66" s="20" t="s">
        <v>274</v>
      </c>
      <c r="U66" s="20" t="s">
        <v>310</v>
      </c>
      <c r="V66" s="20">
        <v>40</v>
      </c>
      <c r="W66" s="20" t="s">
        <v>312</v>
      </c>
      <c r="X66" s="1"/>
      <c r="Y66">
        <f>+'5% CO Elab'!AA66</f>
        <v>3.5287891244706097E-3</v>
      </c>
      <c r="Z66" s="20">
        <f t="shared" si="8"/>
        <v>20</v>
      </c>
      <c r="AA66" s="20" t="s">
        <v>41</v>
      </c>
      <c r="AB66" s="20" t="str">
        <f t="shared" si="24"/>
        <v>+</v>
      </c>
      <c r="AC66" s="20">
        <f t="shared" si="9"/>
        <v>41</v>
      </c>
      <c r="AD66" s="20" t="str">
        <f t="shared" si="25"/>
        <v>H2</v>
      </c>
      <c r="AE66" s="20" t="str">
        <f t="shared" si="11"/>
        <v>=</v>
      </c>
      <c r="AF66" s="20">
        <f t="shared" si="1"/>
        <v>1</v>
      </c>
      <c r="AG66" s="20" t="str">
        <f t="shared" si="2"/>
        <v>C20H42</v>
      </c>
      <c r="AH66" s="20" t="str">
        <f t="shared" si="3"/>
        <v>+</v>
      </c>
      <c r="AI66" s="20">
        <f t="shared" si="22"/>
        <v>20</v>
      </c>
      <c r="AJ66" s="20" t="str">
        <f t="shared" si="12"/>
        <v>H2O</v>
      </c>
      <c r="AL66">
        <f t="shared" si="13"/>
        <v>4.9671505645163191E-2</v>
      </c>
      <c r="AM66">
        <f t="shared" si="14"/>
        <v>7.0575782489412195E-2</v>
      </c>
      <c r="AP66">
        <f>+'10% CO Elab'!S66</f>
        <v>20</v>
      </c>
      <c r="AQ66" t="str">
        <f>+'10% CO Elab'!T66</f>
        <v>N-EICOSANE</v>
      </c>
      <c r="AR66" t="str">
        <f>+'10% CO Elab'!U66</f>
        <v>C20H42</v>
      </c>
      <c r="AS66" t="str">
        <f>+'10% CO Elab'!V66</f>
        <v>C20</v>
      </c>
      <c r="AT66">
        <f>+'10% CO Elab'!W66</f>
        <v>2.4890455742772294E-2</v>
      </c>
      <c r="AU66">
        <f>+'10% CO Elab'!X66</f>
        <v>0.49780911485544588</v>
      </c>
      <c r="AW66">
        <f>+'10% CO Elab'!AB66</f>
        <v>9.0374290041743974E-4</v>
      </c>
      <c r="AX66" s="20">
        <v>20</v>
      </c>
      <c r="AY66" s="20" t="s">
        <v>309</v>
      </c>
      <c r="AZ66" s="20" t="s">
        <v>310</v>
      </c>
      <c r="BA66" s="20">
        <v>61</v>
      </c>
      <c r="BB66" s="20" t="s">
        <v>42</v>
      </c>
      <c r="BC66" s="20" t="s">
        <v>311</v>
      </c>
      <c r="BD66" s="20">
        <v>1</v>
      </c>
      <c r="BE66" s="20" t="s">
        <v>274</v>
      </c>
      <c r="BF66" s="20" t="s">
        <v>310</v>
      </c>
      <c r="BG66" s="20">
        <v>40</v>
      </c>
      <c r="BH66" s="20" t="s">
        <v>312</v>
      </c>
      <c r="BI66" s="1"/>
      <c r="BJ66">
        <f>+'10% CO Elab'!AA66</f>
        <v>4.5109616881148047E-3</v>
      </c>
      <c r="BK66" s="20">
        <f t="shared" si="15"/>
        <v>20</v>
      </c>
      <c r="BL66" s="20" t="s">
        <v>41</v>
      </c>
      <c r="BM66" s="20" t="str">
        <f t="shared" si="26"/>
        <v>+</v>
      </c>
      <c r="BN66" s="20">
        <f t="shared" si="16"/>
        <v>41</v>
      </c>
      <c r="BO66" s="20" t="str">
        <f t="shared" si="27"/>
        <v>H2</v>
      </c>
      <c r="BP66" s="20" t="str">
        <f t="shared" si="18"/>
        <v>=</v>
      </c>
      <c r="BQ66" s="20">
        <f t="shared" si="5"/>
        <v>1</v>
      </c>
      <c r="BR66" s="20" t="str">
        <f t="shared" si="6"/>
        <v>C20H42</v>
      </c>
      <c r="BS66" s="20" t="str">
        <f t="shared" si="7"/>
        <v>+</v>
      </c>
      <c r="BT66" s="20">
        <f t="shared" si="23"/>
        <v>20</v>
      </c>
      <c r="BU66" s="20" t="str">
        <f t="shared" si="19"/>
        <v>H2O</v>
      </c>
      <c r="BW66">
        <f t="shared" si="20"/>
        <v>3.6149716016697586E-2</v>
      </c>
      <c r="BX66">
        <f t="shared" si="21"/>
        <v>9.0219233762296097E-2</v>
      </c>
    </row>
    <row r="67" spans="5:76" x14ac:dyDescent="0.2">
      <c r="E67">
        <f>+'5% CO Elab'!R67</f>
        <v>62</v>
      </c>
      <c r="F67">
        <f>+'5% CO Elab'!S67</f>
        <v>21</v>
      </c>
      <c r="G67" t="str">
        <f>+'5% CO Elab'!T67</f>
        <v>N-HENEICOSANE</v>
      </c>
      <c r="H67" t="str">
        <f>+'5% CO Elab'!U67</f>
        <v>C21H44</v>
      </c>
      <c r="I67" t="str">
        <f>+'5% CO Elab'!V67</f>
        <v>C21</v>
      </c>
      <c r="J67">
        <f>+'5% CO Elab'!W67</f>
        <v>1.780709816699716E-2</v>
      </c>
      <c r="L67">
        <f>+'5% CO Elab'!AB67</f>
        <v>1.1853427483504851E-3</v>
      </c>
      <c r="M67" s="20">
        <v>21</v>
      </c>
      <c r="N67" s="20" t="s">
        <v>309</v>
      </c>
      <c r="O67" s="20" t="s">
        <v>310</v>
      </c>
      <c r="P67" s="20">
        <v>64</v>
      </c>
      <c r="Q67" s="20" t="s">
        <v>42</v>
      </c>
      <c r="R67" s="20" t="s">
        <v>311</v>
      </c>
      <c r="S67" s="20">
        <v>1</v>
      </c>
      <c r="T67" s="20" t="s">
        <v>277</v>
      </c>
      <c r="U67" s="20" t="s">
        <v>310</v>
      </c>
      <c r="V67" s="20">
        <v>42</v>
      </c>
      <c r="W67" s="20" t="s">
        <v>312</v>
      </c>
      <c r="X67" s="1"/>
      <c r="Y67">
        <f>+'5% CO Elab'!AA67</f>
        <v>3.368389618812855E-3</v>
      </c>
      <c r="Z67" s="20">
        <f t="shared" si="8"/>
        <v>21</v>
      </c>
      <c r="AA67" s="20" t="s">
        <v>41</v>
      </c>
      <c r="AB67" s="20" t="str">
        <f t="shared" si="24"/>
        <v>+</v>
      </c>
      <c r="AC67" s="20">
        <f t="shared" si="9"/>
        <v>43</v>
      </c>
      <c r="AD67" s="20" t="str">
        <f t="shared" si="25"/>
        <v>H2</v>
      </c>
      <c r="AE67" s="20" t="str">
        <f t="shared" si="11"/>
        <v>=</v>
      </c>
      <c r="AF67" s="20">
        <f t="shared" si="1"/>
        <v>1</v>
      </c>
      <c r="AG67" s="20" t="str">
        <f t="shared" si="2"/>
        <v>C21H44</v>
      </c>
      <c r="AH67" s="20" t="str">
        <f t="shared" si="3"/>
        <v>+</v>
      </c>
      <c r="AI67" s="20">
        <f t="shared" si="22"/>
        <v>21</v>
      </c>
      <c r="AJ67" s="20" t="str">
        <f t="shared" si="12"/>
        <v>H2O</v>
      </c>
      <c r="AL67">
        <f t="shared" si="13"/>
        <v>4.9784395430720378E-2</v>
      </c>
      <c r="AM67">
        <f t="shared" si="14"/>
        <v>7.0736181995069952E-2</v>
      </c>
      <c r="AP67">
        <f>+'10% CO Elab'!S67</f>
        <v>21</v>
      </c>
      <c r="AQ67" t="str">
        <f>+'10% CO Elab'!T67</f>
        <v>N-HENEICOSANE</v>
      </c>
      <c r="AR67" t="str">
        <f>+'10% CO Elab'!U67</f>
        <v>C21H44</v>
      </c>
      <c r="AS67" t="str">
        <f>+'10% CO Elab'!V67</f>
        <v>C21</v>
      </c>
      <c r="AT67">
        <f>+'10% CO Elab'!W67</f>
        <v>2.2627687038883907E-2</v>
      </c>
      <c r="AU67">
        <f>+'10% CO Elab'!X67</f>
        <v>0.47518142781656203</v>
      </c>
      <c r="AW67">
        <f>+'10% CO Elab'!AB67</f>
        <v>8.6266367767119255E-4</v>
      </c>
      <c r="AX67" s="20">
        <v>21</v>
      </c>
      <c r="AY67" s="20" t="s">
        <v>309</v>
      </c>
      <c r="AZ67" s="20" t="s">
        <v>310</v>
      </c>
      <c r="BA67" s="20">
        <v>64</v>
      </c>
      <c r="BB67" s="20" t="s">
        <v>42</v>
      </c>
      <c r="BC67" s="20" t="s">
        <v>311</v>
      </c>
      <c r="BD67" s="20">
        <v>1</v>
      </c>
      <c r="BE67" s="20" t="s">
        <v>277</v>
      </c>
      <c r="BF67" s="20" t="s">
        <v>310</v>
      </c>
      <c r="BG67" s="20">
        <v>42</v>
      </c>
      <c r="BH67" s="20" t="s">
        <v>312</v>
      </c>
      <c r="BI67" s="1"/>
      <c r="BJ67">
        <f>+'10% CO Elab'!AA67</f>
        <v>4.305917975018678E-3</v>
      </c>
      <c r="BK67" s="20">
        <f t="shared" si="15"/>
        <v>21</v>
      </c>
      <c r="BL67" s="20" t="s">
        <v>41</v>
      </c>
      <c r="BM67" s="20" t="str">
        <f t="shared" si="26"/>
        <v>+</v>
      </c>
      <c r="BN67" s="20">
        <f t="shared" si="16"/>
        <v>43</v>
      </c>
      <c r="BO67" s="20" t="str">
        <f t="shared" si="27"/>
        <v>H2</v>
      </c>
      <c r="BP67" s="20" t="str">
        <f t="shared" si="18"/>
        <v>=</v>
      </c>
      <c r="BQ67" s="20">
        <f t="shared" si="5"/>
        <v>1</v>
      </c>
      <c r="BR67" s="20" t="str">
        <f t="shared" si="6"/>
        <v>C21H44</v>
      </c>
      <c r="BS67" s="20" t="str">
        <f t="shared" si="7"/>
        <v>+</v>
      </c>
      <c r="BT67" s="20">
        <f t="shared" si="23"/>
        <v>21</v>
      </c>
      <c r="BU67" s="20" t="str">
        <f t="shared" si="19"/>
        <v>H2O</v>
      </c>
      <c r="BW67">
        <f t="shared" si="20"/>
        <v>3.6231874462190089E-2</v>
      </c>
      <c r="BX67">
        <f t="shared" si="21"/>
        <v>9.0424277475392237E-2</v>
      </c>
    </row>
    <row r="68" spans="5:76" x14ac:dyDescent="0.2">
      <c r="E68">
        <f>+'5% CO Elab'!R68</f>
        <v>63</v>
      </c>
      <c r="F68">
        <f>+'5% CO Elab'!S68</f>
        <v>22</v>
      </c>
      <c r="G68" t="str">
        <f>+'5% CO Elab'!T68</f>
        <v>N-DOCOSANE</v>
      </c>
      <c r="H68" t="str">
        <f>+'5% CO Elab'!U68</f>
        <v>C22H46</v>
      </c>
      <c r="I68" t="str">
        <f>+'5% CO Elab'!V68</f>
        <v>C22</v>
      </c>
      <c r="J68">
        <f>+'5% CO Elab'!W68</f>
        <v>1.6026388350297446E-2</v>
      </c>
      <c r="L68">
        <f>+'5% CO Elab'!AB68</f>
        <v>1.1176088770161719E-3</v>
      </c>
      <c r="M68" s="20">
        <v>22</v>
      </c>
      <c r="N68" s="20" t="s">
        <v>309</v>
      </c>
      <c r="O68" s="20" t="s">
        <v>310</v>
      </c>
      <c r="P68" s="20">
        <v>67</v>
      </c>
      <c r="Q68" s="20" t="s">
        <v>42</v>
      </c>
      <c r="R68" s="20" t="s">
        <v>311</v>
      </c>
      <c r="S68" s="20">
        <v>1</v>
      </c>
      <c r="T68" s="20" t="s">
        <v>280</v>
      </c>
      <c r="U68" s="20" t="s">
        <v>310</v>
      </c>
      <c r="V68" s="20">
        <v>44</v>
      </c>
      <c r="W68" s="20" t="s">
        <v>312</v>
      </c>
      <c r="X68" s="1"/>
      <c r="Y68">
        <f>+'5% CO Elab'!AA68</f>
        <v>3.1759102120235486E-3</v>
      </c>
      <c r="Z68" s="20">
        <f t="shared" si="8"/>
        <v>22</v>
      </c>
      <c r="AA68" s="20" t="s">
        <v>41</v>
      </c>
      <c r="AB68" s="20" t="str">
        <f t="shared" si="24"/>
        <v>+</v>
      </c>
      <c r="AC68" s="20">
        <f t="shared" si="9"/>
        <v>45</v>
      </c>
      <c r="AD68" s="20" t="str">
        <f t="shared" si="25"/>
        <v>H2</v>
      </c>
      <c r="AE68" s="20" t="str">
        <f t="shared" si="11"/>
        <v>=</v>
      </c>
      <c r="AF68" s="20">
        <f t="shared" si="1"/>
        <v>1</v>
      </c>
      <c r="AG68" s="20" t="str">
        <f t="shared" si="2"/>
        <v>C22H46</v>
      </c>
      <c r="AH68" s="20" t="str">
        <f t="shared" si="3"/>
        <v>+</v>
      </c>
      <c r="AI68" s="20">
        <f t="shared" si="22"/>
        <v>22</v>
      </c>
      <c r="AJ68" s="20" t="str">
        <f t="shared" si="12"/>
        <v>H2O</v>
      </c>
      <c r="AL68">
        <f t="shared" si="13"/>
        <v>4.9174790588711562E-2</v>
      </c>
      <c r="AM68">
        <f t="shared" si="14"/>
        <v>6.9870024664518068E-2</v>
      </c>
      <c r="AP68">
        <f>+'10% CO Elab'!S68</f>
        <v>22</v>
      </c>
      <c r="AQ68" t="str">
        <f>+'10% CO Elab'!T68</f>
        <v>N-DOCOSANE</v>
      </c>
      <c r="AR68" t="str">
        <f>+'10% CO Elab'!U68</f>
        <v>C22H46</v>
      </c>
      <c r="AS68" t="str">
        <f>+'10% CO Elab'!V68</f>
        <v>C22</v>
      </c>
      <c r="AT68">
        <f>+'10% CO Elab'!W68</f>
        <v>2.0364918334995517E-2</v>
      </c>
      <c r="AU68">
        <f>+'10% CO Elab'!X68</f>
        <v>0.44802820336990135</v>
      </c>
      <c r="AW68">
        <f>+'10% CO Elab'!AB68</f>
        <v>8.1336861037569592E-4</v>
      </c>
      <c r="AX68" s="20">
        <v>22</v>
      </c>
      <c r="AY68" s="20" t="s">
        <v>309</v>
      </c>
      <c r="AZ68" s="20" t="s">
        <v>310</v>
      </c>
      <c r="BA68" s="20">
        <v>67</v>
      </c>
      <c r="BB68" s="20" t="s">
        <v>42</v>
      </c>
      <c r="BC68" s="20" t="s">
        <v>311</v>
      </c>
      <c r="BD68" s="20">
        <v>1</v>
      </c>
      <c r="BE68" s="20" t="s">
        <v>280</v>
      </c>
      <c r="BF68" s="20" t="s">
        <v>310</v>
      </c>
      <c r="BG68" s="20">
        <v>44</v>
      </c>
      <c r="BH68" s="20" t="s">
        <v>312</v>
      </c>
      <c r="BI68" s="1"/>
      <c r="BJ68">
        <f>+'10% CO Elab'!AA68</f>
        <v>4.0598655193033245E-3</v>
      </c>
      <c r="BK68" s="20">
        <f t="shared" si="15"/>
        <v>22</v>
      </c>
      <c r="BL68" s="20" t="s">
        <v>41</v>
      </c>
      <c r="BM68" s="20" t="str">
        <f t="shared" si="26"/>
        <v>+</v>
      </c>
      <c r="BN68" s="20">
        <f t="shared" si="16"/>
        <v>45</v>
      </c>
      <c r="BO68" s="20" t="str">
        <f t="shared" si="27"/>
        <v>H2</v>
      </c>
      <c r="BP68" s="20" t="str">
        <f t="shared" si="18"/>
        <v>=</v>
      </c>
      <c r="BQ68" s="20">
        <f t="shared" si="5"/>
        <v>1</v>
      </c>
      <c r="BR68" s="20" t="str">
        <f t="shared" si="6"/>
        <v>C22H46</v>
      </c>
      <c r="BS68" s="20" t="str">
        <f t="shared" si="7"/>
        <v>+</v>
      </c>
      <c r="BT68" s="20">
        <f t="shared" si="23"/>
        <v>22</v>
      </c>
      <c r="BU68" s="20" t="str">
        <f t="shared" si="19"/>
        <v>H2O</v>
      </c>
      <c r="BW68">
        <f t="shared" si="20"/>
        <v>3.5788218856530621E-2</v>
      </c>
      <c r="BX68">
        <f t="shared" si="21"/>
        <v>8.9317041424673144E-2</v>
      </c>
    </row>
    <row r="69" spans="5:76" x14ac:dyDescent="0.2">
      <c r="E69">
        <f>+'5% CO Elab'!R69</f>
        <v>64</v>
      </c>
      <c r="F69">
        <f>+'5% CO Elab'!S69</f>
        <v>23</v>
      </c>
      <c r="G69" t="str">
        <f>+'5% CO Elab'!T69</f>
        <v>N-TRICOSANE</v>
      </c>
      <c r="H69" t="str">
        <f>+'5% CO Elab'!U69</f>
        <v>C23H48</v>
      </c>
      <c r="I69" t="str">
        <f>+'5% CO Elab'!V69</f>
        <v>C23</v>
      </c>
      <c r="J69">
        <f>+'5% CO Elab'!W69</f>
        <v>1.424567853359773E-2</v>
      </c>
      <c r="L69">
        <f>+'5% CO Elab'!AB69</f>
        <v>1.0385860271261396E-3</v>
      </c>
      <c r="M69" s="20">
        <v>23</v>
      </c>
      <c r="N69" s="20" t="s">
        <v>309</v>
      </c>
      <c r="O69" s="20" t="s">
        <v>310</v>
      </c>
      <c r="P69" s="20">
        <v>70</v>
      </c>
      <c r="Q69" s="20" t="s">
        <v>42</v>
      </c>
      <c r="R69" s="20" t="s">
        <v>311</v>
      </c>
      <c r="S69" s="20">
        <v>1</v>
      </c>
      <c r="T69" s="20" t="s">
        <v>283</v>
      </c>
      <c r="U69" s="20" t="s">
        <v>310</v>
      </c>
      <c r="V69" s="20">
        <v>46</v>
      </c>
      <c r="W69" s="20" t="s">
        <v>312</v>
      </c>
      <c r="X69" s="1"/>
      <c r="Y69">
        <f>+'5% CO Elab'!AA69</f>
        <v>2.9513509041026922E-3</v>
      </c>
      <c r="Z69" s="20">
        <f t="shared" si="8"/>
        <v>23</v>
      </c>
      <c r="AA69" s="20" t="s">
        <v>41</v>
      </c>
      <c r="AB69" s="20" t="str">
        <f t="shared" si="24"/>
        <v>+</v>
      </c>
      <c r="AC69" s="20">
        <f t="shared" si="9"/>
        <v>47</v>
      </c>
      <c r="AD69" s="20" t="str">
        <f t="shared" si="25"/>
        <v>H2</v>
      </c>
      <c r="AE69" s="20" t="str">
        <f t="shared" si="11"/>
        <v>=</v>
      </c>
      <c r="AF69" s="20">
        <f t="shared" si="1"/>
        <v>1</v>
      </c>
      <c r="AG69" s="20" t="str">
        <f t="shared" si="2"/>
        <v>C23H48</v>
      </c>
      <c r="AH69" s="20" t="str">
        <f t="shared" si="3"/>
        <v>+</v>
      </c>
      <c r="AI69" s="20">
        <f t="shared" si="22"/>
        <v>23</v>
      </c>
      <c r="AJ69" s="20" t="str">
        <f t="shared" si="12"/>
        <v>H2O</v>
      </c>
      <c r="AL69">
        <f t="shared" si="13"/>
        <v>4.7774957247802424E-2</v>
      </c>
      <c r="AM69">
        <f t="shared" si="14"/>
        <v>6.7881070794361925E-2</v>
      </c>
      <c r="AP69">
        <f>+'10% CO Elab'!S69</f>
        <v>23</v>
      </c>
      <c r="AQ69" t="str">
        <f>+'10% CO Elab'!T69</f>
        <v>N-TRICOSANE</v>
      </c>
      <c r="AR69" t="str">
        <f>+'10% CO Elab'!U69</f>
        <v>C23H48</v>
      </c>
      <c r="AS69" t="str">
        <f>+'10% CO Elab'!V69</f>
        <v>C23</v>
      </c>
      <c r="AT69">
        <f>+'10% CO Elab'!W69</f>
        <v>1.8102149631107126E-2</v>
      </c>
      <c r="AU69">
        <f>+'10% CO Elab'!X69</f>
        <v>0.41634944151546388</v>
      </c>
      <c r="AW69">
        <f>+'10% CO Elab'!AB69</f>
        <v>7.5585769853094963E-4</v>
      </c>
      <c r="AX69" s="20">
        <v>23</v>
      </c>
      <c r="AY69" s="20" t="s">
        <v>309</v>
      </c>
      <c r="AZ69" s="20" t="s">
        <v>310</v>
      </c>
      <c r="BA69" s="20">
        <v>70</v>
      </c>
      <c r="BB69" s="20" t="s">
        <v>42</v>
      </c>
      <c r="BC69" s="20" t="s">
        <v>311</v>
      </c>
      <c r="BD69" s="20">
        <v>1</v>
      </c>
      <c r="BE69" s="20" t="s">
        <v>283</v>
      </c>
      <c r="BF69" s="20" t="s">
        <v>310</v>
      </c>
      <c r="BG69" s="20">
        <v>46</v>
      </c>
      <c r="BH69" s="20" t="s">
        <v>312</v>
      </c>
      <c r="BI69" s="1"/>
      <c r="BJ69">
        <f>+'10% CO Elab'!AA69</f>
        <v>3.7728043209687466E-3</v>
      </c>
      <c r="BK69" s="20">
        <f t="shared" si="15"/>
        <v>23</v>
      </c>
      <c r="BL69" s="20" t="s">
        <v>41</v>
      </c>
      <c r="BM69" s="20" t="str">
        <f t="shared" si="26"/>
        <v>+</v>
      </c>
      <c r="BN69" s="20">
        <f t="shared" si="16"/>
        <v>47</v>
      </c>
      <c r="BO69" s="20" t="str">
        <f t="shared" si="27"/>
        <v>H2</v>
      </c>
      <c r="BP69" s="20" t="str">
        <f t="shared" si="18"/>
        <v>=</v>
      </c>
      <c r="BQ69" s="20">
        <f t="shared" si="5"/>
        <v>1</v>
      </c>
      <c r="BR69" s="20" t="str">
        <f t="shared" si="6"/>
        <v>C23H48</v>
      </c>
      <c r="BS69" s="20" t="str">
        <f t="shared" si="7"/>
        <v>+</v>
      </c>
      <c r="BT69" s="20">
        <f t="shared" si="23"/>
        <v>23</v>
      </c>
      <c r="BU69" s="20" t="str">
        <f t="shared" si="19"/>
        <v>H2O</v>
      </c>
      <c r="BW69">
        <f t="shared" si="20"/>
        <v>3.4769454132423681E-2</v>
      </c>
      <c r="BX69">
        <f t="shared" si="21"/>
        <v>8.677449938228117E-2</v>
      </c>
    </row>
    <row r="70" spans="5:76" x14ac:dyDescent="0.2">
      <c r="E70">
        <f>+'5% CO Elab'!R70</f>
        <v>65</v>
      </c>
      <c r="F70">
        <f>+'5% CO Elab'!S70</f>
        <v>24</v>
      </c>
      <c r="G70" t="str">
        <f>+'5% CO Elab'!T70</f>
        <v>N-TETRACOSANE</v>
      </c>
      <c r="H70" t="str">
        <f>+'5% CO Elab'!U70</f>
        <v>C24H50</v>
      </c>
      <c r="I70" t="str">
        <f>+'5% CO Elab'!V70</f>
        <v>C24</v>
      </c>
      <c r="J70">
        <f>+'5% CO Elab'!W70</f>
        <v>1.335532362524787E-2</v>
      </c>
      <c r="L70">
        <f>+'5% CO Elab'!AB70</f>
        <v>1.0160080700147016E-3</v>
      </c>
      <c r="M70" s="20">
        <v>24</v>
      </c>
      <c r="N70" s="20" t="s">
        <v>309</v>
      </c>
      <c r="O70" s="20" t="s">
        <v>310</v>
      </c>
      <c r="P70" s="20">
        <v>73</v>
      </c>
      <c r="Q70" s="20" t="s">
        <v>42</v>
      </c>
      <c r="R70" s="20" t="s">
        <v>311</v>
      </c>
      <c r="S70" s="20">
        <v>1</v>
      </c>
      <c r="T70" s="20" t="s">
        <v>286</v>
      </c>
      <c r="U70" s="20" t="s">
        <v>310</v>
      </c>
      <c r="V70" s="20">
        <v>48</v>
      </c>
      <c r="W70" s="20" t="s">
        <v>312</v>
      </c>
      <c r="X70" s="1"/>
      <c r="Y70">
        <f>+'5% CO Elab'!AA70</f>
        <v>2.8871911018395896E-3</v>
      </c>
      <c r="Z70" s="20">
        <f t="shared" si="8"/>
        <v>24</v>
      </c>
      <c r="AA70" s="20" t="s">
        <v>41</v>
      </c>
      <c r="AB70" s="20" t="str">
        <f t="shared" si="24"/>
        <v>+</v>
      </c>
      <c r="AC70" s="20">
        <f t="shared" si="9"/>
        <v>49</v>
      </c>
      <c r="AD70" s="20" t="str">
        <f t="shared" si="25"/>
        <v>H2</v>
      </c>
      <c r="AE70" s="20" t="str">
        <f t="shared" si="11"/>
        <v>=</v>
      </c>
      <c r="AF70" s="20">
        <f t="shared" si="11"/>
        <v>1</v>
      </c>
      <c r="AG70" s="20" t="str">
        <f t="shared" si="11"/>
        <v>C24H50</v>
      </c>
      <c r="AH70" s="20" t="str">
        <f t="shared" si="11"/>
        <v>+</v>
      </c>
      <c r="AI70" s="20">
        <f t="shared" si="22"/>
        <v>24</v>
      </c>
      <c r="AJ70" s="20" t="str">
        <f t="shared" si="12"/>
        <v>H2O</v>
      </c>
      <c r="AL70">
        <f t="shared" si="13"/>
        <v>4.8768387360705677E-2</v>
      </c>
      <c r="AM70">
        <f t="shared" si="14"/>
        <v>6.929258644415015E-2</v>
      </c>
      <c r="AP70">
        <f>+'10% CO Elab'!S70</f>
        <v>24</v>
      </c>
      <c r="AQ70" t="str">
        <f>+'10% CO Elab'!T70</f>
        <v>N-TETRACOSANE</v>
      </c>
      <c r="AR70" t="str">
        <f>+'10% CO Elab'!U70</f>
        <v>C24H50</v>
      </c>
      <c r="AS70" t="str">
        <f>+'10% CO Elab'!V70</f>
        <v>C24</v>
      </c>
      <c r="AT70">
        <f>+'10% CO Elab'!W70</f>
        <v>1.6970765279162928E-2</v>
      </c>
      <c r="AU70">
        <f>+'10% CO Elab'!X70</f>
        <v>0.40729836669991026</v>
      </c>
      <c r="AW70">
        <f>+'10% CO Elab'!AB70</f>
        <v>7.3942600943245076E-4</v>
      </c>
      <c r="AX70" s="20">
        <v>24</v>
      </c>
      <c r="AY70" s="20" t="s">
        <v>309</v>
      </c>
      <c r="AZ70" s="20" t="s">
        <v>310</v>
      </c>
      <c r="BA70" s="20">
        <v>73</v>
      </c>
      <c r="BB70" s="20" t="s">
        <v>42</v>
      </c>
      <c r="BC70" s="20" t="s">
        <v>311</v>
      </c>
      <c r="BD70" s="20">
        <v>1</v>
      </c>
      <c r="BE70" s="20" t="s">
        <v>286</v>
      </c>
      <c r="BF70" s="20" t="s">
        <v>310</v>
      </c>
      <c r="BG70" s="20">
        <v>48</v>
      </c>
      <c r="BH70" s="20" t="s">
        <v>312</v>
      </c>
      <c r="BI70" s="1"/>
      <c r="BJ70">
        <f>+'10% CO Elab'!AA70</f>
        <v>3.690786835730295E-3</v>
      </c>
      <c r="BK70" s="20">
        <f t="shared" si="15"/>
        <v>24</v>
      </c>
      <c r="BL70" s="20" t="s">
        <v>41</v>
      </c>
      <c r="BM70" s="20" t="str">
        <f t="shared" si="26"/>
        <v>+</v>
      </c>
      <c r="BN70" s="20">
        <f t="shared" si="16"/>
        <v>49</v>
      </c>
      <c r="BO70" s="20" t="str">
        <f t="shared" si="27"/>
        <v>H2</v>
      </c>
      <c r="BP70" s="20" t="str">
        <f t="shared" si="18"/>
        <v>=</v>
      </c>
      <c r="BQ70" s="20">
        <f t="shared" ref="BQ70:BQ73" si="28">BD70</f>
        <v>1</v>
      </c>
      <c r="BR70" s="20" t="str">
        <f t="shared" ref="BR70:BR73" si="29">BE70</f>
        <v>C24H50</v>
      </c>
      <c r="BS70" s="20" t="str">
        <f t="shared" ref="BS70:BS73" si="30">BF70</f>
        <v>+</v>
      </c>
      <c r="BT70" s="20">
        <f t="shared" si="23"/>
        <v>24</v>
      </c>
      <c r="BU70" s="20" t="str">
        <f t="shared" si="19"/>
        <v>H2O</v>
      </c>
      <c r="BW70">
        <f t="shared" si="20"/>
        <v>3.5492448452757633E-2</v>
      </c>
      <c r="BX70">
        <f t="shared" si="21"/>
        <v>8.8578884057527077E-2</v>
      </c>
    </row>
    <row r="71" spans="5:76" x14ac:dyDescent="0.2">
      <c r="E71">
        <f>+'5% CO Elab'!R71</f>
        <v>66</v>
      </c>
      <c r="F71">
        <f>+'5% CO Elab'!S71</f>
        <v>25</v>
      </c>
      <c r="G71" t="str">
        <f>+'5% CO Elab'!T71</f>
        <v>N-PENTACOSANE</v>
      </c>
      <c r="H71" t="str">
        <f>+'5% CO Elab'!U71</f>
        <v>C25H52</v>
      </c>
      <c r="I71" t="str">
        <f>+'5% CO Elab'!V71</f>
        <v>C25</v>
      </c>
      <c r="J71">
        <f>+'5% CO Elab'!W71</f>
        <v>1.1574613808548153E-2</v>
      </c>
      <c r="L71">
        <f>+'5% CO Elab'!AB71</f>
        <v>9.1722950765216107E-4</v>
      </c>
      <c r="M71" s="20">
        <v>25</v>
      </c>
      <c r="N71" s="20" t="s">
        <v>309</v>
      </c>
      <c r="O71" s="20" t="s">
        <v>310</v>
      </c>
      <c r="P71" s="20">
        <v>76</v>
      </c>
      <c r="Q71" s="20" t="s">
        <v>42</v>
      </c>
      <c r="R71" s="20" t="s">
        <v>311</v>
      </c>
      <c r="S71" s="20">
        <v>1</v>
      </c>
      <c r="T71" s="20" t="s">
        <v>289</v>
      </c>
      <c r="U71" s="20" t="s">
        <v>310</v>
      </c>
      <c r="V71" s="20">
        <v>50</v>
      </c>
      <c r="W71" s="20" t="s">
        <v>312</v>
      </c>
      <c r="X71" s="1"/>
      <c r="Y71">
        <f>+'5% CO Elab'!AA71</f>
        <v>2.6064919669385187E-3</v>
      </c>
      <c r="Z71" s="20">
        <f t="shared" ref="Z71:Z73" si="31">M71</f>
        <v>25</v>
      </c>
      <c r="AA71" s="20" t="s">
        <v>41</v>
      </c>
      <c r="AB71" s="20" t="str">
        <f t="shared" si="24"/>
        <v>+</v>
      </c>
      <c r="AC71" s="20">
        <f t="shared" ref="AC71:AC73" si="32">+P71-Z71</f>
        <v>51</v>
      </c>
      <c r="AD71" s="20" t="str">
        <f t="shared" si="25"/>
        <v>H2</v>
      </c>
      <c r="AE71" s="20" t="str">
        <f t="shared" ref="AE71:AH73" si="33">R71</f>
        <v>=</v>
      </c>
      <c r="AF71" s="20">
        <f t="shared" si="33"/>
        <v>1</v>
      </c>
      <c r="AG71" s="20" t="str">
        <f t="shared" si="33"/>
        <v>C25H52</v>
      </c>
      <c r="AH71" s="20" t="str">
        <f t="shared" si="33"/>
        <v>+</v>
      </c>
      <c r="AI71" s="20">
        <f t="shared" ref="AI71:AI73" si="34">+Z71</f>
        <v>25</v>
      </c>
      <c r="AJ71" s="20" t="str">
        <f t="shared" ref="AJ71:AJ73" si="35">+W71</f>
        <v>H2O</v>
      </c>
      <c r="AL71">
        <f t="shared" ref="AL71:AL73" si="36">+V71*L71</f>
        <v>4.5861475382608055E-2</v>
      </c>
      <c r="AM71">
        <f t="shared" ref="AM71:AM73" si="37">+AI71*Y71</f>
        <v>6.5162299173462973E-2</v>
      </c>
      <c r="AP71">
        <f>+'10% CO Elab'!S71</f>
        <v>25</v>
      </c>
      <c r="AQ71" t="str">
        <f>+'10% CO Elab'!T71</f>
        <v>N-PENTACOSANE</v>
      </c>
      <c r="AR71" t="str">
        <f>+'10% CO Elab'!U71</f>
        <v>C25H52</v>
      </c>
      <c r="AS71" t="str">
        <f>+'10% CO Elab'!V71</f>
        <v>C25</v>
      </c>
      <c r="AT71">
        <f>+'10% CO Elab'!W71</f>
        <v>1.4707996575274537E-2</v>
      </c>
      <c r="AU71">
        <f>+'10% CO Elab'!X71</f>
        <v>0.36769991438186345</v>
      </c>
      <c r="AW71">
        <f>+'10% CO Elab'!AB71</f>
        <v>6.6753736962651803E-4</v>
      </c>
      <c r="AX71" s="20">
        <v>25</v>
      </c>
      <c r="AY71" s="20" t="s">
        <v>309</v>
      </c>
      <c r="AZ71" s="20" t="s">
        <v>310</v>
      </c>
      <c r="BA71" s="20">
        <v>76</v>
      </c>
      <c r="BB71" s="20" t="s">
        <v>42</v>
      </c>
      <c r="BC71" s="20" t="s">
        <v>311</v>
      </c>
      <c r="BD71" s="20">
        <v>1</v>
      </c>
      <c r="BE71" s="20" t="s">
        <v>289</v>
      </c>
      <c r="BF71" s="20" t="s">
        <v>310</v>
      </c>
      <c r="BG71" s="20">
        <v>50</v>
      </c>
      <c r="BH71" s="20" t="s">
        <v>312</v>
      </c>
      <c r="BI71" s="1"/>
      <c r="BJ71">
        <f>+'10% CO Elab'!AA71</f>
        <v>3.3319603378120723E-3</v>
      </c>
      <c r="BK71" s="20">
        <f t="shared" ref="BK71:BK73" si="38">AX71</f>
        <v>25</v>
      </c>
      <c r="BL71" s="20" t="s">
        <v>41</v>
      </c>
      <c r="BM71" s="20" t="str">
        <f t="shared" si="26"/>
        <v>+</v>
      </c>
      <c r="BN71" s="20">
        <f t="shared" ref="BN71:BN73" si="39">+BA71-BK71</f>
        <v>51</v>
      </c>
      <c r="BO71" s="20" t="str">
        <f t="shared" si="27"/>
        <v>H2</v>
      </c>
      <c r="BP71" s="20" t="str">
        <f t="shared" ref="BP71:BP73" si="40">BC71</f>
        <v>=</v>
      </c>
      <c r="BQ71" s="20">
        <f t="shared" si="28"/>
        <v>1</v>
      </c>
      <c r="BR71" s="20" t="str">
        <f t="shared" si="29"/>
        <v>C25H52</v>
      </c>
      <c r="BS71" s="20" t="str">
        <f t="shared" si="30"/>
        <v>+</v>
      </c>
      <c r="BT71" s="20">
        <f t="shared" si="23"/>
        <v>25</v>
      </c>
      <c r="BU71" s="20" t="str">
        <f t="shared" ref="BU71:BU73" si="41">+BH71</f>
        <v>H2O</v>
      </c>
      <c r="BW71">
        <f t="shared" ref="BW71:BW73" si="42">+BG71*AW71</f>
        <v>3.33768684813259E-2</v>
      </c>
      <c r="BX71">
        <f t="shared" ref="BX71:BX73" si="43">+BT71*BJ71</f>
        <v>8.3299008445301803E-2</v>
      </c>
    </row>
    <row r="72" spans="5:76" x14ac:dyDescent="0.2">
      <c r="E72">
        <f>+'5% CO Elab'!R72</f>
        <v>67</v>
      </c>
      <c r="F72">
        <f>+'5% CO Elab'!S72</f>
        <v>26</v>
      </c>
      <c r="G72" t="str">
        <f>+'5% CO Elab'!T72</f>
        <v>N-HEXACOSANE</v>
      </c>
      <c r="H72" t="str">
        <f>+'5% CO Elab'!U72</f>
        <v>C26H54</v>
      </c>
      <c r="I72" t="str">
        <f>+'5% CO Elab'!V72</f>
        <v>C26</v>
      </c>
      <c r="J72">
        <f>+'5% CO Elab'!W72</f>
        <v>9.7939039918484381E-3</v>
      </c>
      <c r="L72">
        <f>+'5% CO Elab'!AB72</f>
        <v>8.0716196673390184E-4</v>
      </c>
      <c r="M72" s="20">
        <v>26</v>
      </c>
      <c r="N72" s="20" t="s">
        <v>309</v>
      </c>
      <c r="O72" s="20" t="s">
        <v>310</v>
      </c>
      <c r="P72" s="20">
        <v>79</v>
      </c>
      <c r="Q72" s="20" t="s">
        <v>42</v>
      </c>
      <c r="R72" s="20" t="s">
        <v>311</v>
      </c>
      <c r="S72" s="20">
        <v>1</v>
      </c>
      <c r="T72" s="20" t="s">
        <v>292</v>
      </c>
      <c r="U72" s="20" t="s">
        <v>310</v>
      </c>
      <c r="V72" s="20">
        <v>52</v>
      </c>
      <c r="W72" s="20" t="s">
        <v>312</v>
      </c>
      <c r="X72" s="1"/>
      <c r="Y72">
        <f>+'5% CO Elab'!AA72</f>
        <v>2.2937129309058965E-3</v>
      </c>
      <c r="Z72" s="20">
        <f t="shared" si="31"/>
        <v>26</v>
      </c>
      <c r="AA72" s="20" t="s">
        <v>41</v>
      </c>
      <c r="AB72" s="20" t="str">
        <f t="shared" si="24"/>
        <v>+</v>
      </c>
      <c r="AC72" s="20">
        <f t="shared" si="32"/>
        <v>53</v>
      </c>
      <c r="AD72" s="20" t="str">
        <f t="shared" si="25"/>
        <v>H2</v>
      </c>
      <c r="AE72" s="20" t="str">
        <f t="shared" si="33"/>
        <v>=</v>
      </c>
      <c r="AF72" s="20">
        <f t="shared" si="33"/>
        <v>1</v>
      </c>
      <c r="AG72" s="20" t="str">
        <f t="shared" si="33"/>
        <v>C26H54</v>
      </c>
      <c r="AH72" s="20" t="str">
        <f t="shared" si="33"/>
        <v>+</v>
      </c>
      <c r="AI72" s="20">
        <f t="shared" si="34"/>
        <v>26</v>
      </c>
      <c r="AJ72" s="20" t="str">
        <f t="shared" si="35"/>
        <v>H2O</v>
      </c>
      <c r="AL72">
        <f t="shared" si="36"/>
        <v>4.1972422270162894E-2</v>
      </c>
      <c r="AM72">
        <f t="shared" si="37"/>
        <v>5.963653620355331E-2</v>
      </c>
      <c r="AP72">
        <f>+'10% CO Elab'!S72</f>
        <v>26</v>
      </c>
      <c r="AQ72" t="str">
        <f>+'10% CO Elab'!T72</f>
        <v>N-HEXACOSANE</v>
      </c>
      <c r="AR72" t="str">
        <f>+'10% CO Elab'!U72</f>
        <v>C26H54</v>
      </c>
      <c r="AS72" t="str">
        <f>+'10% CO Elab'!V72</f>
        <v>C26</v>
      </c>
      <c r="AT72">
        <f>+'10% CO Elab'!W72</f>
        <v>1.2445227871386149E-2</v>
      </c>
      <c r="AU72">
        <f>+'10% CO Elab'!X72</f>
        <v>0.32357592465603985</v>
      </c>
      <c r="AW72">
        <f>+'10% CO Elab'!AB72</f>
        <v>5.8743288527133587E-4</v>
      </c>
      <c r="AX72" s="20">
        <v>26</v>
      </c>
      <c r="AY72" s="20" t="s">
        <v>309</v>
      </c>
      <c r="AZ72" s="20" t="s">
        <v>310</v>
      </c>
      <c r="BA72" s="20">
        <v>79</v>
      </c>
      <c r="BB72" s="20" t="s">
        <v>42</v>
      </c>
      <c r="BC72" s="20" t="s">
        <v>311</v>
      </c>
      <c r="BD72" s="20">
        <v>1</v>
      </c>
      <c r="BE72" s="20" t="s">
        <v>292</v>
      </c>
      <c r="BF72" s="20" t="s">
        <v>310</v>
      </c>
      <c r="BG72" s="20">
        <v>52</v>
      </c>
      <c r="BH72" s="20" t="s">
        <v>312</v>
      </c>
      <c r="BI72" s="1"/>
      <c r="BJ72">
        <f>+'10% CO Elab'!AA72</f>
        <v>2.9321250972746235E-3</v>
      </c>
      <c r="BK72" s="20">
        <f t="shared" si="38"/>
        <v>26</v>
      </c>
      <c r="BL72" s="20" t="s">
        <v>41</v>
      </c>
      <c r="BM72" s="20" t="str">
        <f t="shared" si="26"/>
        <v>+</v>
      </c>
      <c r="BN72" s="20">
        <f t="shared" si="39"/>
        <v>53</v>
      </c>
      <c r="BO72" s="20" t="str">
        <f t="shared" si="27"/>
        <v>H2</v>
      </c>
      <c r="BP72" s="20" t="str">
        <f t="shared" si="40"/>
        <v>=</v>
      </c>
      <c r="BQ72" s="20">
        <f t="shared" si="28"/>
        <v>1</v>
      </c>
      <c r="BR72" s="20" t="str">
        <f t="shared" si="29"/>
        <v>C26H54</v>
      </c>
      <c r="BS72" s="20" t="str">
        <f t="shared" si="30"/>
        <v>+</v>
      </c>
      <c r="BT72" s="20">
        <f t="shared" ref="BT72:BT73" si="44">+BK72</f>
        <v>26</v>
      </c>
      <c r="BU72" s="20" t="str">
        <f t="shared" si="41"/>
        <v>H2O</v>
      </c>
      <c r="BW72">
        <f t="shared" si="42"/>
        <v>3.0546510034109464E-2</v>
      </c>
      <c r="BX72">
        <f t="shared" si="43"/>
        <v>7.6235252529140207E-2</v>
      </c>
    </row>
    <row r="73" spans="5:76" x14ac:dyDescent="0.2">
      <c r="E73">
        <f>+'5% CO Elab'!R73</f>
        <v>68</v>
      </c>
      <c r="F73">
        <f>+'5% CO Elab'!S73</f>
        <v>27</v>
      </c>
      <c r="G73" t="str">
        <f>+'5% CO Elab'!T73</f>
        <v>N-HEPTACOSANE</v>
      </c>
      <c r="H73" t="str">
        <f>+'5% CO Elab'!U73</f>
        <v>C27H56</v>
      </c>
      <c r="I73" t="str">
        <f>+'5% CO Elab'!V73</f>
        <v>C27</v>
      </c>
      <c r="J73">
        <f>+'5% CO Elab'!W73</f>
        <v>8.0131941751487214E-3</v>
      </c>
      <c r="L73">
        <f>+'5% CO Elab'!AB73</f>
        <v>6.8580544725992359E-4</v>
      </c>
      <c r="M73" s="20">
        <v>27</v>
      </c>
      <c r="N73" s="20" t="s">
        <v>309</v>
      </c>
      <c r="O73" s="20" t="s">
        <v>310</v>
      </c>
      <c r="P73" s="20">
        <v>82</v>
      </c>
      <c r="Q73" s="20" t="s">
        <v>42</v>
      </c>
      <c r="R73" s="20" t="s">
        <v>311</v>
      </c>
      <c r="S73" s="20">
        <v>1</v>
      </c>
      <c r="T73" s="20" t="s">
        <v>295</v>
      </c>
      <c r="U73" s="20" t="s">
        <v>310</v>
      </c>
      <c r="V73" s="20">
        <v>54</v>
      </c>
      <c r="W73" s="20" t="s">
        <v>312</v>
      </c>
      <c r="X73" s="1"/>
      <c r="Y73">
        <f>+'5% CO Elab'!AA73</f>
        <v>1.9488539937417232E-3</v>
      </c>
      <c r="Z73" s="20">
        <f t="shared" si="31"/>
        <v>27</v>
      </c>
      <c r="AA73" s="20" t="s">
        <v>41</v>
      </c>
      <c r="AB73" s="20" t="str">
        <f t="shared" si="24"/>
        <v>+</v>
      </c>
      <c r="AC73" s="20">
        <f t="shared" si="32"/>
        <v>55</v>
      </c>
      <c r="AD73" s="20" t="str">
        <f t="shared" si="25"/>
        <v>H2</v>
      </c>
      <c r="AE73" s="20" t="str">
        <f t="shared" si="33"/>
        <v>=</v>
      </c>
      <c r="AF73" s="20">
        <f t="shared" si="33"/>
        <v>1</v>
      </c>
      <c r="AG73" s="20" t="str">
        <f t="shared" si="33"/>
        <v>C27H56</v>
      </c>
      <c r="AH73" s="20" t="str">
        <f t="shared" si="33"/>
        <v>+</v>
      </c>
      <c r="AI73" s="20">
        <f t="shared" si="34"/>
        <v>27</v>
      </c>
      <c r="AJ73" s="20" t="str">
        <f t="shared" si="35"/>
        <v>H2O</v>
      </c>
      <c r="AL73">
        <f t="shared" si="36"/>
        <v>3.7033494152035877E-2</v>
      </c>
      <c r="AM73">
        <f t="shared" si="37"/>
        <v>5.2619057831026529E-2</v>
      </c>
      <c r="AP73">
        <f>+'10% CO Elab'!S73</f>
        <v>27</v>
      </c>
      <c r="AQ73" t="str">
        <f>+'10% CO Elab'!T73</f>
        <v>N-HEPTACOSANE</v>
      </c>
      <c r="AR73" t="str">
        <f>+'10% CO Elab'!U73</f>
        <v>C27H56</v>
      </c>
      <c r="AS73" t="str">
        <f>+'10% CO Elab'!V73</f>
        <v>C27</v>
      </c>
      <c r="AT73">
        <f>+'10% CO Elab'!W73</f>
        <v>1.0182459167497758E-2</v>
      </c>
      <c r="AU73">
        <f>+'10% CO Elab'!X73</f>
        <v>0.27492639752243947</v>
      </c>
      <c r="AW73">
        <f>+'10% CO Elab'!AB73</f>
        <v>4.9911255636690428E-4</v>
      </c>
      <c r="AX73" s="20">
        <v>27</v>
      </c>
      <c r="AY73" s="20" t="s">
        <v>309</v>
      </c>
      <c r="AZ73" s="20" t="s">
        <v>310</v>
      </c>
      <c r="BA73" s="20">
        <v>82</v>
      </c>
      <c r="BB73" s="20" t="s">
        <v>42</v>
      </c>
      <c r="BC73" s="20" t="s">
        <v>311</v>
      </c>
      <c r="BD73" s="20">
        <v>1</v>
      </c>
      <c r="BE73" s="20" t="s">
        <v>295</v>
      </c>
      <c r="BF73" s="20" t="s">
        <v>310</v>
      </c>
      <c r="BG73" s="20">
        <v>54</v>
      </c>
      <c r="BH73" s="20" t="s">
        <v>312</v>
      </c>
      <c r="BI73" s="1"/>
      <c r="BJ73">
        <f>+'10% CO Elab'!AA73</f>
        <v>2.4912811141179492E-3</v>
      </c>
      <c r="BK73" s="20">
        <f t="shared" si="38"/>
        <v>27</v>
      </c>
      <c r="BL73" s="20" t="s">
        <v>41</v>
      </c>
      <c r="BM73" s="20" t="str">
        <f t="shared" si="26"/>
        <v>+</v>
      </c>
      <c r="BN73" s="20">
        <f t="shared" si="39"/>
        <v>55</v>
      </c>
      <c r="BO73" s="20" t="str">
        <f t="shared" si="27"/>
        <v>H2</v>
      </c>
      <c r="BP73" s="20" t="str">
        <f t="shared" si="40"/>
        <v>=</v>
      </c>
      <c r="BQ73" s="20">
        <f t="shared" si="28"/>
        <v>1</v>
      </c>
      <c r="BR73" s="20" t="str">
        <f t="shared" si="29"/>
        <v>C27H56</v>
      </c>
      <c r="BS73" s="20" t="str">
        <f t="shared" si="30"/>
        <v>+</v>
      </c>
      <c r="BT73" s="20">
        <f t="shared" si="44"/>
        <v>27</v>
      </c>
      <c r="BU73" s="20" t="str">
        <f t="shared" si="41"/>
        <v>H2O</v>
      </c>
      <c r="BW73">
        <f t="shared" si="42"/>
        <v>2.6952078043812833E-2</v>
      </c>
      <c r="BX73">
        <f t="shared" si="43"/>
        <v>6.7264590081184628E-2</v>
      </c>
    </row>
    <row r="75" spans="5:76" x14ac:dyDescent="0.2">
      <c r="AL75">
        <f>+SUM(AL6:AL73)</f>
        <v>3.8498458679248175</v>
      </c>
      <c r="AM75">
        <f>+SUM(AM6:AM73)</f>
        <v>5.4664306063551411</v>
      </c>
      <c r="BW75">
        <f>+SUM(BW6:BW73)</f>
        <v>2.4037073482845015</v>
      </c>
      <c r="BX75">
        <f>+SUM(BX6:BX73)</f>
        <v>5.9948311565391101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3916-A3BB-0642-AA98-F3DD8342C95E}">
  <dimension ref="B1:W72"/>
  <sheetViews>
    <sheetView topLeftCell="F38" zoomScale="106" workbookViewId="0">
      <selection activeCell="O5" sqref="O5:R72"/>
    </sheetView>
  </sheetViews>
  <sheetFormatPr baseColWidth="10" defaultRowHeight="16" x14ac:dyDescent="0.2"/>
  <sheetData>
    <row r="1" spans="2:23" x14ac:dyDescent="0.2">
      <c r="T1" t="s">
        <v>48</v>
      </c>
      <c r="U1" t="s">
        <v>48</v>
      </c>
    </row>
    <row r="2" spans="2:23" x14ac:dyDescent="0.2">
      <c r="T2" s="9">
        <f>+SUM(T5:T72)</f>
        <v>0.28691484087126523</v>
      </c>
      <c r="U2" s="9">
        <f>+SUM(U5:U72)</f>
        <v>0.81532617702264143</v>
      </c>
      <c r="W2" t="s">
        <v>385</v>
      </c>
    </row>
    <row r="3" spans="2:23" x14ac:dyDescent="0.2">
      <c r="B3" t="s">
        <v>366</v>
      </c>
      <c r="C3" s="24">
        <v>0.05</v>
      </c>
      <c r="D3" s="24">
        <v>0.1</v>
      </c>
      <c r="E3" s="24">
        <v>0.15</v>
      </c>
      <c r="I3" s="35">
        <v>5.5E-2</v>
      </c>
      <c r="J3" s="24">
        <v>0.1</v>
      </c>
      <c r="K3" s="35">
        <v>5.5E-2</v>
      </c>
      <c r="L3" s="24">
        <v>0.1</v>
      </c>
      <c r="O3" s="38" t="s">
        <v>309</v>
      </c>
      <c r="P3" s="38"/>
      <c r="Q3" s="38" t="s">
        <v>41</v>
      </c>
      <c r="R3" s="38"/>
      <c r="W3">
        <v>5.5E-2</v>
      </c>
    </row>
    <row r="4" spans="2:23" x14ac:dyDescent="0.2">
      <c r="B4">
        <v>1</v>
      </c>
      <c r="C4">
        <v>11.480162444061929</v>
      </c>
      <c r="D4">
        <v>13.675370092509265</v>
      </c>
      <c r="I4" s="38" t="s">
        <v>309</v>
      </c>
      <c r="J4" s="38"/>
      <c r="K4" s="38" t="s">
        <v>41</v>
      </c>
      <c r="L4" s="38"/>
      <c r="O4" t="s">
        <v>382</v>
      </c>
      <c r="P4" t="s">
        <v>384</v>
      </c>
      <c r="Q4" t="s">
        <v>382</v>
      </c>
      <c r="R4" t="s">
        <v>383</v>
      </c>
      <c r="T4" t="s">
        <v>309</v>
      </c>
      <c r="U4" t="s">
        <v>41</v>
      </c>
    </row>
    <row r="5" spans="2:23" x14ac:dyDescent="0.2">
      <c r="B5">
        <v>2</v>
      </c>
      <c r="C5">
        <v>7.748422302624558</v>
      </c>
      <c r="D5">
        <v>9.0679026537862697</v>
      </c>
      <c r="I5">
        <f>+Conv!L6</f>
        <v>3.3838688744120049E-2</v>
      </c>
      <c r="J5">
        <f>+Conv!AW6</f>
        <v>2.3173170057453958E-2</v>
      </c>
      <c r="K5">
        <f>+Conv!Y6</f>
        <v>9.6159434086511925E-2</v>
      </c>
      <c r="L5">
        <f>+Conv!BJ6</f>
        <v>0.11566705782480829</v>
      </c>
      <c r="O5">
        <f>+SLOPE(I5:J5,$I$3:$J$3)</f>
        <v>-0.23701152637035752</v>
      </c>
      <c r="P5">
        <f>+INTERCEPT(I5:J5,$I$3:$J$3)</f>
        <v>4.6874322694489712E-2</v>
      </c>
      <c r="Q5">
        <f>+SLOPE(K5:L5,$K$3:$L$3)</f>
        <v>0.43350274973991926</v>
      </c>
      <c r="R5">
        <f>+INTERCEPT(K5:L5,$K$3:$L$3)</f>
        <v>7.2316782850816358E-2</v>
      </c>
      <c r="T5">
        <f>+O5*$W$3+P5</f>
        <v>3.3838688744120049E-2</v>
      </c>
      <c r="U5">
        <f>+Q5*$W$3+R5</f>
        <v>9.6159434086511925E-2</v>
      </c>
    </row>
    <row r="6" spans="2:23" x14ac:dyDescent="0.2">
      <c r="B6">
        <v>3</v>
      </c>
      <c r="C6">
        <v>10.523417024091515</v>
      </c>
      <c r="D6">
        <v>12.151740042685217</v>
      </c>
      <c r="I6">
        <f>+Conv!L7</f>
        <v>2.5510998760656768E-3</v>
      </c>
      <c r="J6">
        <f>+Conv!AW7</f>
        <v>1.6536526399871132E-3</v>
      </c>
      <c r="K6">
        <f>+Conv!Y7</f>
        <v>7.2494629515829764E-3</v>
      </c>
      <c r="L6">
        <f>+Conv!BJ7</f>
        <v>8.2540772392083982E-3</v>
      </c>
      <c r="O6">
        <f>+SLOPE(I6:J6,$I$3:$J$3)</f>
        <v>-1.9943271912856962E-2</v>
      </c>
      <c r="P6">
        <f t="shared" ref="P6:P69" si="0">+INTERCEPT(I6:J6,$I$3:$J$3)</f>
        <v>3.6479798312728092E-3</v>
      </c>
      <c r="Q6">
        <f t="shared" ref="Q6:Q69" si="1">+SLOPE(K6:L6,$K$3:$L$3)</f>
        <v>2.232476194723159E-2</v>
      </c>
      <c r="R6">
        <f t="shared" ref="R6:R69" si="2">+INTERCEPT(K6:L6,$K$3:$L$3)</f>
        <v>6.0216010444852398E-3</v>
      </c>
      <c r="T6">
        <f t="shared" ref="T6:T69" si="3">+O6*$W$3+P6</f>
        <v>2.5510998760656764E-3</v>
      </c>
      <c r="U6">
        <f t="shared" ref="U6:U69" si="4">+Q6*$W$3+R6</f>
        <v>7.2494629515829773E-3</v>
      </c>
    </row>
    <row r="7" spans="2:23" x14ac:dyDescent="0.2">
      <c r="B7">
        <v>4</v>
      </c>
      <c r="C7">
        <v>8.7544194237415063</v>
      </c>
      <c r="D7">
        <v>9.8909643076389226</v>
      </c>
      <c r="I7">
        <f>+Conv!L8</f>
        <v>4.6801244079418894E-3</v>
      </c>
      <c r="J7">
        <f>+Conv!AW8</f>
        <v>3.1026627991575634E-3</v>
      </c>
      <c r="K7">
        <f>+Conv!Y8</f>
        <v>1.329951399491992E-2</v>
      </c>
      <c r="L7">
        <f>+Conv!BJ8</f>
        <v>1.5486697612422787E-2</v>
      </c>
      <c r="O7">
        <f t="shared" ref="O7:O69" si="5">+SLOPE(I7:J7,$I$3:$J$3)</f>
        <v>-3.5054702417429452E-2</v>
      </c>
      <c r="P7">
        <f t="shared" si="0"/>
        <v>6.6081330409005091E-3</v>
      </c>
      <c r="Q7">
        <f t="shared" si="1"/>
        <v>4.8604080388952586E-2</v>
      </c>
      <c r="R7">
        <f t="shared" si="2"/>
        <v>1.0626289573527528E-2</v>
      </c>
      <c r="T7">
        <f t="shared" si="3"/>
        <v>4.6801244079418894E-3</v>
      </c>
      <c r="U7">
        <f t="shared" si="4"/>
        <v>1.329951399491992E-2</v>
      </c>
    </row>
    <row r="8" spans="2:23" x14ac:dyDescent="0.2">
      <c r="B8">
        <v>5</v>
      </c>
      <c r="C8">
        <v>8.1545512951124035</v>
      </c>
      <c r="D8">
        <v>8.1091381769103226</v>
      </c>
      <c r="I8">
        <f>+Conv!L9</f>
        <v>1.9880804159605078E-2</v>
      </c>
      <c r="J8">
        <f>+Conv!AW9</f>
        <v>1.3359576240831665E-2</v>
      </c>
      <c r="K8">
        <f>+Conv!Y9</f>
        <v>5.6495300146776103E-2</v>
      </c>
      <c r="L8">
        <f>+Conv!BJ9</f>
        <v>6.6683275258930613E-2</v>
      </c>
      <c r="O8">
        <f t="shared" si="5"/>
        <v>-0.14491617597274245</v>
      </c>
      <c r="P8">
        <f t="shared" si="0"/>
        <v>2.7851193838105907E-2</v>
      </c>
      <c r="Q8">
        <f t="shared" si="1"/>
        <v>0.22639944693676681</v>
      </c>
      <c r="R8">
        <f t="shared" si="2"/>
        <v>4.4043330565253933E-2</v>
      </c>
      <c r="T8">
        <f t="shared" si="3"/>
        <v>1.9880804159605074E-2</v>
      </c>
      <c r="U8">
        <f t="shared" si="4"/>
        <v>5.6495300146776103E-2</v>
      </c>
    </row>
    <row r="9" spans="2:23" x14ac:dyDescent="0.2">
      <c r="B9">
        <v>6</v>
      </c>
      <c r="C9">
        <v>5.9653867968408427</v>
      </c>
      <c r="D9">
        <v>6.5805558859871054</v>
      </c>
      <c r="I9">
        <f>+Conv!L10</f>
        <v>3.2786872970169902E-3</v>
      </c>
      <c r="J9">
        <f>+Conv!AW10</f>
        <v>2.1275257575477146E-3</v>
      </c>
      <c r="K9">
        <f>+Conv!Y10</f>
        <v>9.3170488198238179E-3</v>
      </c>
      <c r="L9">
        <f>+Conv!BJ10</f>
        <v>1.0619377677370652E-2</v>
      </c>
      <c r="O9">
        <f t="shared" si="5"/>
        <v>-2.5581367543761675E-2</v>
      </c>
      <c r="P9">
        <f t="shared" si="0"/>
        <v>4.6856625119238819E-3</v>
      </c>
      <c r="Q9">
        <f t="shared" si="1"/>
        <v>2.8940641278818527E-2</v>
      </c>
      <c r="R9">
        <f t="shared" si="2"/>
        <v>7.7253135494887992E-3</v>
      </c>
      <c r="T9">
        <f t="shared" si="3"/>
        <v>3.2786872970169897E-3</v>
      </c>
      <c r="U9">
        <f t="shared" si="4"/>
        <v>9.3170488198238179E-3</v>
      </c>
    </row>
    <row r="10" spans="2:23" x14ac:dyDescent="0.2">
      <c r="B10">
        <v>7</v>
      </c>
      <c r="C10">
        <v>4.1818169482805789</v>
      </c>
      <c r="D10">
        <v>3.9175019728170488</v>
      </c>
      <c r="I10">
        <f>+Conv!L11</f>
        <v>3.0078412215702101E-2</v>
      </c>
      <c r="J10">
        <f>+Conv!AW11</f>
        <v>1.9933237019935889E-2</v>
      </c>
      <c r="K10">
        <f>+Conv!Y11</f>
        <v>8.5473852688376498E-2</v>
      </c>
      <c r="L10">
        <f>+Conv!BJ11</f>
        <v>9.9495186601752869E-2</v>
      </c>
      <c r="O10">
        <f t="shared" si="5"/>
        <v>-0.22544833768369352</v>
      </c>
      <c r="P10">
        <f t="shared" si="0"/>
        <v>4.247807078830524E-2</v>
      </c>
      <c r="Q10">
        <f t="shared" si="1"/>
        <v>0.31158519807503038</v>
      </c>
      <c r="R10">
        <f t="shared" si="2"/>
        <v>6.8336666794249823E-2</v>
      </c>
      <c r="T10">
        <f t="shared" si="3"/>
        <v>3.0078412215702097E-2</v>
      </c>
      <c r="U10">
        <f t="shared" si="4"/>
        <v>8.5473852688376498E-2</v>
      </c>
    </row>
    <row r="11" spans="2:23" x14ac:dyDescent="0.2">
      <c r="B11">
        <v>8</v>
      </c>
      <c r="C11">
        <v>5.5572888564200777</v>
      </c>
      <c r="D11">
        <v>5.2185092451084092</v>
      </c>
      <c r="I11">
        <f>+Conv!L12</f>
        <v>3.2021040641506647E-3</v>
      </c>
      <c r="J11">
        <f>+Conv!AW12</f>
        <v>1.9601636180730272E-3</v>
      </c>
      <c r="K11">
        <f>+Conv!Y12</f>
        <v>9.0994221739266398E-3</v>
      </c>
      <c r="L11">
        <f>+Conv!BJ12</f>
        <v>9.7840027063888346E-3</v>
      </c>
      <c r="O11">
        <f t="shared" si="5"/>
        <v>-2.7598676579503049E-2</v>
      </c>
      <c r="P11">
        <f t="shared" si="0"/>
        <v>4.7200312760233322E-3</v>
      </c>
      <c r="Q11">
        <f t="shared" si="1"/>
        <v>1.5212900721382101E-2</v>
      </c>
      <c r="R11">
        <f t="shared" si="2"/>
        <v>8.2627126342506262E-3</v>
      </c>
      <c r="T11">
        <f t="shared" si="3"/>
        <v>3.2021040641506647E-3</v>
      </c>
      <c r="U11">
        <f t="shared" si="4"/>
        <v>9.0994221739266416E-3</v>
      </c>
    </row>
    <row r="12" spans="2:23" x14ac:dyDescent="0.2">
      <c r="B12">
        <v>9</v>
      </c>
      <c r="C12">
        <v>5.6774426656605854</v>
      </c>
      <c r="D12">
        <v>5.1379563487981272</v>
      </c>
      <c r="I12">
        <f>+Conv!L13</f>
        <v>1.2503373233889697E-4</v>
      </c>
      <c r="J12">
        <f>+Conv!AW13</f>
        <v>6.5836969445755536E-5</v>
      </c>
      <c r="K12">
        <f>+Conv!Y13</f>
        <v>3.5530847647049959E-4</v>
      </c>
      <c r="L12">
        <f>+Conv!BJ13</f>
        <v>3.2862006074317059E-4</v>
      </c>
      <c r="O12">
        <f t="shared" si="5"/>
        <v>-1.3154836198475872E-3</v>
      </c>
      <c r="P12">
        <f t="shared" si="0"/>
        <v>1.9738533143051428E-4</v>
      </c>
      <c r="Q12">
        <f t="shared" si="1"/>
        <v>-5.9307590505175542E-4</v>
      </c>
      <c r="R12">
        <f t="shared" si="2"/>
        <v>3.8792765124834609E-4</v>
      </c>
      <c r="T12">
        <f t="shared" si="3"/>
        <v>1.2503373233889697E-4</v>
      </c>
      <c r="U12">
        <f t="shared" si="4"/>
        <v>3.5530847647049954E-4</v>
      </c>
    </row>
    <row r="13" spans="2:23" x14ac:dyDescent="0.2">
      <c r="B13">
        <v>10</v>
      </c>
      <c r="C13">
        <v>5.0040531640984742</v>
      </c>
      <c r="D13">
        <v>4.8319071184768339</v>
      </c>
      <c r="I13">
        <f>+Conv!L14</f>
        <v>2.4422597790848009E-2</v>
      </c>
      <c r="J13">
        <f>+Conv!AW14</f>
        <v>1.5930458031979688E-2</v>
      </c>
      <c r="K13">
        <f>+Conv!Y14</f>
        <v>6.9401719441582077E-2</v>
      </c>
      <c r="L13">
        <f>+Conv!BJ14</f>
        <v>7.9515629747340916E-2</v>
      </c>
      <c r="O13">
        <f t="shared" si="5"/>
        <v>-0.18871421686374043</v>
      </c>
      <c r="P13">
        <f t="shared" si="0"/>
        <v>3.4801879718353732E-2</v>
      </c>
      <c r="Q13">
        <f t="shared" si="1"/>
        <v>0.22475356235019636</v>
      </c>
      <c r="R13">
        <f t="shared" si="2"/>
        <v>5.7040273512321278E-2</v>
      </c>
      <c r="T13">
        <f t="shared" si="3"/>
        <v>2.4422597790848009E-2</v>
      </c>
      <c r="U13">
        <f t="shared" si="4"/>
        <v>6.9401719441582077E-2</v>
      </c>
    </row>
    <row r="14" spans="2:23" x14ac:dyDescent="0.2">
      <c r="B14">
        <v>11</v>
      </c>
      <c r="C14">
        <v>3.7565895334104153</v>
      </c>
      <c r="D14">
        <v>3.7645792885362162</v>
      </c>
      <c r="I14">
        <f>+Conv!L15</f>
        <v>5.3306115272615836E-4</v>
      </c>
      <c r="J14">
        <f>+Conv!AW15</f>
        <v>2.8068530122437609E-4</v>
      </c>
      <c r="K14">
        <f>+Conv!Y15</f>
        <v>1.5148003862459963E-3</v>
      </c>
      <c r="L14">
        <f>+Conv!BJ15</f>
        <v>1.4010186300277248E-3</v>
      </c>
      <c r="O14">
        <f t="shared" si="5"/>
        <v>-5.608352255595161E-3</v>
      </c>
      <c r="P14">
        <f t="shared" si="0"/>
        <v>8.4152052678389223E-4</v>
      </c>
      <c r="Q14">
        <f t="shared" si="1"/>
        <v>-2.5284834715171428E-3</v>
      </c>
      <c r="R14">
        <f t="shared" si="2"/>
        <v>1.6538669771794391E-3</v>
      </c>
      <c r="T14">
        <f t="shared" si="3"/>
        <v>5.3306115272615836E-4</v>
      </c>
      <c r="U14">
        <f t="shared" si="4"/>
        <v>1.5148003862459963E-3</v>
      </c>
    </row>
    <row r="15" spans="2:23" x14ac:dyDescent="0.2">
      <c r="B15">
        <v>12</v>
      </c>
      <c r="C15">
        <v>2.7501308321211804</v>
      </c>
      <c r="D15">
        <v>2.9197024154560451</v>
      </c>
      <c r="I15">
        <f>+Conv!L16</f>
        <v>4.5099828979758771E-4</v>
      </c>
      <c r="J15">
        <f>+Conv!AW16</f>
        <v>8.1791534854939497E-4</v>
      </c>
      <c r="K15">
        <f>+Conv!Y16</f>
        <v>1.2816022703733309E-3</v>
      </c>
      <c r="L15">
        <f>+Conv!BJ16</f>
        <v>4.0825602056991711E-3</v>
      </c>
      <c r="O15">
        <f t="shared" si="5"/>
        <v>8.1537124167068275E-3</v>
      </c>
      <c r="P15">
        <f t="shared" si="0"/>
        <v>2.5441068787122011E-6</v>
      </c>
      <c r="Q15">
        <f t="shared" si="1"/>
        <v>6.2243509673907543E-2</v>
      </c>
      <c r="R15">
        <f t="shared" si="2"/>
        <v>-2.1417907616915837E-3</v>
      </c>
      <c r="T15">
        <f t="shared" si="3"/>
        <v>4.5099828979758771E-4</v>
      </c>
      <c r="U15">
        <f t="shared" si="4"/>
        <v>1.2816022703733311E-3</v>
      </c>
    </row>
    <row r="16" spans="2:23" x14ac:dyDescent="0.2">
      <c r="B16">
        <v>13</v>
      </c>
      <c r="C16">
        <v>1.7059387047286318</v>
      </c>
      <c r="D16">
        <v>2.008457397463808</v>
      </c>
      <c r="I16">
        <f>+Conv!L17</f>
        <v>2.4675578544528225E-2</v>
      </c>
      <c r="J16">
        <f>+Conv!AW17</f>
        <v>1.3523730787739389E-2</v>
      </c>
      <c r="K16">
        <f>+Conv!Y17</f>
        <v>7.012061509066056E-2</v>
      </c>
      <c r="L16">
        <f>+Conv!BJ17</f>
        <v>6.7502639783607418E-2</v>
      </c>
      <c r="O16">
        <f t="shared" si="5"/>
        <v>-0.24781883903975185</v>
      </c>
      <c r="P16">
        <f t="shared" si="0"/>
        <v>3.8305614691714576E-2</v>
      </c>
      <c r="Q16">
        <f t="shared" si="1"/>
        <v>-5.8177229045625355E-2</v>
      </c>
      <c r="R16">
        <f t="shared" si="2"/>
        <v>7.3320362688169952E-2</v>
      </c>
      <c r="T16">
        <f t="shared" si="3"/>
        <v>2.4675578544528225E-2</v>
      </c>
      <c r="U16">
        <f t="shared" si="4"/>
        <v>7.012061509066056E-2</v>
      </c>
    </row>
    <row r="17" spans="2:21" x14ac:dyDescent="0.2">
      <c r="B17">
        <v>14</v>
      </c>
      <c r="C17">
        <v>1.4263637155003654</v>
      </c>
      <c r="D17">
        <v>1.7765787864755529</v>
      </c>
      <c r="I17">
        <f>+Conv!L18</f>
        <v>1.8863718914912403E-4</v>
      </c>
      <c r="J17">
        <f>+Conv!AW18</f>
        <v>9.93276024479719E-5</v>
      </c>
      <c r="K17">
        <f>+Conv!Y18</f>
        <v>5.3605048036626493E-4</v>
      </c>
      <c r="L17">
        <f>+Conv!BJ18</f>
        <v>4.9578592430229746E-4</v>
      </c>
      <c r="O17">
        <f t="shared" si="5"/>
        <v>-1.9846574822478249E-3</v>
      </c>
      <c r="P17">
        <f t="shared" si="0"/>
        <v>2.9779335067275437E-4</v>
      </c>
      <c r="Q17">
        <f t="shared" si="1"/>
        <v>-8.9476791253261022E-4</v>
      </c>
      <c r="R17">
        <f t="shared" si="2"/>
        <v>5.8526271555555851E-4</v>
      </c>
      <c r="T17">
        <f t="shared" si="3"/>
        <v>1.8863718914912401E-4</v>
      </c>
      <c r="U17">
        <f t="shared" si="4"/>
        <v>5.3605048036626493E-4</v>
      </c>
    </row>
    <row r="18" spans="2:21" x14ac:dyDescent="0.2">
      <c r="B18">
        <v>15</v>
      </c>
      <c r="C18">
        <v>1.3460003018717062</v>
      </c>
      <c r="D18">
        <v>1.6800239646777726</v>
      </c>
      <c r="I18">
        <f>+Conv!L19</f>
        <v>9.5360396068194433E-3</v>
      </c>
      <c r="J18">
        <f>+Conv!AW19</f>
        <v>4.4620050148824883E-3</v>
      </c>
      <c r="K18">
        <f>+Conv!Y19</f>
        <v>2.7098572848147363E-2</v>
      </c>
      <c r="L18">
        <f>+Conv!BJ19</f>
        <v>2.2271747490369132E-2</v>
      </c>
      <c r="O18">
        <f t="shared" si="5"/>
        <v>-0.11275632426526563</v>
      </c>
      <c r="P18">
        <f t="shared" si="0"/>
        <v>1.5737637441409054E-2</v>
      </c>
      <c r="Q18">
        <f t="shared" si="1"/>
        <v>-0.1072627857284051</v>
      </c>
      <c r="R18">
        <f t="shared" si="2"/>
        <v>3.2998026063209646E-2</v>
      </c>
      <c r="T18">
        <f t="shared" si="3"/>
        <v>9.536039606819445E-3</v>
      </c>
      <c r="U18">
        <f t="shared" si="4"/>
        <v>2.7098572848147366E-2</v>
      </c>
    </row>
    <row r="19" spans="2:21" x14ac:dyDescent="0.2">
      <c r="B19">
        <v>16</v>
      </c>
      <c r="C19">
        <v>1.3240188731704929</v>
      </c>
      <c r="D19">
        <v>1.5998769169154572</v>
      </c>
      <c r="I19">
        <f>+Conv!L20</f>
        <v>1.1515580176396771E-4</v>
      </c>
      <c r="J19">
        <f>+Conv!AW20</f>
        <v>5.9062767943247924E-5</v>
      </c>
      <c r="K19">
        <f>+Conv!Y20</f>
        <v>3.2723835173210816E-4</v>
      </c>
      <c r="L19">
        <f>+Conv!BJ20</f>
        <v>2.9480716613424282E-4</v>
      </c>
      <c r="O19">
        <f t="shared" si="5"/>
        <v>-1.2465118626826615E-3</v>
      </c>
      <c r="P19">
        <f t="shared" si="0"/>
        <v>1.8371395421151407E-4</v>
      </c>
      <c r="Q19">
        <f t="shared" si="1"/>
        <v>-7.2069301328589615E-4</v>
      </c>
      <c r="R19">
        <f t="shared" si="2"/>
        <v>3.6687646746283247E-4</v>
      </c>
      <c r="T19">
        <f t="shared" si="3"/>
        <v>1.1515580176396768E-4</v>
      </c>
      <c r="U19">
        <f t="shared" si="4"/>
        <v>3.2723835173210816E-4</v>
      </c>
    </row>
    <row r="20" spans="2:21" x14ac:dyDescent="0.2">
      <c r="B20">
        <v>17</v>
      </c>
      <c r="C20">
        <v>1.0992941296813241</v>
      </c>
      <c r="D20">
        <v>1.3643889021391038</v>
      </c>
      <c r="I20">
        <f>+Conv!L21</f>
        <v>8.4663538100501444E-3</v>
      </c>
      <c r="J20">
        <f>+Conv!AW21</f>
        <v>7.0087640803407339E-3</v>
      </c>
      <c r="K20">
        <f>+Conv!Y21</f>
        <v>2.4058845698980307E-2</v>
      </c>
      <c r="L20">
        <f>+Conv!BJ21</f>
        <v>3.4983695288614336E-2</v>
      </c>
      <c r="O20">
        <f t="shared" si="5"/>
        <v>-3.2390882882431332E-2</v>
      </c>
      <c r="P20">
        <f t="shared" si="0"/>
        <v>1.0247852368583868E-2</v>
      </c>
      <c r="Q20">
        <f t="shared" si="1"/>
        <v>0.24277443532520057</v>
      </c>
      <c r="R20">
        <f t="shared" si="2"/>
        <v>1.0706251756094277E-2</v>
      </c>
      <c r="T20">
        <f t="shared" si="3"/>
        <v>8.4663538100501444E-3</v>
      </c>
      <c r="U20">
        <f t="shared" si="4"/>
        <v>2.4058845698980307E-2</v>
      </c>
    </row>
    <row r="21" spans="2:21" x14ac:dyDescent="0.2">
      <c r="B21">
        <v>18</v>
      </c>
      <c r="C21">
        <v>0.9864688227423144</v>
      </c>
      <c r="D21">
        <v>1.2535174223950181</v>
      </c>
      <c r="I21">
        <f>+Conv!L22</f>
        <v>6.064691948531785E-5</v>
      </c>
      <c r="J21">
        <f>+Conv!AW22</f>
        <v>3.1933857451457812E-5</v>
      </c>
      <c r="K21">
        <f>+Conv!Y22</f>
        <v>1.7234040895901351E-4</v>
      </c>
      <c r="L21">
        <f>+Conv!BJ22</f>
        <v>1.5939534070000188E-4</v>
      </c>
      <c r="O21">
        <f t="shared" si="5"/>
        <v>-6.3806804519688962E-4</v>
      </c>
      <c r="P21">
        <f t="shared" si="0"/>
        <v>9.5740661971146777E-5</v>
      </c>
      <c r="Q21">
        <f t="shared" si="1"/>
        <v>-2.8766818353359185E-4</v>
      </c>
      <c r="R21">
        <f t="shared" si="2"/>
        <v>1.8816215905336108E-4</v>
      </c>
      <c r="T21">
        <f t="shared" si="3"/>
        <v>6.064691948531785E-5</v>
      </c>
      <c r="U21">
        <f t="shared" si="4"/>
        <v>1.7234040895901351E-4</v>
      </c>
    </row>
    <row r="22" spans="2:21" x14ac:dyDescent="0.2">
      <c r="B22">
        <v>19</v>
      </c>
      <c r="C22">
        <v>0.38627856231038582</v>
      </c>
      <c r="D22">
        <v>0.49084866808837091</v>
      </c>
      <c r="I22">
        <f>+Conv!L23</f>
        <v>7.3087118844743671E-4</v>
      </c>
      <c r="J22">
        <f>+Conv!AW23</f>
        <v>3.8484289961188107E-4</v>
      </c>
      <c r="K22">
        <f>+Conv!Y23</f>
        <v>2.076917353467312E-3</v>
      </c>
      <c r="L22">
        <f>+Conv!BJ23</f>
        <v>1.9209130996108981E-3</v>
      </c>
      <c r="O22">
        <f t="shared" si="5"/>
        <v>-7.6895175296790132E-3</v>
      </c>
      <c r="P22">
        <f t="shared" si="0"/>
        <v>1.1537946525797824E-3</v>
      </c>
      <c r="Q22">
        <f t="shared" si="1"/>
        <v>-3.4667611968091975E-3</v>
      </c>
      <c r="R22">
        <f t="shared" si="2"/>
        <v>2.2675892192918178E-3</v>
      </c>
      <c r="T22">
        <f t="shared" si="3"/>
        <v>7.308711884474366E-4</v>
      </c>
      <c r="U22">
        <f t="shared" si="4"/>
        <v>2.076917353467312E-3</v>
      </c>
    </row>
    <row r="23" spans="2:21" x14ac:dyDescent="0.2">
      <c r="B23">
        <v>20</v>
      </c>
      <c r="C23">
        <v>0.31821574927171625</v>
      </c>
      <c r="D23">
        <v>0.40436045883710497</v>
      </c>
      <c r="I23">
        <f>+Conv!L24</f>
        <v>1.2033016764116812E-6</v>
      </c>
      <c r="J23">
        <f>+Conv!AW24</f>
        <v>1.7877168195483313E-7</v>
      </c>
      <c r="K23">
        <f>+Conv!Y24</f>
        <v>3.4194235218172986E-6</v>
      </c>
      <c r="L23">
        <f>+Conv!BJ24</f>
        <v>8.923248059216899E-7</v>
      </c>
      <c r="O23">
        <f t="shared" si="5"/>
        <v>-2.2767333210152176E-5</v>
      </c>
      <c r="P23">
        <f t="shared" si="0"/>
        <v>2.4555050029700507E-6</v>
      </c>
      <c r="Q23">
        <f t="shared" si="1"/>
        <v>-5.6157749242124619E-5</v>
      </c>
      <c r="R23">
        <f t="shared" si="2"/>
        <v>6.5080997301341523E-6</v>
      </c>
      <c r="T23">
        <f t="shared" si="3"/>
        <v>1.203301676411681E-6</v>
      </c>
      <c r="U23">
        <f t="shared" si="4"/>
        <v>3.4194235218172982E-6</v>
      </c>
    </row>
    <row r="24" spans="2:21" x14ac:dyDescent="0.2">
      <c r="B24">
        <v>21</v>
      </c>
      <c r="C24">
        <v>0.2784387806127499</v>
      </c>
      <c r="D24">
        <v>0.35381540148246465</v>
      </c>
      <c r="I24">
        <f>+Conv!L25</f>
        <v>7.2372053985470582E-3</v>
      </c>
      <c r="J24">
        <f>+Conv!AW25</f>
        <v>3.81746970045482E-3</v>
      </c>
      <c r="K24">
        <f>+Conv!Y25</f>
        <v>2.0565973485395794E-2</v>
      </c>
      <c r="L24">
        <f>+Conv!BJ25</f>
        <v>1.9054600104008172E-2</v>
      </c>
      <c r="O24">
        <f t="shared" si="5"/>
        <v>-7.5994126624271949E-2</v>
      </c>
      <c r="P24">
        <f t="shared" si="0"/>
        <v>1.1416882362882016E-2</v>
      </c>
      <c r="Q24">
        <f t="shared" si="1"/>
        <v>-3.3586075141947162E-2</v>
      </c>
      <c r="R24">
        <f t="shared" si="2"/>
        <v>2.2413207618202886E-2</v>
      </c>
      <c r="T24">
        <f t="shared" si="3"/>
        <v>7.2372053985470582E-3</v>
      </c>
      <c r="U24">
        <f t="shared" si="4"/>
        <v>2.0565973485395791E-2</v>
      </c>
    </row>
    <row r="25" spans="2:21" x14ac:dyDescent="0.2">
      <c r="B25">
        <v>22</v>
      </c>
      <c r="C25">
        <v>0.27225125215468715</v>
      </c>
      <c r="D25">
        <v>0.3459528370050744</v>
      </c>
      <c r="I25">
        <f>+Conv!L26</f>
        <v>5.0579346910541827E-3</v>
      </c>
      <c r="J25">
        <f>+Conv!AW26</f>
        <v>2.7892899208050012E-3</v>
      </c>
      <c r="K25">
        <f>+Conv!Y26</f>
        <v>1.4373137836873778E-2</v>
      </c>
      <c r="L25">
        <f>+Conv!BJ26</f>
        <v>1.3922521509141951E-2</v>
      </c>
      <c r="O25">
        <f t="shared" si="5"/>
        <v>-5.0414328227759576E-2</v>
      </c>
      <c r="P25">
        <f t="shared" si="0"/>
        <v>7.830722743580959E-3</v>
      </c>
      <c r="Q25">
        <f t="shared" si="1"/>
        <v>-1.0013696171818375E-2</v>
      </c>
      <c r="R25">
        <f t="shared" si="2"/>
        <v>1.492389112632379E-2</v>
      </c>
      <c r="T25">
        <f t="shared" si="3"/>
        <v>5.0579346910541827E-3</v>
      </c>
      <c r="U25">
        <f t="shared" si="4"/>
        <v>1.437313783687378E-2</v>
      </c>
    </row>
    <row r="26" spans="2:21" x14ac:dyDescent="0.2">
      <c r="B26">
        <v>23</v>
      </c>
      <c r="C26">
        <v>0.26429585842289532</v>
      </c>
      <c r="D26">
        <v>0.33584382553414821</v>
      </c>
      <c r="I26">
        <f>+Conv!L27</f>
        <v>1.8918048446951339E-4</v>
      </c>
      <c r="J26">
        <f>+Conv!AW27</f>
        <v>9.9613676587641229E-5</v>
      </c>
      <c r="K26">
        <f>+Conv!Y27</f>
        <v>5.3759436319652295E-4</v>
      </c>
      <c r="L26">
        <f>+Conv!BJ27</f>
        <v>4.9721384089606842E-4</v>
      </c>
      <c r="O26">
        <f t="shared" si="5"/>
        <v>-1.9903735084860477E-3</v>
      </c>
      <c r="P26">
        <f t="shared" si="0"/>
        <v>2.9865102743624602E-4</v>
      </c>
      <c r="Q26">
        <f t="shared" si="1"/>
        <v>-8.9734494001010047E-4</v>
      </c>
      <c r="R26">
        <f t="shared" si="2"/>
        <v>5.8694833489707839E-4</v>
      </c>
      <c r="T26">
        <f t="shared" si="3"/>
        <v>1.8918048446951339E-4</v>
      </c>
      <c r="U26">
        <f t="shared" si="4"/>
        <v>5.3759436319652284E-4</v>
      </c>
    </row>
    <row r="27" spans="2:21" x14ac:dyDescent="0.2">
      <c r="B27">
        <v>24</v>
      </c>
      <c r="C27">
        <v>0.29700136598693444</v>
      </c>
      <c r="D27">
        <v>0.37740309491463048</v>
      </c>
      <c r="I27">
        <f>+Conv!L28</f>
        <v>7.6998845151546682E-4</v>
      </c>
      <c r="J27">
        <f>+Conv!AW28</f>
        <v>4.0544023766807139E-4</v>
      </c>
      <c r="K27">
        <f>+Conv!Y28</f>
        <v>2.1880769172458758E-3</v>
      </c>
      <c r="L27">
        <f>+Conv!BJ28</f>
        <v>2.0237230943623997E-3</v>
      </c>
      <c r="O27">
        <f t="shared" si="5"/>
        <v>-8.1010714188310077E-3</v>
      </c>
      <c r="P27">
        <f t="shared" si="0"/>
        <v>1.2155473795511722E-3</v>
      </c>
      <c r="Q27">
        <f t="shared" si="1"/>
        <v>-3.6523071751883565E-3</v>
      </c>
      <c r="R27">
        <f t="shared" si="2"/>
        <v>2.3889538118812351E-3</v>
      </c>
      <c r="T27">
        <f t="shared" si="3"/>
        <v>7.6998845151546671E-4</v>
      </c>
      <c r="U27">
        <f t="shared" si="4"/>
        <v>2.1880769172458753E-3</v>
      </c>
    </row>
    <row r="28" spans="2:21" x14ac:dyDescent="0.2">
      <c r="B28">
        <v>25</v>
      </c>
      <c r="C28">
        <v>0.41986800251129092</v>
      </c>
      <c r="D28">
        <v>0.53353116096562292</v>
      </c>
      <c r="I28">
        <f>+Conv!L29</f>
        <v>5.9810796810029672E-4</v>
      </c>
      <c r="J28">
        <f>+Conv!AW29</f>
        <v>4.2851551834803173E-4</v>
      </c>
      <c r="K28">
        <f>+Conv!Y29</f>
        <v>1.6996439835498024E-3</v>
      </c>
      <c r="L28">
        <f>+Conv!BJ29</f>
        <v>2.1389015450497761E-3</v>
      </c>
      <c r="O28">
        <f t="shared" si="5"/>
        <v>-3.7687211056058874E-3</v>
      </c>
      <c r="P28">
        <f t="shared" si="0"/>
        <v>8.0538762890862046E-4</v>
      </c>
      <c r="Q28">
        <f t="shared" si="1"/>
        <v>9.7612791444438556E-3</v>
      </c>
      <c r="R28">
        <f t="shared" si="2"/>
        <v>1.1627736306053906E-3</v>
      </c>
      <c r="T28">
        <f t="shared" si="3"/>
        <v>5.9810796810029661E-4</v>
      </c>
      <c r="U28">
        <f t="shared" si="4"/>
        <v>1.6996439835498026E-3</v>
      </c>
    </row>
    <row r="29" spans="2:21" x14ac:dyDescent="0.2">
      <c r="B29">
        <v>26</v>
      </c>
      <c r="C29">
        <v>0.57455621396281731</v>
      </c>
      <c r="D29">
        <v>0.73009527290032383</v>
      </c>
      <c r="I29">
        <f>+Conv!L30</f>
        <v>3.4533366736931412E-3</v>
      </c>
      <c r="J29">
        <f>+Conv!AW30</f>
        <v>1.8183670663817608E-3</v>
      </c>
      <c r="K29">
        <f>+Conv!Y30</f>
        <v>9.8133501201411646E-3</v>
      </c>
      <c r="L29">
        <f>+Conv!BJ30</f>
        <v>9.076236358359276E-3</v>
      </c>
      <c r="O29">
        <f t="shared" si="5"/>
        <v>-3.6332657940252894E-2</v>
      </c>
      <c r="P29">
        <f t="shared" si="0"/>
        <v>5.45163286040705E-3</v>
      </c>
      <c r="Q29">
        <f t="shared" si="1"/>
        <v>-1.6380305817375301E-2</v>
      </c>
      <c r="R29">
        <f t="shared" si="2"/>
        <v>1.0714266940096806E-2</v>
      </c>
      <c r="T29">
        <f t="shared" si="3"/>
        <v>3.4533366736931408E-3</v>
      </c>
      <c r="U29">
        <f t="shared" si="4"/>
        <v>9.8133501201411646E-3</v>
      </c>
    </row>
    <row r="30" spans="2:21" x14ac:dyDescent="0.2">
      <c r="B30">
        <v>27</v>
      </c>
      <c r="C30">
        <v>0.26252799314916286</v>
      </c>
      <c r="D30">
        <v>0.33359737854060778</v>
      </c>
      <c r="I30">
        <f>+Conv!L31</f>
        <v>9.4804275321440316E-3</v>
      </c>
      <c r="J30">
        <f>+Conv!AW31</f>
        <v>4.9919538199076395E-3</v>
      </c>
      <c r="K30">
        <f>+Conv!Y31</f>
        <v>2.6940539962487936E-2</v>
      </c>
      <c r="L30">
        <f>+Conv!BJ31</f>
        <v>2.4916945317125475E-2</v>
      </c>
      <c r="O30">
        <f t="shared" si="5"/>
        <v>-9.9743860271919782E-2</v>
      </c>
      <c r="P30">
        <f t="shared" si="0"/>
        <v>1.4966339847099618E-2</v>
      </c>
      <c r="Q30">
        <f t="shared" si="1"/>
        <v>-4.4968769896943574E-2</v>
      </c>
      <c r="R30">
        <f t="shared" si="2"/>
        <v>2.9413822306819833E-2</v>
      </c>
      <c r="T30">
        <f t="shared" si="3"/>
        <v>9.4804275321440298E-3</v>
      </c>
      <c r="U30">
        <f t="shared" si="4"/>
        <v>2.6940539962487936E-2</v>
      </c>
    </row>
    <row r="31" spans="2:21" x14ac:dyDescent="0.2">
      <c r="B31" t="s">
        <v>41</v>
      </c>
      <c r="C31">
        <f>+'5% CO'!E6</f>
        <v>9.7384256181993205</v>
      </c>
      <c r="D31">
        <f>+'10% CO'!E6</f>
        <v>8.8021861416656364</v>
      </c>
      <c r="I31">
        <f>+Conv!L32</f>
        <v>1.5501352620447245E-3</v>
      </c>
      <c r="J31">
        <f>+Conv!AW32</f>
        <v>8.1622939645926182E-4</v>
      </c>
      <c r="K31">
        <f>+Conv!Y32</f>
        <v>4.4050208529923859E-3</v>
      </c>
      <c r="L31">
        <f>+Conv!BJ32</f>
        <v>4.0741449082920484E-3</v>
      </c>
      <c r="O31">
        <f t="shared" si="5"/>
        <v>-1.6309019235232501E-2</v>
      </c>
      <c r="P31">
        <f t="shared" si="0"/>
        <v>2.4471313199825118E-3</v>
      </c>
      <c r="Q31">
        <f t="shared" si="1"/>
        <v>-7.3527987711186089E-3</v>
      </c>
      <c r="R31">
        <f t="shared" si="2"/>
        <v>4.80942478540391E-3</v>
      </c>
      <c r="T31">
        <f t="shared" si="3"/>
        <v>1.5501352620447243E-3</v>
      </c>
      <c r="U31">
        <f t="shared" si="4"/>
        <v>4.4050208529923867E-3</v>
      </c>
    </row>
    <row r="32" spans="2:21" x14ac:dyDescent="0.2">
      <c r="B32" t="s">
        <v>309</v>
      </c>
      <c r="C32">
        <f>+'5% CO'!E7</f>
        <v>118.10532964077031</v>
      </c>
      <c r="D32">
        <f>+'10% CO'!E7</f>
        <v>105.96822918819498</v>
      </c>
      <c r="I32">
        <f>+Conv!L33</f>
        <v>2.5375435758085109E-3</v>
      </c>
      <c r="J32">
        <f>+Conv!AW33</f>
        <v>1.4217910969222733E-3</v>
      </c>
      <c r="K32">
        <f>+Conv!Y33</f>
        <v>7.2109400002093827E-3</v>
      </c>
      <c r="L32">
        <f>+Conv!BJ33</f>
        <v>7.096758562370591E-3</v>
      </c>
      <c r="O32">
        <f t="shared" si="5"/>
        <v>-2.4794499530805269E-2</v>
      </c>
      <c r="P32">
        <f t="shared" si="0"/>
        <v>3.9012410500028002E-3</v>
      </c>
      <c r="Q32">
        <f t="shared" si="1"/>
        <v>-2.5373652853064835E-3</v>
      </c>
      <c r="R32">
        <f t="shared" si="2"/>
        <v>7.3504950909012391E-3</v>
      </c>
      <c r="T32">
        <f t="shared" si="3"/>
        <v>2.5375435758085104E-3</v>
      </c>
      <c r="U32">
        <f t="shared" si="4"/>
        <v>7.2109400002093827E-3</v>
      </c>
    </row>
    <row r="33" spans="2:21" x14ac:dyDescent="0.2">
      <c r="I33">
        <f>+Conv!L34</f>
        <v>1.6026145651181004E-3</v>
      </c>
      <c r="J33">
        <f>+Conv!AW34</f>
        <v>1.0023060774404637E-3</v>
      </c>
      <c r="K33">
        <f>+Conv!Y34</f>
        <v>4.5541513386016218E-3</v>
      </c>
      <c r="L33">
        <f>+Conv!BJ34</f>
        <v>5.0029320429628163E-3</v>
      </c>
      <c r="O33">
        <f t="shared" si="5"/>
        <v>-1.3340188615058588E-2</v>
      </c>
      <c r="P33">
        <f t="shared" si="0"/>
        <v>2.3363249389463225E-3</v>
      </c>
      <c r="Q33">
        <f t="shared" si="1"/>
        <v>9.9729045413598748E-3</v>
      </c>
      <c r="R33">
        <f t="shared" si="2"/>
        <v>4.0056415888268283E-3</v>
      </c>
      <c r="T33">
        <f t="shared" si="3"/>
        <v>1.6026145651181001E-3</v>
      </c>
      <c r="U33">
        <f t="shared" si="4"/>
        <v>4.5541513386016218E-3</v>
      </c>
    </row>
    <row r="34" spans="2:21" x14ac:dyDescent="0.2">
      <c r="I34">
        <f>+Conv!L35</f>
        <v>1.0214609031613369E-2</v>
      </c>
      <c r="J34">
        <f>+Conv!AW35</f>
        <v>5.3785397759054101E-3</v>
      </c>
      <c r="K34">
        <f>+Conv!Y35</f>
        <v>2.9026864229944244E-2</v>
      </c>
      <c r="L34">
        <f>+Conv!BJ35</f>
        <v>2.6846558745749566E-2</v>
      </c>
      <c r="O34">
        <f t="shared" si="5"/>
        <v>-0.10746820568239908</v>
      </c>
      <c r="P34">
        <f t="shared" si="0"/>
        <v>1.6125360344145318E-2</v>
      </c>
      <c r="Q34">
        <f t="shared" si="1"/>
        <v>-4.8451232982103937E-2</v>
      </c>
      <c r="R34">
        <f t="shared" si="2"/>
        <v>3.1691682043959959E-2</v>
      </c>
      <c r="T34">
        <f t="shared" si="3"/>
        <v>1.0214609031613368E-2</v>
      </c>
      <c r="U34">
        <f t="shared" si="4"/>
        <v>2.9026864229944244E-2</v>
      </c>
    </row>
    <row r="35" spans="2:21" x14ac:dyDescent="0.2">
      <c r="I35">
        <f>+Conv!L36</f>
        <v>1.8824045721749097E-3</v>
      </c>
      <c r="J35">
        <f>+Conv!AW36</f>
        <v>9.9118701797143655E-4</v>
      </c>
      <c r="K35">
        <f>+Conv!Y36</f>
        <v>5.349230868576583E-3</v>
      </c>
      <c r="L35">
        <f>+Conv!BJ36</f>
        <v>4.9474321311521853E-3</v>
      </c>
      <c r="O35">
        <f t="shared" si="5"/>
        <v>-1.9804834537854955E-2</v>
      </c>
      <c r="P35">
        <f t="shared" si="0"/>
        <v>2.9716704717569322E-3</v>
      </c>
      <c r="Q35">
        <f t="shared" si="1"/>
        <v>-8.9288608316532795E-3</v>
      </c>
      <c r="R35">
        <f t="shared" si="2"/>
        <v>5.8403182143175131E-3</v>
      </c>
      <c r="T35">
        <f t="shared" si="3"/>
        <v>1.8824045721749095E-3</v>
      </c>
      <c r="U35">
        <f t="shared" si="4"/>
        <v>5.349230868576583E-3</v>
      </c>
    </row>
    <row r="36" spans="2:21" x14ac:dyDescent="0.2">
      <c r="I36">
        <f>+Conv!L37</f>
        <v>1.061169473694349E-3</v>
      </c>
      <c r="J36">
        <f>+Conv!AW37</f>
        <v>5.5876267075688328E-4</v>
      </c>
      <c r="K36">
        <f>+Conv!Y37</f>
        <v>3.0155263057603391E-3</v>
      </c>
      <c r="L36">
        <f>+Conv!BJ37</f>
        <v>2.7890199738982834E-3</v>
      </c>
      <c r="O36">
        <f t="shared" si="5"/>
        <v>-1.1164595620832567E-2</v>
      </c>
      <c r="P36">
        <f t="shared" si="0"/>
        <v>1.67522223284014E-3</v>
      </c>
      <c r="Q36">
        <f t="shared" si="1"/>
        <v>-5.0334740413790135E-3</v>
      </c>
      <c r="R36">
        <f t="shared" si="2"/>
        <v>3.2923673780361849E-3</v>
      </c>
      <c r="T36">
        <f t="shared" si="3"/>
        <v>1.0611694736943488E-3</v>
      </c>
      <c r="U36">
        <f t="shared" si="4"/>
        <v>3.0155263057603391E-3</v>
      </c>
    </row>
    <row r="37" spans="2:21" x14ac:dyDescent="0.2">
      <c r="I37">
        <f>+Conv!L38</f>
        <v>3.2412248232836145E-3</v>
      </c>
      <c r="J37">
        <f>+Conv!AW38</f>
        <v>1.4009927822398642E-3</v>
      </c>
      <c r="K37">
        <f>+Conv!Y38</f>
        <v>9.2105916724762229E-3</v>
      </c>
      <c r="L37">
        <f>+Conv!BJ38</f>
        <v>6.992945408578327E-3</v>
      </c>
      <c r="O37">
        <f t="shared" si="5"/>
        <v>-4.089404535652777E-2</v>
      </c>
      <c r="P37">
        <f t="shared" si="0"/>
        <v>5.4903973178926421E-3</v>
      </c>
      <c r="Q37">
        <f t="shared" si="1"/>
        <v>-4.9281028086619896E-2</v>
      </c>
      <c r="R37">
        <f t="shared" si="2"/>
        <v>1.1921048217240316E-2</v>
      </c>
      <c r="T37">
        <f t="shared" si="3"/>
        <v>3.2412248232836149E-3</v>
      </c>
      <c r="U37">
        <f t="shared" si="4"/>
        <v>9.2105916724762212E-3</v>
      </c>
    </row>
    <row r="38" spans="2:21" x14ac:dyDescent="0.2">
      <c r="I38">
        <f>+Conv!L39</f>
        <v>2.3638879031699749E-3</v>
      </c>
      <c r="J38">
        <f>+Conv!AW39</f>
        <v>1.6678834841949758E-3</v>
      </c>
      <c r="K38">
        <f>+Conv!Y39</f>
        <v>6.7174625096037268E-3</v>
      </c>
      <c r="L38">
        <f>+Conv!BJ39</f>
        <v>8.3251093800767208E-3</v>
      </c>
      <c r="O38">
        <f t="shared" si="5"/>
        <v>-1.5466764866111087E-2</v>
      </c>
      <c r="P38">
        <f t="shared" si="0"/>
        <v>3.2145599708060845E-3</v>
      </c>
      <c r="Q38">
        <f t="shared" si="1"/>
        <v>3.5725486010510968E-2</v>
      </c>
      <c r="R38">
        <f t="shared" si="2"/>
        <v>4.7525607790256247E-3</v>
      </c>
      <c r="T38">
        <f t="shared" si="3"/>
        <v>2.3638879031699749E-3</v>
      </c>
      <c r="U38">
        <f t="shared" si="4"/>
        <v>6.7174625096037277E-3</v>
      </c>
    </row>
    <row r="39" spans="2:21" x14ac:dyDescent="0.2">
      <c r="I39">
        <f>+Conv!L40</f>
        <v>3.8581548612576372E-3</v>
      </c>
      <c r="J39">
        <f>+Conv!AW40</f>
        <v>2.0315255648702415E-3</v>
      </c>
      <c r="K39">
        <f>+Conv!Y40</f>
        <v>1.0963722349942579E-2</v>
      </c>
      <c r="L39">
        <f>+Conv!BJ40</f>
        <v>1.0140200257531788E-2</v>
      </c>
      <c r="O39">
        <f t="shared" si="5"/>
        <v>-4.0591762141942114E-2</v>
      </c>
      <c r="P39">
        <f t="shared" si="0"/>
        <v>6.090701779064454E-3</v>
      </c>
      <c r="Q39">
        <f t="shared" si="1"/>
        <v>-1.8300490942462017E-2</v>
      </c>
      <c r="R39">
        <f t="shared" si="2"/>
        <v>1.1970249351777989E-2</v>
      </c>
      <c r="T39">
        <f t="shared" si="3"/>
        <v>3.8581548612576376E-3</v>
      </c>
      <c r="U39">
        <f t="shared" si="4"/>
        <v>1.0963722349942579E-2</v>
      </c>
    </row>
    <row r="40" spans="2:21" x14ac:dyDescent="0.2">
      <c r="I40">
        <f>+Conv!L41</f>
        <v>4.2092752555278421E-3</v>
      </c>
      <c r="J40">
        <f>+Conv!AW41</f>
        <v>2.2164092937402438E-3</v>
      </c>
      <c r="K40">
        <f>+Conv!Y41</f>
        <v>1.1961501509311533E-2</v>
      </c>
      <c r="L40">
        <f>+Conv!BJ41</f>
        <v>1.1063032865459507E-2</v>
      </c>
      <c r="O40">
        <f t="shared" si="5"/>
        <v>-4.4285910261946615E-2</v>
      </c>
      <c r="P40">
        <f t="shared" si="0"/>
        <v>6.6450003199349057E-3</v>
      </c>
      <c r="Q40">
        <f t="shared" si="1"/>
        <v>-1.9965969863378365E-2</v>
      </c>
      <c r="R40">
        <f t="shared" si="2"/>
        <v>1.3059629851797344E-2</v>
      </c>
      <c r="T40">
        <f t="shared" si="3"/>
        <v>4.2092752555278421E-3</v>
      </c>
      <c r="U40">
        <f t="shared" si="4"/>
        <v>1.1961501509311533E-2</v>
      </c>
    </row>
    <row r="41" spans="2:21" x14ac:dyDescent="0.2">
      <c r="I41">
        <f>+Conv!L42</f>
        <v>2.4488720697175633E-3</v>
      </c>
      <c r="J41">
        <f>+Conv!AW42</f>
        <v>1.2894625523419902E-3</v>
      </c>
      <c r="K41">
        <f>+Conv!Y42</f>
        <v>6.9589620967574995E-3</v>
      </c>
      <c r="L41">
        <f>+Conv!BJ42</f>
        <v>6.4362510280154923E-3</v>
      </c>
      <c r="O41">
        <f t="shared" si="5"/>
        <v>-2.5764655941679395E-2</v>
      </c>
      <c r="P41">
        <f t="shared" si="0"/>
        <v>3.8659281465099299E-3</v>
      </c>
      <c r="Q41">
        <f t="shared" si="1"/>
        <v>-1.1615801527600158E-2</v>
      </c>
      <c r="R41">
        <f t="shared" si="2"/>
        <v>7.5978311807755085E-3</v>
      </c>
      <c r="T41">
        <f t="shared" si="3"/>
        <v>2.4488720697175628E-3</v>
      </c>
      <c r="U41">
        <f t="shared" si="4"/>
        <v>6.9589620967574995E-3</v>
      </c>
    </row>
    <row r="42" spans="2:21" x14ac:dyDescent="0.2">
      <c r="I42">
        <f>+Conv!L43</f>
        <v>2.9977266910596908E-3</v>
      </c>
      <c r="J42">
        <f>+Conv!AW43</f>
        <v>1.578463962277684E-3</v>
      </c>
      <c r="K42">
        <f>+Conv!Y43</f>
        <v>8.5186427978365745E-3</v>
      </c>
      <c r="L42">
        <f>+Conv!BJ43</f>
        <v>7.8787788613505112E-3</v>
      </c>
      <c r="O42">
        <f t="shared" si="5"/>
        <v>-3.1539171750711255E-2</v>
      </c>
      <c r="P42">
        <f t="shared" si="0"/>
        <v>4.7323811373488093E-3</v>
      </c>
      <c r="Q42">
        <f t="shared" si="1"/>
        <v>-1.4219198588579179E-2</v>
      </c>
      <c r="R42">
        <f t="shared" si="2"/>
        <v>9.300698720208429E-3</v>
      </c>
      <c r="T42">
        <f t="shared" si="3"/>
        <v>2.9977266910596904E-3</v>
      </c>
      <c r="U42">
        <f t="shared" si="4"/>
        <v>8.5186427978365745E-3</v>
      </c>
    </row>
    <row r="43" spans="2:21" x14ac:dyDescent="0.2">
      <c r="I43">
        <f>+Conv!L44</f>
        <v>2.939310518149124E-3</v>
      </c>
      <c r="J43">
        <f>+Conv!AW44</f>
        <v>2.1161705024238591E-3</v>
      </c>
      <c r="K43">
        <f>+Conv!Y44</f>
        <v>8.3526415035471788E-3</v>
      </c>
      <c r="L43">
        <f>+Conv!BJ44</f>
        <v>1.0562698813504809E-2</v>
      </c>
      <c r="O43">
        <f t="shared" si="5"/>
        <v>-1.8292000349450322E-2</v>
      </c>
      <c r="P43">
        <f t="shared" si="0"/>
        <v>3.9453705373688917E-3</v>
      </c>
      <c r="Q43">
        <f t="shared" si="1"/>
        <v>4.9112384665725109E-2</v>
      </c>
      <c r="R43">
        <f t="shared" si="2"/>
        <v>5.6514603469322976E-3</v>
      </c>
      <c r="T43">
        <f t="shared" si="3"/>
        <v>2.939310518149124E-3</v>
      </c>
      <c r="U43">
        <f t="shared" si="4"/>
        <v>8.3526415035471788E-3</v>
      </c>
    </row>
    <row r="44" spans="2:21" x14ac:dyDescent="0.2">
      <c r="B44">
        <v>5</v>
      </c>
      <c r="C44" s="2">
        <f>++'5% CO'!F6</f>
        <v>0.81532617702264065</v>
      </c>
      <c r="D44" s="2">
        <f>+'5% CO'!F7</f>
        <v>0.28691484087126501</v>
      </c>
      <c r="I44">
        <f>+Conv!L45</f>
        <v>4.3961562109668716E-3</v>
      </c>
      <c r="J44">
        <f>+Conv!AW45</f>
        <v>2.314812144899518E-3</v>
      </c>
      <c r="K44">
        <f>+Conv!Y45</f>
        <v>1.2492561298668364E-2</v>
      </c>
      <c r="L44">
        <f>+Conv!BJ45</f>
        <v>1.1554202966354036E-2</v>
      </c>
      <c r="O44">
        <f t="shared" si="5"/>
        <v>-4.6252090357052286E-2</v>
      </c>
      <c r="P44">
        <f t="shared" si="0"/>
        <v>6.9400211806047475E-3</v>
      </c>
      <c r="Q44">
        <f t="shared" si="1"/>
        <v>-2.0852407384762826E-2</v>
      </c>
      <c r="R44">
        <f t="shared" si="2"/>
        <v>1.3639443704830318E-2</v>
      </c>
      <c r="T44">
        <f t="shared" si="3"/>
        <v>4.3961562109668716E-3</v>
      </c>
      <c r="U44">
        <f t="shared" si="4"/>
        <v>1.2492561298668364E-2</v>
      </c>
    </row>
    <row r="45" spans="2:21" x14ac:dyDescent="0.2">
      <c r="B45">
        <v>10</v>
      </c>
      <c r="C45" s="26">
        <f>+'10% CO'!F6</f>
        <v>0.89580970926398551</v>
      </c>
      <c r="D45" s="26">
        <f>+'10% CO'!F7</f>
        <v>0.17946986049679212</v>
      </c>
      <c r="I45">
        <f>+Conv!L46</f>
        <v>1.7621594195203732E-3</v>
      </c>
      <c r="J45">
        <f>+Conv!AW46</f>
        <v>9.2787149268695182E-4</v>
      </c>
      <c r="K45">
        <f>+Conv!Y46</f>
        <v>5.0075301035634682E-3</v>
      </c>
      <c r="L45">
        <f>+Conv!BJ46</f>
        <v>4.6313976608517837E-3</v>
      </c>
      <c r="O45">
        <f t="shared" si="5"/>
        <v>-1.8539731707409357E-2</v>
      </c>
      <c r="P45">
        <f t="shared" si="0"/>
        <v>2.7818446634278876E-3</v>
      </c>
      <c r="Q45">
        <f t="shared" si="1"/>
        <v>-8.3584987269263201E-3</v>
      </c>
      <c r="R45">
        <f t="shared" si="2"/>
        <v>5.4672475335444158E-3</v>
      </c>
      <c r="T45">
        <f t="shared" si="3"/>
        <v>1.762159419520373E-3</v>
      </c>
      <c r="U45">
        <f t="shared" si="4"/>
        <v>5.0075301035634682E-3</v>
      </c>
    </row>
    <row r="46" spans="2:21" x14ac:dyDescent="0.2">
      <c r="B46">
        <v>15</v>
      </c>
      <c r="I46">
        <f>+Conv!L47</f>
        <v>2.8303790976048917E-3</v>
      </c>
      <c r="J46">
        <f>+Conv!AW47</f>
        <v>1.4903464743725673E-3</v>
      </c>
      <c r="K46">
        <f>+Conv!Y47</f>
        <v>8.0430909818652967E-3</v>
      </c>
      <c r="L46">
        <f>+Conv!BJ47</f>
        <v>7.438947343106443E-3</v>
      </c>
      <c r="O46">
        <f t="shared" si="5"/>
        <v>-2.9778502738496089E-2</v>
      </c>
      <c r="P46">
        <f t="shared" si="0"/>
        <v>4.4681967482221767E-3</v>
      </c>
      <c r="Q46">
        <f t="shared" si="1"/>
        <v>-1.3425414194641189E-2</v>
      </c>
      <c r="R46">
        <f t="shared" si="2"/>
        <v>8.7814887625705627E-3</v>
      </c>
      <c r="T46">
        <f t="shared" si="3"/>
        <v>2.8303790976048921E-3</v>
      </c>
      <c r="U46">
        <f t="shared" si="4"/>
        <v>8.0430909818652967E-3</v>
      </c>
    </row>
    <row r="47" spans="2:21" x14ac:dyDescent="0.2">
      <c r="I47">
        <f>+Conv!L48</f>
        <v>3.3804592921116163E-3</v>
      </c>
      <c r="J47">
        <f>+Conv!AW48</f>
        <v>1.7799932143442584E-3</v>
      </c>
      <c r="K47">
        <f>+Conv!Y48</f>
        <v>9.6062543953754128E-3</v>
      </c>
      <c r="L47">
        <f>+Conv!BJ48</f>
        <v>8.8846962906181035E-3</v>
      </c>
      <c r="O47">
        <f t="shared" si="5"/>
        <v>-3.5565912839274613E-2</v>
      </c>
      <c r="P47">
        <f t="shared" si="0"/>
        <v>5.33658449827172E-3</v>
      </c>
      <c r="Q47">
        <f t="shared" si="1"/>
        <v>-1.6034624550162427E-2</v>
      </c>
      <c r="R47">
        <f t="shared" si="2"/>
        <v>1.0488158745634347E-2</v>
      </c>
      <c r="T47">
        <f t="shared" si="3"/>
        <v>3.3804592921116163E-3</v>
      </c>
      <c r="U47">
        <f t="shared" si="4"/>
        <v>9.6062543953754128E-3</v>
      </c>
    </row>
    <row r="48" spans="2:21" x14ac:dyDescent="0.2">
      <c r="I48">
        <f>+Conv!L49</f>
        <v>3.5560282450514554E-3</v>
      </c>
      <c r="J48">
        <f>+Conv!AW49</f>
        <v>2.5879910330135771E-3</v>
      </c>
      <c r="K48">
        <f>+Conv!Y49</f>
        <v>1.0105168856438564E-2</v>
      </c>
      <c r="L48">
        <f>+Conv!BJ49</f>
        <v>1.2917753925056031E-2</v>
      </c>
      <c r="O48">
        <f t="shared" si="5"/>
        <v>-2.1511938045286179E-2</v>
      </c>
      <c r="P48">
        <f t="shared" si="0"/>
        <v>4.7391848375421949E-3</v>
      </c>
      <c r="Q48">
        <f t="shared" si="1"/>
        <v>6.2501890413721478E-2</v>
      </c>
      <c r="R48">
        <f t="shared" si="2"/>
        <v>6.6675648836838821E-3</v>
      </c>
      <c r="T48">
        <f>+O48*$W$3+P48</f>
        <v>3.556028245051455E-3</v>
      </c>
      <c r="U48">
        <f t="shared" si="4"/>
        <v>1.0105168856438564E-2</v>
      </c>
    </row>
    <row r="49" spans="9:21" x14ac:dyDescent="0.2">
      <c r="I49">
        <f>+Conv!L50</f>
        <v>3.3204188418211532E-4</v>
      </c>
      <c r="J49">
        <f>+Conv!AW50</f>
        <v>1.7483786954673158E-4</v>
      </c>
      <c r="K49">
        <f>+Conv!Y50</f>
        <v>9.4356373905059928E-4</v>
      </c>
      <c r="L49">
        <f>+Conv!BJ50</f>
        <v>8.7268949033251044E-4</v>
      </c>
      <c r="O49">
        <f t="shared" si="5"/>
        <v>-3.4934225474529705E-3</v>
      </c>
      <c r="P49">
        <f t="shared" si="0"/>
        <v>5.2418012429202867E-4</v>
      </c>
      <c r="Q49">
        <f t="shared" si="1"/>
        <v>-1.5749833048464181E-3</v>
      </c>
      <c r="R49">
        <f t="shared" si="2"/>
        <v>1.0301878208171522E-3</v>
      </c>
      <c r="T49">
        <f t="shared" si="3"/>
        <v>3.3204188418211526E-4</v>
      </c>
      <c r="U49">
        <f t="shared" si="4"/>
        <v>9.4356373905059917E-4</v>
      </c>
    </row>
    <row r="50" spans="9:21" x14ac:dyDescent="0.2">
      <c r="I50">
        <f>+Conv!L51</f>
        <v>1.1703339287679213E-3</v>
      </c>
      <c r="J50">
        <f>+Conv!AW51</f>
        <v>6.1624361416950729E-4</v>
      </c>
      <c r="K50">
        <f>+Conv!Y51</f>
        <v>3.325739041886564E-3</v>
      </c>
      <c r="L50">
        <f>+Conv!BJ51</f>
        <v>3.0759315871582869E-3</v>
      </c>
      <c r="O50">
        <f t="shared" si="5"/>
        <v>-1.2313118102186974E-2</v>
      </c>
      <c r="P50">
        <f t="shared" si="0"/>
        <v>1.8475554243882048E-3</v>
      </c>
      <c r="Q50">
        <f t="shared" si="1"/>
        <v>-5.5512767717394891E-3</v>
      </c>
      <c r="R50">
        <f t="shared" si="2"/>
        <v>3.6310592643322356E-3</v>
      </c>
      <c r="T50">
        <f t="shared" si="3"/>
        <v>1.1703339287679213E-3</v>
      </c>
      <c r="U50">
        <f t="shared" si="4"/>
        <v>3.325739041886564E-3</v>
      </c>
    </row>
    <row r="51" spans="9:21" x14ac:dyDescent="0.2">
      <c r="I51">
        <f>+Conv!L52</f>
        <v>3.0414430121886903E-4</v>
      </c>
      <c r="J51">
        <f>+Conv!AW52</f>
        <v>1.6014829511906096E-4</v>
      </c>
      <c r="K51">
        <f>+Conv!Y52</f>
        <v>8.642871509294529E-4</v>
      </c>
      <c r="L51">
        <f>+Conv!BJ52</f>
        <v>7.9936763361050959E-4</v>
      </c>
      <c r="O51">
        <f t="shared" si="5"/>
        <v>-3.1999112466624007E-3</v>
      </c>
      <c r="P51">
        <f t="shared" si="0"/>
        <v>4.8013941978530101E-4</v>
      </c>
      <c r="Q51">
        <f t="shared" si="1"/>
        <v>-1.442655940420962E-3</v>
      </c>
      <c r="R51">
        <f t="shared" si="2"/>
        <v>9.436332276526059E-4</v>
      </c>
      <c r="T51">
        <f t="shared" si="3"/>
        <v>3.0414430121886897E-4</v>
      </c>
      <c r="U51">
        <f t="shared" si="4"/>
        <v>8.64287150929453E-4</v>
      </c>
    </row>
    <row r="52" spans="9:21" x14ac:dyDescent="0.2">
      <c r="I52">
        <f>+Conv!L53</f>
        <v>1.3228862008232815E-3</v>
      </c>
      <c r="J52">
        <f>+Conv!AW53</f>
        <v>6.9657057143386191E-4</v>
      </c>
      <c r="K52">
        <f>+Conv!Y53</f>
        <v>3.7592469789222162E-3</v>
      </c>
      <c r="L52">
        <f>+Conv!BJ53</f>
        <v>3.4768772837440831E-3</v>
      </c>
      <c r="O52">
        <f t="shared" si="5"/>
        <v>-1.3918125097542653E-2</v>
      </c>
      <c r="P52">
        <f t="shared" si="0"/>
        <v>2.0883830811881275E-3</v>
      </c>
      <c r="Q52">
        <f t="shared" si="1"/>
        <v>-6.2748821150696238E-3</v>
      </c>
      <c r="R52">
        <f t="shared" si="2"/>
        <v>4.1043654952510455E-3</v>
      </c>
      <c r="T52">
        <f t="shared" si="3"/>
        <v>1.3228862008232817E-3</v>
      </c>
      <c r="U52">
        <f t="shared" si="4"/>
        <v>3.7592469789222162E-3</v>
      </c>
    </row>
    <row r="53" spans="9:21" x14ac:dyDescent="0.2">
      <c r="I53">
        <f>+Conv!L54</f>
        <v>1.1431944322982413E-4</v>
      </c>
      <c r="J53">
        <f>+Conv!AW54</f>
        <v>6.0195321295997968E-5</v>
      </c>
      <c r="K53">
        <f>+Conv!Y54</f>
        <v>3.2486167088774045E-4</v>
      </c>
      <c r="L53">
        <f>+Conv!BJ54</f>
        <v>3.0046021721950351E-4</v>
      </c>
      <c r="O53">
        <f t="shared" si="5"/>
        <v>-1.2027582651961365E-3</v>
      </c>
      <c r="P53">
        <f t="shared" si="0"/>
        <v>1.8047114781561161E-4</v>
      </c>
      <c r="Q53">
        <f t="shared" si="1"/>
        <v>-5.4225452596082084E-4</v>
      </c>
      <c r="R53">
        <f t="shared" si="2"/>
        <v>3.5468566981558558E-4</v>
      </c>
      <c r="T53">
        <f t="shared" si="3"/>
        <v>1.143194432298241E-4</v>
      </c>
      <c r="U53">
        <f t="shared" si="4"/>
        <v>3.248616708877404E-4</v>
      </c>
    </row>
    <row r="54" spans="9:21" x14ac:dyDescent="0.2">
      <c r="I54">
        <f>+Conv!L55</f>
        <v>3.9991206533634225E-3</v>
      </c>
      <c r="J54">
        <f>+Conv!AW55</f>
        <v>2.910462931571618E-3</v>
      </c>
      <c r="K54">
        <f>+Conv!Y55</f>
        <v>1.1364304975851941E-2</v>
      </c>
      <c r="L54">
        <f>+Conv!BJ55</f>
        <v>1.4527347072860632E-2</v>
      </c>
      <c r="O54">
        <f t="shared" si="5"/>
        <v>-2.419239381759565E-2</v>
      </c>
      <c r="P54">
        <f t="shared" si="0"/>
        <v>5.3297023133311826E-3</v>
      </c>
      <c r="Q54">
        <f t="shared" si="1"/>
        <v>7.0289824377970878E-2</v>
      </c>
      <c r="R54">
        <f t="shared" si="2"/>
        <v>7.4983646350635438E-3</v>
      </c>
      <c r="T54">
        <f t="shared" si="3"/>
        <v>3.9991206533634216E-3</v>
      </c>
      <c r="U54">
        <f t="shared" si="4"/>
        <v>1.1364304975851943E-2</v>
      </c>
    </row>
    <row r="55" spans="9:21" x14ac:dyDescent="0.2">
      <c r="I55">
        <f>+Conv!L56</f>
        <v>3.2405670644988164E-4</v>
      </c>
      <c r="J55">
        <f>+Conv!AW56</f>
        <v>1.7063324498228953E-4</v>
      </c>
      <c r="K55">
        <f>+Conv!Y56</f>
        <v>9.2087225187099529E-4</v>
      </c>
      <c r="L55">
        <f>+Conv!BJ56</f>
        <v>8.517024371403431E-4</v>
      </c>
      <c r="O55">
        <f t="shared" si="5"/>
        <v>-3.4094102548353792E-3</v>
      </c>
      <c r="P55">
        <f t="shared" si="0"/>
        <v>5.1157427046582757E-4</v>
      </c>
      <c r="Q55">
        <f t="shared" si="1"/>
        <v>-1.5371069940144928E-3</v>
      </c>
      <c r="R55">
        <f t="shared" si="2"/>
        <v>1.0054131365417923E-3</v>
      </c>
      <c r="T55">
        <f t="shared" si="3"/>
        <v>3.2405670644988175E-4</v>
      </c>
      <c r="U55">
        <f t="shared" si="4"/>
        <v>9.2087225187099519E-4</v>
      </c>
    </row>
    <row r="56" spans="9:21" x14ac:dyDescent="0.2">
      <c r="I56">
        <f>+Conv!L57</f>
        <v>4.2277224691167313E-3</v>
      </c>
      <c r="J56">
        <f>+Conv!AW57</f>
        <v>3.0768337836939207E-3</v>
      </c>
      <c r="K56">
        <f>+Conv!Y57</f>
        <v>1.2013922973765851E-2</v>
      </c>
      <c r="L56">
        <f>+Conv!BJ57</f>
        <v>1.5357774110899952E-2</v>
      </c>
      <c r="O56">
        <f t="shared" si="5"/>
        <v>-2.5575304120506896E-2</v>
      </c>
      <c r="P56">
        <f t="shared" si="0"/>
        <v>5.6343641957446108E-3</v>
      </c>
      <c r="Q56">
        <f t="shared" si="1"/>
        <v>7.4307803047424445E-2</v>
      </c>
      <c r="R56">
        <f t="shared" si="2"/>
        <v>7.9269938061575056E-3</v>
      </c>
      <c r="T56">
        <f t="shared" si="3"/>
        <v>4.2277224691167313E-3</v>
      </c>
      <c r="U56">
        <f t="shared" si="4"/>
        <v>1.2013922973765849E-2</v>
      </c>
    </row>
    <row r="57" spans="9:21" x14ac:dyDescent="0.2">
      <c r="I57">
        <f>+Conv!L58</f>
        <v>2.7385874580088842E-4</v>
      </c>
      <c r="J57">
        <f>+Conv!AW58</f>
        <v>1.4420132505423919E-4</v>
      </c>
      <c r="K57">
        <f>+Conv!Y58</f>
        <v>7.7822465920554561E-4</v>
      </c>
      <c r="L57">
        <f>+Conv!BJ58</f>
        <v>7.1976958534844602E-4</v>
      </c>
      <c r="O57">
        <f t="shared" si="5"/>
        <v>-2.8812760165922045E-3</v>
      </c>
      <c r="P57">
        <f t="shared" si="0"/>
        <v>4.323289267134596E-4</v>
      </c>
      <c r="Q57">
        <f t="shared" si="1"/>
        <v>-1.2990016412688795E-3</v>
      </c>
      <c r="R57">
        <f t="shared" si="2"/>
        <v>8.4966974947533395E-4</v>
      </c>
      <c r="T57">
        <f t="shared" si="3"/>
        <v>2.7385874580088836E-4</v>
      </c>
      <c r="U57">
        <f t="shared" si="4"/>
        <v>7.7822465920554561E-4</v>
      </c>
    </row>
    <row r="58" spans="9:21" x14ac:dyDescent="0.2">
      <c r="I58">
        <f>+Conv!L59</f>
        <v>4.0216986104748605E-3</v>
      </c>
      <c r="J58">
        <f>+Conv!AW59</f>
        <v>2.9268946206701175E-3</v>
      </c>
      <c r="K58">
        <f>+Conv!Y59</f>
        <v>1.1428464778115044E-2</v>
      </c>
      <c r="L58">
        <f>+Conv!BJ59</f>
        <v>1.4609364558099086E-2</v>
      </c>
      <c r="O58">
        <f t="shared" si="5"/>
        <v>-2.4328977551216505E-2</v>
      </c>
      <c r="P58">
        <f t="shared" si="0"/>
        <v>5.3597923757917679E-3</v>
      </c>
      <c r="Q58">
        <f t="shared" si="1"/>
        <v>7.0686661777423124E-2</v>
      </c>
      <c r="R58">
        <f t="shared" si="2"/>
        <v>7.540698380356774E-3</v>
      </c>
      <c r="T58">
        <f t="shared" si="3"/>
        <v>4.0216986104748605E-3</v>
      </c>
      <c r="U58">
        <f t="shared" si="4"/>
        <v>1.1428464778115046E-2</v>
      </c>
    </row>
    <row r="59" spans="9:21" x14ac:dyDescent="0.2">
      <c r="I59">
        <f>+Conv!L60</f>
        <v>7.4494632767798741E-4</v>
      </c>
      <c r="J59">
        <f>+Conv!AW60</f>
        <v>3.9225421569540671E-4</v>
      </c>
      <c r="K59">
        <f>+Conv!Y60</f>
        <v>2.1169146900465491E-3</v>
      </c>
      <c r="L59">
        <f>+Conv!BJ60</f>
        <v>1.9579061015983562E-3</v>
      </c>
      <c r="O59">
        <f t="shared" si="5"/>
        <v>-7.8376024885017919E-3</v>
      </c>
      <c r="P59">
        <f t="shared" si="0"/>
        <v>1.176014464545586E-3</v>
      </c>
      <c r="Q59">
        <f t="shared" si="1"/>
        <v>-3.5335241877376198E-3</v>
      </c>
      <c r="R59">
        <f t="shared" si="2"/>
        <v>2.3112585203721183E-3</v>
      </c>
      <c r="T59">
        <f t="shared" si="3"/>
        <v>7.4494632767798741E-4</v>
      </c>
      <c r="U59">
        <f t="shared" si="4"/>
        <v>2.1169146900465491E-3</v>
      </c>
    </row>
    <row r="60" spans="9:21" x14ac:dyDescent="0.2">
      <c r="I60">
        <f>+Conv!L61</f>
        <v>3.477005395161424E-3</v>
      </c>
      <c r="J60">
        <f>+Conv!AW61</f>
        <v>2.5304801211688322E-3</v>
      </c>
      <c r="K60">
        <f>+Conv!Y61</f>
        <v>9.8806095485177107E-3</v>
      </c>
      <c r="L60">
        <f>+Conv!BJ61</f>
        <v>1.2630692726721458E-2</v>
      </c>
      <c r="O60">
        <f t="shared" si="5"/>
        <v>-2.1033894977613144E-2</v>
      </c>
      <c r="P60">
        <f t="shared" si="0"/>
        <v>4.6338696189301472E-3</v>
      </c>
      <c r="Q60">
        <f t="shared" si="1"/>
        <v>6.1112959515638811E-2</v>
      </c>
      <c r="R60">
        <f t="shared" si="2"/>
        <v>6.5193967751575764E-3</v>
      </c>
      <c r="T60">
        <f t="shared" si="3"/>
        <v>3.4770053951614244E-3</v>
      </c>
      <c r="U60">
        <f t="shared" si="4"/>
        <v>9.8806095485177107E-3</v>
      </c>
    </row>
    <row r="61" spans="9:21" x14ac:dyDescent="0.2">
      <c r="I61">
        <f>+Conv!L62</f>
        <v>2.9318995138683348E-4</v>
      </c>
      <c r="J61">
        <f>+Conv!AW62</f>
        <v>1.5438024211689136E-4</v>
      </c>
      <c r="K61">
        <f>+Conv!Y62</f>
        <v>8.3315816456123104E-4</v>
      </c>
      <c r="L61">
        <f>+Conv!BJ62</f>
        <v>7.7057685019657159E-4</v>
      </c>
      <c r="O61">
        <f t="shared" si="5"/>
        <v>-3.0846602059987128E-3</v>
      </c>
      <c r="P61">
        <f t="shared" si="0"/>
        <v>4.6284626271676267E-4</v>
      </c>
      <c r="Q61">
        <f t="shared" si="1"/>
        <v>-1.3906958747702093E-3</v>
      </c>
      <c r="R61">
        <f t="shared" si="2"/>
        <v>9.0964643767359253E-4</v>
      </c>
      <c r="T61">
        <f t="shared" si="3"/>
        <v>2.9318995138683348E-4</v>
      </c>
      <c r="U61">
        <f t="shared" si="4"/>
        <v>8.3315816456123104E-4</v>
      </c>
    </row>
    <row r="62" spans="9:21" x14ac:dyDescent="0.2">
      <c r="I62">
        <f>+Conv!L63</f>
        <v>3.2145366437409529E-3</v>
      </c>
      <c r="J62">
        <f>+Conv!AW63</f>
        <v>2.3394617353987776E-3</v>
      </c>
      <c r="K62">
        <f>+Conv!Y63</f>
        <v>9.1347518472091292E-3</v>
      </c>
      <c r="L62">
        <f>+Conv!BJ63</f>
        <v>1.1677239460824442E-2</v>
      </c>
      <c r="O62">
        <f t="shared" si="5"/>
        <v>-1.9446109074270562E-2</v>
      </c>
      <c r="P62">
        <f t="shared" si="0"/>
        <v>4.2840726428258341E-3</v>
      </c>
      <c r="Q62">
        <f t="shared" si="1"/>
        <v>5.649972474700693E-2</v>
      </c>
      <c r="R62">
        <f t="shared" si="2"/>
        <v>6.0272669861237494E-3</v>
      </c>
      <c r="T62">
        <f t="shared" si="3"/>
        <v>3.2145366437409534E-3</v>
      </c>
      <c r="U62">
        <f t="shared" si="4"/>
        <v>9.134751847209131E-3</v>
      </c>
    </row>
    <row r="63" spans="9:21" x14ac:dyDescent="0.2">
      <c r="I63">
        <f>+Conv!L64</f>
        <v>3.149625017045576E-3</v>
      </c>
      <c r="J63">
        <f>+Conv!AW64</f>
        <v>2.2922206292405982E-3</v>
      </c>
      <c r="K63">
        <f>+Conv!Y64</f>
        <v>8.950292415702733E-3</v>
      </c>
      <c r="L63">
        <f>+Conv!BJ64</f>
        <v>1.144143919076392E-2</v>
      </c>
      <c r="O63">
        <f t="shared" si="5"/>
        <v>-1.9053430840110613E-2</v>
      </c>
      <c r="P63">
        <f t="shared" si="0"/>
        <v>4.1975637132516596E-3</v>
      </c>
      <c r="Q63">
        <f t="shared" si="1"/>
        <v>5.5358817223581908E-2</v>
      </c>
      <c r="R63">
        <f t="shared" si="2"/>
        <v>5.9055574684057279E-3</v>
      </c>
      <c r="T63">
        <f t="shared" si="3"/>
        <v>3.149625017045576E-3</v>
      </c>
      <c r="U63">
        <f t="shared" si="4"/>
        <v>8.950292415702733E-3</v>
      </c>
    </row>
    <row r="64" spans="9:21" x14ac:dyDescent="0.2">
      <c r="I64">
        <f>+Conv!L65</f>
        <v>1.5014341479106146E-3</v>
      </c>
      <c r="J64">
        <f>+Conv!AW65</f>
        <v>1.0927073250501771E-3</v>
      </c>
      <c r="K64">
        <f>+Conv!Y65</f>
        <v>4.2666268504962827E-3</v>
      </c>
      <c r="L64">
        <f>+Conv!BJ65</f>
        <v>5.454162768356992E-3</v>
      </c>
      <c r="O64">
        <f t="shared" si="5"/>
        <v>-9.0828182857874955E-3</v>
      </c>
      <c r="P64">
        <f t="shared" si="0"/>
        <v>2.0009891536289267E-3</v>
      </c>
      <c r="Q64">
        <f t="shared" si="1"/>
        <v>2.638968706357131E-2</v>
      </c>
      <c r="R64">
        <f t="shared" si="2"/>
        <v>2.815194061999861E-3</v>
      </c>
      <c r="T64">
        <f t="shared" si="3"/>
        <v>1.5014341479106146E-3</v>
      </c>
      <c r="U64">
        <f t="shared" si="4"/>
        <v>4.2666268504962836E-3</v>
      </c>
    </row>
    <row r="65" spans="9:21" x14ac:dyDescent="0.2">
      <c r="I65">
        <f>+Conv!L66</f>
        <v>1.2417876411290798E-3</v>
      </c>
      <c r="J65">
        <f>+Conv!AW66</f>
        <v>9.0374290041743974E-4</v>
      </c>
      <c r="K65">
        <f>+Conv!Y66</f>
        <v>3.5287891244706097E-3</v>
      </c>
      <c r="L65">
        <f>+Conv!BJ66</f>
        <v>4.5109616881148047E-3</v>
      </c>
      <c r="O65">
        <f t="shared" si="5"/>
        <v>-7.5121053491475553E-3</v>
      </c>
      <c r="P65">
        <f t="shared" si="0"/>
        <v>1.6549534353321954E-3</v>
      </c>
      <c r="Q65">
        <f t="shared" si="1"/>
        <v>2.1826056969870996E-2</v>
      </c>
      <c r="R65">
        <f t="shared" si="2"/>
        <v>2.3283559911277049E-3</v>
      </c>
      <c r="T65">
        <f t="shared" si="3"/>
        <v>1.2417876411290798E-3</v>
      </c>
      <c r="U65">
        <f t="shared" si="4"/>
        <v>3.5287891244706097E-3</v>
      </c>
    </row>
    <row r="66" spans="9:21" x14ac:dyDescent="0.2">
      <c r="I66">
        <f>+Conv!L67</f>
        <v>1.1853427483504851E-3</v>
      </c>
      <c r="J66">
        <f>+Conv!AW67</f>
        <v>8.6266367767119255E-4</v>
      </c>
      <c r="K66">
        <f>+Conv!Y67</f>
        <v>3.368389618812855E-3</v>
      </c>
      <c r="L66">
        <f>+Conv!BJ67</f>
        <v>4.305917975018678E-3</v>
      </c>
      <c r="O66">
        <f t="shared" si="5"/>
        <v>-7.1706460150953886E-3</v>
      </c>
      <c r="P66">
        <f t="shared" si="0"/>
        <v>1.5797282791807316E-3</v>
      </c>
      <c r="Q66">
        <f t="shared" si="1"/>
        <v>2.0833963471240509E-2</v>
      </c>
      <c r="R66">
        <f t="shared" si="2"/>
        <v>2.2225216278946268E-3</v>
      </c>
      <c r="T66">
        <f t="shared" si="3"/>
        <v>1.1853427483504851E-3</v>
      </c>
      <c r="U66">
        <f t="shared" si="4"/>
        <v>3.3683896188128545E-3</v>
      </c>
    </row>
    <row r="67" spans="9:21" x14ac:dyDescent="0.2">
      <c r="I67">
        <f>+Conv!L68</f>
        <v>1.1176088770161719E-3</v>
      </c>
      <c r="J67">
        <f>+Conv!AW68</f>
        <v>8.1336861037569592E-4</v>
      </c>
      <c r="K67">
        <f>+Conv!Y68</f>
        <v>3.1759102120235486E-3</v>
      </c>
      <c r="L67">
        <f>+Conv!BJ68</f>
        <v>4.0598655193033245E-3</v>
      </c>
      <c r="O67">
        <f t="shared" si="5"/>
        <v>-6.7608948142327974E-3</v>
      </c>
      <c r="P67">
        <f t="shared" si="0"/>
        <v>1.4894580917989757E-3</v>
      </c>
      <c r="Q67">
        <f t="shared" si="1"/>
        <v>1.9643451272883906E-2</v>
      </c>
      <c r="R67">
        <f t="shared" si="2"/>
        <v>2.0955203920149336E-3</v>
      </c>
      <c r="T67">
        <f t="shared" si="3"/>
        <v>1.1176088770161719E-3</v>
      </c>
      <c r="U67">
        <f t="shared" si="4"/>
        <v>3.1759102120235486E-3</v>
      </c>
    </row>
    <row r="68" spans="9:21" x14ac:dyDescent="0.2">
      <c r="I68">
        <f>+Conv!L69</f>
        <v>1.0385860271261396E-3</v>
      </c>
      <c r="J68">
        <f>+Conv!AW69</f>
        <v>7.5585769853094963E-4</v>
      </c>
      <c r="K68">
        <f>+Conv!Y69</f>
        <v>2.9513509041026922E-3</v>
      </c>
      <c r="L68">
        <f>+Conv!BJ69</f>
        <v>3.7728043209687466E-3</v>
      </c>
      <c r="O68">
        <f t="shared" si="5"/>
        <v>-6.2828517465597766E-3</v>
      </c>
      <c r="P68">
        <f t="shared" si="0"/>
        <v>1.3841428731869274E-3</v>
      </c>
      <c r="Q68">
        <f t="shared" si="1"/>
        <v>1.8254520374801207E-2</v>
      </c>
      <c r="R68">
        <f t="shared" si="2"/>
        <v>1.9473522834886259E-3</v>
      </c>
      <c r="T68">
        <f t="shared" si="3"/>
        <v>1.0385860271261396E-3</v>
      </c>
      <c r="U68">
        <f t="shared" si="4"/>
        <v>2.9513509041026922E-3</v>
      </c>
    </row>
    <row r="69" spans="9:21" x14ac:dyDescent="0.2">
      <c r="I69">
        <f>+Conv!L70</f>
        <v>1.0160080700147016E-3</v>
      </c>
      <c r="J69">
        <f>+Conv!AW70</f>
        <v>7.3942600943245076E-4</v>
      </c>
      <c r="K69">
        <f>+Conv!Y70</f>
        <v>2.8871911018395896E-3</v>
      </c>
      <c r="L69">
        <f>+Conv!BJ70</f>
        <v>3.690786835730295E-3</v>
      </c>
      <c r="O69">
        <f t="shared" si="5"/>
        <v>-6.1462680129389059E-3</v>
      </c>
      <c r="P69">
        <f t="shared" si="0"/>
        <v>1.3540528107263414E-3</v>
      </c>
      <c r="Q69">
        <f t="shared" si="1"/>
        <v>1.7857682975349006E-2</v>
      </c>
      <c r="R69">
        <f t="shared" si="2"/>
        <v>1.9050185381953946E-3</v>
      </c>
      <c r="T69">
        <f t="shared" si="3"/>
        <v>1.0160080700147016E-3</v>
      </c>
      <c r="U69">
        <f t="shared" si="4"/>
        <v>2.8871911018395896E-3</v>
      </c>
    </row>
    <row r="70" spans="9:21" x14ac:dyDescent="0.2">
      <c r="I70">
        <f>+Conv!L71</f>
        <v>9.1722950765216107E-4</v>
      </c>
      <c r="J70">
        <f>+Conv!AW71</f>
        <v>6.6753736962651803E-4</v>
      </c>
      <c r="K70">
        <f>+Conv!Y71</f>
        <v>2.6064919669385187E-3</v>
      </c>
      <c r="L70">
        <f>+Conv!BJ71</f>
        <v>3.3319603378120723E-3</v>
      </c>
      <c r="O70">
        <f t="shared" ref="O70:O72" si="6">+SLOPE(I70:J70,$I$3:$J$3)</f>
        <v>-5.548714178347622E-3</v>
      </c>
      <c r="P70">
        <f t="shared" ref="P70:P72" si="7">+INTERCEPT(I70:J70,$I$3:$J$3)</f>
        <v>1.2224087874612801E-3</v>
      </c>
      <c r="Q70">
        <f t="shared" ref="Q70:Q72" si="8">+SLOPE(K70:L70,$K$3:$L$3)</f>
        <v>1.6121519352745632E-2</v>
      </c>
      <c r="R70">
        <f t="shared" ref="R70:R72" si="9">+INTERCEPT(K70:L70,$K$3:$L$3)</f>
        <v>1.7198084025375092E-3</v>
      </c>
      <c r="T70">
        <f t="shared" ref="T70:T72" si="10">+O70*$W$3+P70</f>
        <v>9.1722950765216085E-4</v>
      </c>
      <c r="U70">
        <f t="shared" ref="U70:U72" si="11">+Q70*$W$3+R70</f>
        <v>2.6064919669385187E-3</v>
      </c>
    </row>
    <row r="71" spans="9:21" x14ac:dyDescent="0.2">
      <c r="I71">
        <f>+Conv!L72</f>
        <v>8.0716196673390184E-4</v>
      </c>
      <c r="J71">
        <f>+Conv!AW72</f>
        <v>5.8743288527133587E-4</v>
      </c>
      <c r="K71">
        <f>+Conv!Y72</f>
        <v>2.2937129309058965E-3</v>
      </c>
      <c r="L71">
        <f>+Conv!BJ72</f>
        <v>2.9321250972746235E-3</v>
      </c>
      <c r="O71">
        <f t="shared" si="6"/>
        <v>-4.8828684769459093E-3</v>
      </c>
      <c r="P71">
        <f t="shared" si="7"/>
        <v>1.0757197329659268E-3</v>
      </c>
      <c r="Q71">
        <f t="shared" si="8"/>
        <v>1.4186937030416154E-2</v>
      </c>
      <c r="R71">
        <f t="shared" si="9"/>
        <v>1.5134313942330082E-3</v>
      </c>
      <c r="T71">
        <f t="shared" si="10"/>
        <v>8.0716196673390173E-4</v>
      </c>
      <c r="U71">
        <f t="shared" si="11"/>
        <v>2.2937129309058965E-3</v>
      </c>
    </row>
    <row r="72" spans="9:21" x14ac:dyDescent="0.2">
      <c r="I72">
        <f>+Conv!L73</f>
        <v>6.8580544725992359E-4</v>
      </c>
      <c r="J72">
        <f>+Conv!AW73</f>
        <v>4.9911255636690428E-4</v>
      </c>
      <c r="K72">
        <f>+Conv!Y73</f>
        <v>1.9488539937417232E-3</v>
      </c>
      <c r="L72">
        <f>+Conv!BJ73</f>
        <v>2.4912811141179492E-3</v>
      </c>
      <c r="O72">
        <f t="shared" si="6"/>
        <v>-4.1487309087337616E-3</v>
      </c>
      <c r="P72">
        <f t="shared" si="7"/>
        <v>9.1398564724028044E-4</v>
      </c>
      <c r="Q72">
        <f t="shared" si="8"/>
        <v>1.2053936008360574E-2</v>
      </c>
      <c r="R72">
        <f t="shared" si="9"/>
        <v>1.2858875132818917E-3</v>
      </c>
      <c r="T72">
        <f t="shared" si="10"/>
        <v>6.8580544725992359E-4</v>
      </c>
      <c r="U72">
        <f t="shared" si="11"/>
        <v>1.9488539937417234E-3</v>
      </c>
    </row>
  </sheetData>
  <mergeCells count="4">
    <mergeCell ref="O3:P3"/>
    <mergeCell ref="Q3:R3"/>
    <mergeCell ref="I4:J4"/>
    <mergeCell ref="K4:L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1A72-13E0-5E4D-97F8-61F74BCE635C}">
  <dimension ref="A1:AV80"/>
  <sheetViews>
    <sheetView tabSelected="1" topLeftCell="F59" zoomScaleNormal="90" workbookViewId="0">
      <selection activeCell="N87" sqref="N87"/>
    </sheetView>
  </sheetViews>
  <sheetFormatPr baseColWidth="10" defaultRowHeight="16" x14ac:dyDescent="0.2"/>
  <cols>
    <col min="11" max="11" width="8.6640625" customWidth="1"/>
    <col min="13" max="14" width="14.33203125" customWidth="1"/>
    <col min="15" max="15" width="12.83203125" bestFit="1" customWidth="1"/>
    <col min="16" max="16" width="14.5" customWidth="1"/>
    <col min="17" max="17" width="8.5" customWidth="1"/>
    <col min="18" max="19" width="14.5" customWidth="1"/>
    <col min="21" max="21" width="5.1640625" customWidth="1"/>
    <col min="22" max="22" width="4.83203125" bestFit="1" customWidth="1"/>
    <col min="23" max="23" width="2.1640625" bestFit="1" customWidth="1"/>
    <col min="24" max="24" width="4.83203125" bestFit="1" customWidth="1"/>
    <col min="25" max="25" width="3.5" bestFit="1" customWidth="1"/>
    <col min="26" max="26" width="2.1640625" bestFit="1" customWidth="1"/>
    <col min="27" max="27" width="2.33203125" bestFit="1" customWidth="1"/>
    <col min="28" max="28" width="7.83203125" bestFit="1" customWidth="1"/>
    <col min="29" max="29" width="2.1640625" bestFit="1" customWidth="1"/>
    <col min="30" max="31" width="4.83203125" bestFit="1" customWidth="1"/>
    <col min="32" max="32" width="8.83203125" bestFit="1" customWidth="1"/>
    <col min="33" max="33" width="12.1640625" customWidth="1"/>
    <col min="34" max="34" width="4.83203125" customWidth="1"/>
    <col min="35" max="35" width="8.1640625" customWidth="1"/>
    <col min="36" max="36" width="5.1640625" customWidth="1"/>
    <col min="37" max="37" width="4.83203125" bestFit="1" customWidth="1"/>
    <col min="38" max="38" width="2.1640625" bestFit="1" customWidth="1"/>
    <col min="39" max="39" width="4.83203125" bestFit="1" customWidth="1"/>
    <col min="40" max="40" width="3.5" bestFit="1" customWidth="1"/>
    <col min="41" max="41" width="2.1640625" bestFit="1" customWidth="1"/>
    <col min="42" max="42" width="2.33203125" bestFit="1" customWidth="1"/>
    <col min="43" max="43" width="7.83203125" bestFit="1" customWidth="1"/>
    <col min="44" max="44" width="2.1640625" bestFit="1" customWidth="1"/>
    <col min="45" max="46" width="4.83203125" bestFit="1" customWidth="1"/>
    <col min="47" max="47" width="8.83203125" bestFit="1" customWidth="1"/>
    <col min="48" max="48" width="12.1640625" customWidth="1"/>
  </cols>
  <sheetData>
    <row r="1" spans="1:48" ht="17" customHeight="1" x14ac:dyDescent="0.2">
      <c r="J1" s="28" t="s">
        <v>387</v>
      </c>
      <c r="K1" s="29">
        <v>0.1</v>
      </c>
      <c r="L1" t="b">
        <f>AND(K1&gt;=0.03,K1&lt;=0.12)</f>
        <v>1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x14ac:dyDescent="0.2">
      <c r="F2" t="s">
        <v>309</v>
      </c>
      <c r="H2" t="s">
        <v>41</v>
      </c>
      <c r="M2" s="9">
        <f>+SUM(M4:M71)</f>
        <v>0.17946378559720022</v>
      </c>
      <c r="N2" s="9">
        <f>+SUM(N4:N71)</f>
        <v>0.89577938687992531</v>
      </c>
    </row>
    <row r="3" spans="1:48" x14ac:dyDescent="0.2">
      <c r="A3" t="s">
        <v>365</v>
      </c>
      <c r="B3" t="s">
        <v>366</v>
      </c>
      <c r="C3" t="s">
        <v>336</v>
      </c>
      <c r="D3" t="s">
        <v>367</v>
      </c>
      <c r="E3" t="s">
        <v>368</v>
      </c>
      <c r="F3" t="s">
        <v>382</v>
      </c>
      <c r="G3" t="s">
        <v>384</v>
      </c>
      <c r="H3" t="s">
        <v>382</v>
      </c>
      <c r="I3" t="s">
        <v>383</v>
      </c>
      <c r="K3" s="39" t="s">
        <v>394</v>
      </c>
      <c r="L3" s="40"/>
      <c r="M3" t="s">
        <v>390</v>
      </c>
      <c r="N3" t="s">
        <v>391</v>
      </c>
      <c r="O3" t="s">
        <v>392</v>
      </c>
      <c r="P3" t="s">
        <v>393</v>
      </c>
      <c r="Q3" s="41" t="s">
        <v>44</v>
      </c>
      <c r="R3" s="42"/>
      <c r="AF3" t="s">
        <v>388</v>
      </c>
      <c r="AG3" t="s">
        <v>389</v>
      </c>
      <c r="AU3" t="s">
        <v>388</v>
      </c>
      <c r="AV3" t="s">
        <v>389</v>
      </c>
    </row>
    <row r="4" spans="1:48" x14ac:dyDescent="0.2">
      <c r="A4">
        <v>1</v>
      </c>
      <c r="B4">
        <v>1</v>
      </c>
      <c r="C4" t="s">
        <v>113</v>
      </c>
      <c r="D4" t="s">
        <v>114</v>
      </c>
      <c r="E4" t="s">
        <v>114</v>
      </c>
      <c r="F4">
        <v>-0.23701152637035752</v>
      </c>
      <c r="G4">
        <v>4.6874322694489712E-2</v>
      </c>
      <c r="H4">
        <v>0.43350274973991926</v>
      </c>
      <c r="I4">
        <v>7.2316782850816358E-2</v>
      </c>
      <c r="K4" s="30" t="s">
        <v>114</v>
      </c>
      <c r="L4" s="30">
        <v>140</v>
      </c>
      <c r="M4" s="37">
        <f t="shared" ref="M4:M35" si="0">IF($L$1,F4*$K$1+G4,0)</f>
        <v>2.3173170057453958E-2</v>
      </c>
      <c r="N4" s="37">
        <f t="shared" ref="N4:N35" si="1">IF($L$1,H4*$K$1+I4,0)</f>
        <v>0.11566705782480829</v>
      </c>
      <c r="O4" s="34">
        <f t="shared" ref="O4:O35" si="2">+M4*$L$72/U4</f>
        <v>5.3066559431569562</v>
      </c>
      <c r="P4" s="34">
        <f t="shared" ref="P4:P35" si="3">+N4*$L$73/AJ4</f>
        <v>17.350058673721243</v>
      </c>
      <c r="Q4" s="31" t="s">
        <v>114</v>
      </c>
      <c r="R4" s="32">
        <f t="shared" ref="R4:R35" si="4">+L4+O4+P4</f>
        <v>162.65671461687819</v>
      </c>
      <c r="S4" s="33">
        <f>+R4-L4</f>
        <v>22.65671461687819</v>
      </c>
      <c r="U4" s="13">
        <v>1</v>
      </c>
      <c r="V4" s="13" t="s">
        <v>309</v>
      </c>
      <c r="W4" s="13" t="s">
        <v>310</v>
      </c>
      <c r="X4" s="13">
        <v>4</v>
      </c>
      <c r="Y4" s="13" t="s">
        <v>42</v>
      </c>
      <c r="Z4" s="13" t="s">
        <v>311</v>
      </c>
      <c r="AA4" s="13">
        <v>1</v>
      </c>
      <c r="AB4" s="13" t="s">
        <v>114</v>
      </c>
      <c r="AC4" s="13" t="s">
        <v>310</v>
      </c>
      <c r="AD4" s="13">
        <v>2</v>
      </c>
      <c r="AE4" s="13" t="s">
        <v>312</v>
      </c>
      <c r="AF4" s="1">
        <f t="shared" ref="AF4:AF35" si="5">+O4*X4</f>
        <v>21.226623772627825</v>
      </c>
      <c r="AG4" s="1">
        <f>+AD4*O4</f>
        <v>10.613311886313912</v>
      </c>
      <c r="AH4" s="1"/>
      <c r="AI4" s="1"/>
      <c r="AJ4" s="13">
        <f t="shared" ref="AJ4:AJ35" si="6">U4</f>
        <v>1</v>
      </c>
      <c r="AK4" s="13" t="s">
        <v>41</v>
      </c>
      <c r="AL4" s="13" t="str">
        <f t="shared" ref="AL4:AL35" si="7">W4</f>
        <v>+</v>
      </c>
      <c r="AM4" s="13">
        <f t="shared" ref="AM4:AM35" si="8">+X4-AJ4</f>
        <v>3</v>
      </c>
      <c r="AN4" s="13" t="str">
        <f t="shared" ref="AN4:AN35" si="9">Y4</f>
        <v>H2</v>
      </c>
      <c r="AO4" s="13" t="str">
        <f t="shared" ref="AO4:AO35" si="10">Z4</f>
        <v>=</v>
      </c>
      <c r="AP4" s="13">
        <f t="shared" ref="AP4:AP35" si="11">AA4</f>
        <v>1</v>
      </c>
      <c r="AQ4" s="13" t="str">
        <f t="shared" ref="AQ4:AQ35" si="12">AB4</f>
        <v>CH4</v>
      </c>
      <c r="AR4" s="13" t="str">
        <f t="shared" ref="AR4:AR35" si="13">AC4</f>
        <v>+</v>
      </c>
      <c r="AS4" s="13">
        <f>+AJ4</f>
        <v>1</v>
      </c>
      <c r="AT4" s="13" t="str">
        <f t="shared" ref="AT4:AT35" si="14">+AE4</f>
        <v>H2O</v>
      </c>
      <c r="AU4" s="1">
        <f>+P4*AM4</f>
        <v>52.050176021163729</v>
      </c>
      <c r="AV4" s="1">
        <f>+AS4*P4</f>
        <v>17.350058673721243</v>
      </c>
    </row>
    <row r="5" spans="1:48" x14ac:dyDescent="0.2">
      <c r="A5">
        <v>2</v>
      </c>
      <c r="B5">
        <v>1</v>
      </c>
      <c r="C5" t="s">
        <v>115</v>
      </c>
      <c r="D5" t="s">
        <v>116</v>
      </c>
      <c r="E5" t="s">
        <v>117</v>
      </c>
      <c r="F5">
        <v>-1.9943271912856962E-2</v>
      </c>
      <c r="G5">
        <v>3.6479798312728092E-3</v>
      </c>
      <c r="H5">
        <v>2.232476194723159E-2</v>
      </c>
      <c r="I5">
        <v>6.0216010444852398E-3</v>
      </c>
      <c r="K5" s="30" t="s">
        <v>117</v>
      </c>
      <c r="L5" s="30"/>
      <c r="M5" s="37">
        <f t="shared" si="0"/>
        <v>1.653652639987113E-3</v>
      </c>
      <c r="N5" s="37">
        <f t="shared" si="1"/>
        <v>8.2540772392083982E-3</v>
      </c>
      <c r="O5" s="34">
        <f t="shared" si="2"/>
        <v>0.37868645455704886</v>
      </c>
      <c r="P5" s="34">
        <f t="shared" si="3"/>
        <v>1.2381115858812597</v>
      </c>
      <c r="Q5" s="31" t="s">
        <v>117</v>
      </c>
      <c r="R5" s="32">
        <f t="shared" si="4"/>
        <v>1.6167980404383084</v>
      </c>
      <c r="S5">
        <f>+R5*U5</f>
        <v>1.6167980404383084</v>
      </c>
      <c r="U5" s="13">
        <v>1</v>
      </c>
      <c r="V5" s="13" t="s">
        <v>309</v>
      </c>
      <c r="W5" s="13" t="s">
        <v>310</v>
      </c>
      <c r="X5" s="13">
        <v>3</v>
      </c>
      <c r="Y5" s="13" t="s">
        <v>42</v>
      </c>
      <c r="Z5" s="13" t="s">
        <v>311</v>
      </c>
      <c r="AA5" s="13">
        <v>1</v>
      </c>
      <c r="AB5" s="13" t="s">
        <v>116</v>
      </c>
      <c r="AC5" s="13" t="s">
        <v>310</v>
      </c>
      <c r="AD5" s="13">
        <v>1</v>
      </c>
      <c r="AE5" s="13" t="s">
        <v>312</v>
      </c>
      <c r="AF5" s="1">
        <f t="shared" si="5"/>
        <v>1.1360593636711465</v>
      </c>
      <c r="AG5" s="1">
        <f t="shared" ref="AG5:AG68" si="15">+AD5*O5</f>
        <v>0.37868645455704886</v>
      </c>
      <c r="AH5" s="1"/>
      <c r="AI5" s="1"/>
      <c r="AJ5" s="13">
        <f t="shared" si="6"/>
        <v>1</v>
      </c>
      <c r="AK5" s="13" t="s">
        <v>41</v>
      </c>
      <c r="AL5" s="13" t="str">
        <f t="shared" si="7"/>
        <v>+</v>
      </c>
      <c r="AM5" s="13">
        <f t="shared" si="8"/>
        <v>2</v>
      </c>
      <c r="AN5" s="13" t="str">
        <f t="shared" si="9"/>
        <v>H2</v>
      </c>
      <c r="AO5" s="13" t="str">
        <f t="shared" si="10"/>
        <v>=</v>
      </c>
      <c r="AP5" s="13">
        <f t="shared" si="11"/>
        <v>1</v>
      </c>
      <c r="AQ5" s="13" t="str">
        <f t="shared" si="12"/>
        <v>CH4O</v>
      </c>
      <c r="AR5" s="13" t="str">
        <f t="shared" si="13"/>
        <v>+</v>
      </c>
      <c r="AS5" s="13">
        <v>0</v>
      </c>
      <c r="AT5" s="13" t="str">
        <f t="shared" si="14"/>
        <v>H2O</v>
      </c>
      <c r="AU5" s="1">
        <f t="shared" ref="AU5:AU68" si="16">+P5*AM5</f>
        <v>2.4762231717625194</v>
      </c>
      <c r="AV5" s="1">
        <f t="shared" ref="AV5:AV68" si="17">+AS5*P5</f>
        <v>0</v>
      </c>
    </row>
    <row r="6" spans="1:48" x14ac:dyDescent="0.2">
      <c r="A6">
        <v>3</v>
      </c>
      <c r="B6">
        <v>2</v>
      </c>
      <c r="C6" t="s">
        <v>118</v>
      </c>
      <c r="D6" t="s">
        <v>119</v>
      </c>
      <c r="E6" t="s">
        <v>120</v>
      </c>
      <c r="F6">
        <v>-3.5054702417429452E-2</v>
      </c>
      <c r="G6">
        <v>6.6081330409005091E-3</v>
      </c>
      <c r="H6">
        <v>4.8604080388952586E-2</v>
      </c>
      <c r="I6">
        <v>1.0626289573527528E-2</v>
      </c>
      <c r="K6" s="30" t="s">
        <v>120</v>
      </c>
      <c r="L6" s="30"/>
      <c r="M6" s="37">
        <f t="shared" si="0"/>
        <v>3.1026627991575639E-3</v>
      </c>
      <c r="N6" s="37">
        <f t="shared" si="1"/>
        <v>1.5486697612422787E-2</v>
      </c>
      <c r="O6" s="34">
        <f t="shared" si="2"/>
        <v>0.35525489050354109</v>
      </c>
      <c r="P6" s="34">
        <f t="shared" si="3"/>
        <v>1.161502320931709</v>
      </c>
      <c r="Q6" s="31" t="s">
        <v>120</v>
      </c>
      <c r="R6" s="32">
        <f t="shared" si="4"/>
        <v>1.5167572114352501</v>
      </c>
      <c r="S6">
        <f t="shared" ref="S6:S69" si="18">+R6*U6</f>
        <v>3.0335144228705002</v>
      </c>
      <c r="U6" s="13">
        <v>2</v>
      </c>
      <c r="V6" s="13" t="s">
        <v>309</v>
      </c>
      <c r="W6" s="13" t="s">
        <v>310</v>
      </c>
      <c r="X6" s="13">
        <v>7</v>
      </c>
      <c r="Y6" s="13" t="s">
        <v>42</v>
      </c>
      <c r="Z6" s="13" t="s">
        <v>311</v>
      </c>
      <c r="AA6" s="13">
        <v>1</v>
      </c>
      <c r="AB6" s="13" t="s">
        <v>119</v>
      </c>
      <c r="AC6" s="13" t="s">
        <v>310</v>
      </c>
      <c r="AD6" s="13">
        <v>4</v>
      </c>
      <c r="AE6" s="13" t="s">
        <v>312</v>
      </c>
      <c r="AF6" s="1">
        <f t="shared" si="5"/>
        <v>2.4867842335247876</v>
      </c>
      <c r="AG6" s="1">
        <f t="shared" si="15"/>
        <v>1.4210195620141644</v>
      </c>
      <c r="AH6" s="1"/>
      <c r="AI6" s="1"/>
      <c r="AJ6" s="13">
        <f t="shared" si="6"/>
        <v>2</v>
      </c>
      <c r="AK6" s="13" t="s">
        <v>41</v>
      </c>
      <c r="AL6" s="13" t="str">
        <f t="shared" si="7"/>
        <v>+</v>
      </c>
      <c r="AM6" s="13">
        <f t="shared" si="8"/>
        <v>5</v>
      </c>
      <c r="AN6" s="13" t="str">
        <f t="shared" si="9"/>
        <v>H2</v>
      </c>
      <c r="AO6" s="13" t="str">
        <f t="shared" si="10"/>
        <v>=</v>
      </c>
      <c r="AP6" s="13">
        <f t="shared" si="11"/>
        <v>1</v>
      </c>
      <c r="AQ6" s="13" t="str">
        <f t="shared" si="12"/>
        <v>C2H6</v>
      </c>
      <c r="AR6" s="13" t="str">
        <f t="shared" si="13"/>
        <v>+</v>
      </c>
      <c r="AS6" s="13">
        <f t="shared" ref="AS6:AS69" si="19">+AJ6</f>
        <v>2</v>
      </c>
      <c r="AT6" s="13" t="str">
        <f t="shared" si="14"/>
        <v>H2O</v>
      </c>
      <c r="AU6" s="1">
        <f t="shared" si="16"/>
        <v>5.8075116046585453</v>
      </c>
      <c r="AV6" s="1">
        <f t="shared" si="17"/>
        <v>2.323004641863418</v>
      </c>
    </row>
    <row r="7" spans="1:48" x14ac:dyDescent="0.2">
      <c r="A7">
        <v>4</v>
      </c>
      <c r="B7">
        <v>2</v>
      </c>
      <c r="C7" t="s">
        <v>121</v>
      </c>
      <c r="D7" t="s">
        <v>122</v>
      </c>
      <c r="E7" t="s">
        <v>123</v>
      </c>
      <c r="F7">
        <v>-0.14491617597274245</v>
      </c>
      <c r="G7">
        <v>2.7851193838105907E-2</v>
      </c>
      <c r="H7">
        <v>0.22639944693676681</v>
      </c>
      <c r="I7">
        <v>4.4043330565253933E-2</v>
      </c>
      <c r="K7" s="30" t="s">
        <v>123</v>
      </c>
      <c r="L7" s="30"/>
      <c r="M7" s="37">
        <f t="shared" si="0"/>
        <v>1.3359576240831662E-2</v>
      </c>
      <c r="N7" s="37">
        <f t="shared" si="1"/>
        <v>6.6683275258930613E-2</v>
      </c>
      <c r="O7" s="34">
        <f t="shared" si="2"/>
        <v>1.5296714795752253</v>
      </c>
      <c r="P7" s="34">
        <f t="shared" si="3"/>
        <v>5.0012456444197957</v>
      </c>
      <c r="Q7" s="31" t="s">
        <v>123</v>
      </c>
      <c r="R7" s="32">
        <f t="shared" si="4"/>
        <v>6.530917123995021</v>
      </c>
      <c r="S7">
        <f t="shared" si="18"/>
        <v>13.061834247990042</v>
      </c>
      <c r="U7" s="13">
        <v>2</v>
      </c>
      <c r="V7" s="13" t="s">
        <v>309</v>
      </c>
      <c r="W7" s="13" t="s">
        <v>310</v>
      </c>
      <c r="X7" s="13">
        <v>6</v>
      </c>
      <c r="Y7" s="13" t="s">
        <v>42</v>
      </c>
      <c r="Z7" s="13" t="s">
        <v>311</v>
      </c>
      <c r="AA7" s="13">
        <v>1</v>
      </c>
      <c r="AB7" s="13" t="s">
        <v>122</v>
      </c>
      <c r="AC7" s="13" t="s">
        <v>310</v>
      </c>
      <c r="AD7" s="13">
        <v>4</v>
      </c>
      <c r="AE7" s="13" t="s">
        <v>312</v>
      </c>
      <c r="AF7" s="1">
        <f t="shared" si="5"/>
        <v>9.1780288774513519</v>
      </c>
      <c r="AG7" s="1">
        <f t="shared" si="15"/>
        <v>6.1186859183009012</v>
      </c>
      <c r="AH7" s="1"/>
      <c r="AI7" s="1"/>
      <c r="AJ7" s="13">
        <f t="shared" si="6"/>
        <v>2</v>
      </c>
      <c r="AK7" s="13" t="s">
        <v>41</v>
      </c>
      <c r="AL7" s="13" t="str">
        <f t="shared" si="7"/>
        <v>+</v>
      </c>
      <c r="AM7" s="13">
        <f t="shared" si="8"/>
        <v>4</v>
      </c>
      <c r="AN7" s="13" t="str">
        <f t="shared" si="9"/>
        <v>H2</v>
      </c>
      <c r="AO7" s="13" t="str">
        <f t="shared" si="10"/>
        <v>=</v>
      </c>
      <c r="AP7" s="13">
        <f t="shared" si="11"/>
        <v>1</v>
      </c>
      <c r="AQ7" s="13" t="str">
        <f t="shared" si="12"/>
        <v>C2H4</v>
      </c>
      <c r="AR7" s="13" t="str">
        <f t="shared" si="13"/>
        <v>+</v>
      </c>
      <c r="AS7" s="13">
        <f t="shared" si="19"/>
        <v>2</v>
      </c>
      <c r="AT7" s="13" t="str">
        <f t="shared" si="14"/>
        <v>H2O</v>
      </c>
      <c r="AU7" s="1">
        <f t="shared" si="16"/>
        <v>20.004982577679183</v>
      </c>
      <c r="AV7" s="1">
        <f t="shared" si="17"/>
        <v>10.002491288839591</v>
      </c>
    </row>
    <row r="8" spans="1:48" x14ac:dyDescent="0.2">
      <c r="A8">
        <v>5</v>
      </c>
      <c r="B8">
        <v>3</v>
      </c>
      <c r="C8" t="s">
        <v>124</v>
      </c>
      <c r="D8" t="s">
        <v>125</v>
      </c>
      <c r="E8" t="s">
        <v>126</v>
      </c>
      <c r="F8">
        <v>-2.5581367543761675E-2</v>
      </c>
      <c r="G8">
        <v>4.6856625119238819E-3</v>
      </c>
      <c r="H8">
        <v>2.8940641278818527E-2</v>
      </c>
      <c r="I8">
        <v>7.7253135494887992E-3</v>
      </c>
      <c r="K8" s="30" t="s">
        <v>126</v>
      </c>
      <c r="L8" s="30"/>
      <c r="M8" s="37">
        <f t="shared" si="0"/>
        <v>2.1275257575477141E-3</v>
      </c>
      <c r="N8" s="37">
        <f t="shared" si="1"/>
        <v>1.0619377677370652E-2</v>
      </c>
      <c r="O8" s="34">
        <f t="shared" si="2"/>
        <v>0.16240113282614219</v>
      </c>
      <c r="P8" s="34">
        <f t="shared" si="3"/>
        <v>0.53096888386853258</v>
      </c>
      <c r="Q8" s="31" t="s">
        <v>126</v>
      </c>
      <c r="R8" s="32">
        <f t="shared" si="4"/>
        <v>0.6933700166946748</v>
      </c>
      <c r="S8">
        <f t="shared" si="18"/>
        <v>2.0801100500840244</v>
      </c>
      <c r="U8" s="13">
        <v>3</v>
      </c>
      <c r="V8" s="13" t="s">
        <v>309</v>
      </c>
      <c r="W8" s="13" t="s">
        <v>310</v>
      </c>
      <c r="X8" s="13">
        <v>10</v>
      </c>
      <c r="Y8" s="13" t="s">
        <v>42</v>
      </c>
      <c r="Z8" s="13" t="s">
        <v>311</v>
      </c>
      <c r="AA8" s="13">
        <v>1</v>
      </c>
      <c r="AB8" s="13" t="s">
        <v>125</v>
      </c>
      <c r="AC8" s="13" t="s">
        <v>310</v>
      </c>
      <c r="AD8" s="13">
        <v>6</v>
      </c>
      <c r="AE8" s="13" t="s">
        <v>312</v>
      </c>
      <c r="AF8" s="1">
        <f t="shared" si="5"/>
        <v>1.6240113282614219</v>
      </c>
      <c r="AG8" s="1">
        <f t="shared" si="15"/>
        <v>0.97440679695685306</v>
      </c>
      <c r="AH8" s="1"/>
      <c r="AI8" s="1"/>
      <c r="AJ8" s="13">
        <f t="shared" si="6"/>
        <v>3</v>
      </c>
      <c r="AK8" s="13" t="s">
        <v>41</v>
      </c>
      <c r="AL8" s="13" t="str">
        <f t="shared" si="7"/>
        <v>+</v>
      </c>
      <c r="AM8" s="13">
        <f t="shared" si="8"/>
        <v>7</v>
      </c>
      <c r="AN8" s="13" t="str">
        <f t="shared" si="9"/>
        <v>H2</v>
      </c>
      <c r="AO8" s="13" t="str">
        <f t="shared" si="10"/>
        <v>=</v>
      </c>
      <c r="AP8" s="13">
        <f t="shared" si="11"/>
        <v>1</v>
      </c>
      <c r="AQ8" s="13" t="str">
        <f t="shared" si="12"/>
        <v>C3H8</v>
      </c>
      <c r="AR8" s="13" t="str">
        <f t="shared" si="13"/>
        <v>+</v>
      </c>
      <c r="AS8" s="13">
        <f t="shared" si="19"/>
        <v>3</v>
      </c>
      <c r="AT8" s="13" t="str">
        <f t="shared" si="14"/>
        <v>H2O</v>
      </c>
      <c r="AU8" s="1">
        <f t="shared" si="16"/>
        <v>3.716782187079728</v>
      </c>
      <c r="AV8" s="1">
        <f t="shared" si="17"/>
        <v>1.5929066516055976</v>
      </c>
    </row>
    <row r="9" spans="1:48" x14ac:dyDescent="0.2">
      <c r="A9">
        <v>6</v>
      </c>
      <c r="B9">
        <v>3</v>
      </c>
      <c r="C9" t="s">
        <v>127</v>
      </c>
      <c r="D9" t="s">
        <v>128</v>
      </c>
      <c r="E9" t="s">
        <v>129</v>
      </c>
      <c r="F9">
        <v>-0.22544833768369352</v>
      </c>
      <c r="G9">
        <v>4.247807078830524E-2</v>
      </c>
      <c r="H9">
        <v>0.31158519807503038</v>
      </c>
      <c r="I9">
        <v>6.8336666794249823E-2</v>
      </c>
      <c r="K9" s="30" t="s">
        <v>129</v>
      </c>
      <c r="L9" s="30"/>
      <c r="M9" s="37">
        <f t="shared" si="0"/>
        <v>1.9933237019935886E-2</v>
      </c>
      <c r="N9" s="37">
        <f t="shared" si="1"/>
        <v>9.9495186601752855E-2</v>
      </c>
      <c r="O9" s="34">
        <f t="shared" si="2"/>
        <v>1.5215704258551062</v>
      </c>
      <c r="P9" s="34">
        <f t="shared" si="3"/>
        <v>4.9747593300876423</v>
      </c>
      <c r="Q9" s="31" t="s">
        <v>129</v>
      </c>
      <c r="R9" s="32">
        <f>+L9+O9+P9</f>
        <v>6.4963297559427486</v>
      </c>
      <c r="S9">
        <f t="shared" si="18"/>
        <v>19.488989267828245</v>
      </c>
      <c r="U9" s="13">
        <v>3</v>
      </c>
      <c r="V9" s="13" t="s">
        <v>309</v>
      </c>
      <c r="W9" s="13" t="s">
        <v>310</v>
      </c>
      <c r="X9" s="13">
        <v>9</v>
      </c>
      <c r="Y9" s="13" t="s">
        <v>42</v>
      </c>
      <c r="Z9" s="13" t="s">
        <v>311</v>
      </c>
      <c r="AA9" s="13">
        <v>1</v>
      </c>
      <c r="AB9" s="13" t="s">
        <v>313</v>
      </c>
      <c r="AC9" s="13" t="s">
        <v>310</v>
      </c>
      <c r="AD9" s="13">
        <v>6</v>
      </c>
      <c r="AE9" s="13" t="s">
        <v>312</v>
      </c>
      <c r="AF9" s="1">
        <f t="shared" si="5"/>
        <v>13.694133832695956</v>
      </c>
      <c r="AG9" s="1">
        <f t="shared" si="15"/>
        <v>9.1294225551306365</v>
      </c>
      <c r="AH9" s="1"/>
      <c r="AI9" s="1"/>
      <c r="AJ9" s="13">
        <f t="shared" si="6"/>
        <v>3</v>
      </c>
      <c r="AK9" s="13" t="s">
        <v>41</v>
      </c>
      <c r="AL9" s="13" t="str">
        <f t="shared" si="7"/>
        <v>+</v>
      </c>
      <c r="AM9" s="13">
        <f t="shared" si="8"/>
        <v>6</v>
      </c>
      <c r="AN9" s="13" t="str">
        <f t="shared" si="9"/>
        <v>H2</v>
      </c>
      <c r="AO9" s="13" t="str">
        <f t="shared" si="10"/>
        <v>=</v>
      </c>
      <c r="AP9" s="13">
        <f t="shared" si="11"/>
        <v>1</v>
      </c>
      <c r="AQ9" s="13" t="str">
        <f t="shared" si="12"/>
        <v>C3H6</v>
      </c>
      <c r="AR9" s="13" t="str">
        <f t="shared" si="13"/>
        <v>+</v>
      </c>
      <c r="AS9" s="13">
        <f t="shared" si="19"/>
        <v>3</v>
      </c>
      <c r="AT9" s="13" t="str">
        <f t="shared" si="14"/>
        <v>H2O</v>
      </c>
      <c r="AU9" s="1">
        <f t="shared" si="16"/>
        <v>29.848555980525852</v>
      </c>
      <c r="AV9" s="1">
        <f t="shared" si="17"/>
        <v>14.924277990262926</v>
      </c>
    </row>
    <row r="10" spans="1:48" x14ac:dyDescent="0.2">
      <c r="A10">
        <v>7</v>
      </c>
      <c r="B10">
        <v>4</v>
      </c>
      <c r="C10" t="s">
        <v>130</v>
      </c>
      <c r="D10" t="s">
        <v>131</v>
      </c>
      <c r="E10" t="s">
        <v>132</v>
      </c>
      <c r="F10">
        <v>-2.7598676579503049E-2</v>
      </c>
      <c r="G10">
        <v>4.7200312760233322E-3</v>
      </c>
      <c r="H10">
        <v>1.5212900721382101E-2</v>
      </c>
      <c r="I10">
        <v>8.2627126342506262E-3</v>
      </c>
      <c r="K10" s="30" t="s">
        <v>132</v>
      </c>
      <c r="L10" s="30"/>
      <c r="M10" s="37">
        <f t="shared" si="0"/>
        <v>1.9601636180730272E-3</v>
      </c>
      <c r="N10" s="37">
        <f t="shared" si="1"/>
        <v>9.7840027063888363E-3</v>
      </c>
      <c r="O10" s="34">
        <f t="shared" si="2"/>
        <v>0.11221936713468081</v>
      </c>
      <c r="P10" s="34">
        <f t="shared" si="3"/>
        <v>0.36690010148958135</v>
      </c>
      <c r="Q10" s="31" t="s">
        <v>132</v>
      </c>
      <c r="R10" s="32">
        <f t="shared" si="4"/>
        <v>0.47911946862426213</v>
      </c>
      <c r="S10">
        <f t="shared" si="18"/>
        <v>1.9164778744970485</v>
      </c>
      <c r="U10" s="13">
        <v>4</v>
      </c>
      <c r="V10" s="13" t="s">
        <v>309</v>
      </c>
      <c r="W10" s="13" t="s">
        <v>310</v>
      </c>
      <c r="X10" s="13">
        <v>13</v>
      </c>
      <c r="Y10" s="13" t="s">
        <v>42</v>
      </c>
      <c r="Z10" s="13" t="s">
        <v>311</v>
      </c>
      <c r="AA10" s="13">
        <v>1</v>
      </c>
      <c r="AB10" s="13" t="s">
        <v>314</v>
      </c>
      <c r="AC10" s="13" t="s">
        <v>310</v>
      </c>
      <c r="AD10" s="13">
        <v>8</v>
      </c>
      <c r="AE10" s="13" t="s">
        <v>312</v>
      </c>
      <c r="AF10" s="1">
        <f t="shared" si="5"/>
        <v>1.4588517727508505</v>
      </c>
      <c r="AG10" s="1">
        <f t="shared" si="15"/>
        <v>0.89775493707744647</v>
      </c>
      <c r="AH10" s="1"/>
      <c r="AI10" s="1"/>
      <c r="AJ10" s="13">
        <f t="shared" si="6"/>
        <v>4</v>
      </c>
      <c r="AK10" s="13" t="s">
        <v>41</v>
      </c>
      <c r="AL10" s="13" t="str">
        <f t="shared" si="7"/>
        <v>+</v>
      </c>
      <c r="AM10" s="13">
        <f t="shared" si="8"/>
        <v>9</v>
      </c>
      <c r="AN10" s="13" t="str">
        <f t="shared" si="9"/>
        <v>H2</v>
      </c>
      <c r="AO10" s="13" t="str">
        <f t="shared" si="10"/>
        <v>=</v>
      </c>
      <c r="AP10" s="13">
        <f t="shared" si="11"/>
        <v>1</v>
      </c>
      <c r="AQ10" s="13" t="str">
        <f t="shared" si="12"/>
        <v>C4H10</v>
      </c>
      <c r="AR10" s="13" t="str">
        <f t="shared" si="13"/>
        <v>+</v>
      </c>
      <c r="AS10" s="13">
        <f t="shared" si="19"/>
        <v>4</v>
      </c>
      <c r="AT10" s="13" t="str">
        <f t="shared" si="14"/>
        <v>H2O</v>
      </c>
      <c r="AU10" s="1">
        <f t="shared" si="16"/>
        <v>3.3021009134062322</v>
      </c>
      <c r="AV10" s="1">
        <f t="shared" si="17"/>
        <v>1.4676004059583254</v>
      </c>
    </row>
    <row r="11" spans="1:48" x14ac:dyDescent="0.2">
      <c r="A11">
        <v>8</v>
      </c>
      <c r="B11">
        <v>4</v>
      </c>
      <c r="C11" t="s">
        <v>133</v>
      </c>
      <c r="D11" t="s">
        <v>134</v>
      </c>
      <c r="E11" t="s">
        <v>135</v>
      </c>
      <c r="F11">
        <v>-1.3154836198475872E-3</v>
      </c>
      <c r="G11">
        <v>1.9738533143051428E-4</v>
      </c>
      <c r="H11">
        <v>-5.9307590505175542E-4</v>
      </c>
      <c r="I11">
        <v>3.8792765124834609E-4</v>
      </c>
      <c r="K11" s="30" t="s">
        <v>135</v>
      </c>
      <c r="L11" s="30"/>
      <c r="M11" s="37">
        <f t="shared" si="0"/>
        <v>6.5836969445755549E-5</v>
      </c>
      <c r="N11" s="37">
        <f t="shared" si="1"/>
        <v>3.2862006074317054E-4</v>
      </c>
      <c r="O11" s="34">
        <f t="shared" si="2"/>
        <v>3.7691665007695053E-3</v>
      </c>
      <c r="P11" s="34">
        <f t="shared" si="3"/>
        <v>1.2323252277868894E-2</v>
      </c>
      <c r="Q11" s="31" t="s">
        <v>135</v>
      </c>
      <c r="R11" s="32">
        <f t="shared" si="4"/>
        <v>1.6092418778638401E-2</v>
      </c>
      <c r="S11">
        <f t="shared" si="18"/>
        <v>6.4369675114553604E-2</v>
      </c>
      <c r="U11" s="13">
        <v>4</v>
      </c>
      <c r="V11" s="13" t="s">
        <v>309</v>
      </c>
      <c r="W11" s="13" t="s">
        <v>310</v>
      </c>
      <c r="X11" s="13">
        <v>13</v>
      </c>
      <c r="Y11" s="13" t="s">
        <v>42</v>
      </c>
      <c r="Z11" s="13" t="s">
        <v>311</v>
      </c>
      <c r="AA11" s="13">
        <v>1</v>
      </c>
      <c r="AB11" s="13" t="s">
        <v>314</v>
      </c>
      <c r="AC11" s="13" t="s">
        <v>310</v>
      </c>
      <c r="AD11" s="13">
        <v>8</v>
      </c>
      <c r="AE11" s="13" t="s">
        <v>312</v>
      </c>
      <c r="AF11" s="1">
        <f t="shared" si="5"/>
        <v>4.8999164510003572E-2</v>
      </c>
      <c r="AG11" s="1">
        <f t="shared" si="15"/>
        <v>3.0153332006156042E-2</v>
      </c>
      <c r="AH11" s="1"/>
      <c r="AI11" s="1"/>
      <c r="AJ11" s="13">
        <f t="shared" si="6"/>
        <v>4</v>
      </c>
      <c r="AK11" s="13" t="s">
        <v>41</v>
      </c>
      <c r="AL11" s="13" t="str">
        <f t="shared" si="7"/>
        <v>+</v>
      </c>
      <c r="AM11" s="13">
        <f t="shared" si="8"/>
        <v>9</v>
      </c>
      <c r="AN11" s="13" t="str">
        <f t="shared" si="9"/>
        <v>H2</v>
      </c>
      <c r="AO11" s="13" t="str">
        <f t="shared" si="10"/>
        <v>=</v>
      </c>
      <c r="AP11" s="13">
        <f t="shared" si="11"/>
        <v>1</v>
      </c>
      <c r="AQ11" s="13" t="str">
        <f t="shared" si="12"/>
        <v>C4H10</v>
      </c>
      <c r="AR11" s="13" t="str">
        <f t="shared" si="13"/>
        <v>+</v>
      </c>
      <c r="AS11" s="13">
        <f t="shared" si="19"/>
        <v>4</v>
      </c>
      <c r="AT11" s="13" t="str">
        <f t="shared" si="14"/>
        <v>H2O</v>
      </c>
      <c r="AU11" s="1">
        <f t="shared" si="16"/>
        <v>0.11090927050082006</v>
      </c>
      <c r="AV11" s="1">
        <f t="shared" si="17"/>
        <v>4.9293009111475578E-2</v>
      </c>
    </row>
    <row r="12" spans="1:48" x14ac:dyDescent="0.2">
      <c r="A12">
        <v>9</v>
      </c>
      <c r="B12">
        <v>4</v>
      </c>
      <c r="C12" t="s">
        <v>136</v>
      </c>
      <c r="D12" t="s">
        <v>137</v>
      </c>
      <c r="E12" t="s">
        <v>138</v>
      </c>
      <c r="F12">
        <v>-0.18871421686374043</v>
      </c>
      <c r="G12">
        <v>3.4801879718353732E-2</v>
      </c>
      <c r="H12">
        <v>0.22475356235019636</v>
      </c>
      <c r="I12">
        <v>5.7040273512321278E-2</v>
      </c>
      <c r="K12" s="30" t="s">
        <v>138</v>
      </c>
      <c r="L12" s="30"/>
      <c r="M12" s="37">
        <f t="shared" si="0"/>
        <v>1.5930458031979688E-2</v>
      </c>
      <c r="N12" s="37">
        <f t="shared" si="1"/>
        <v>7.9515629747340916E-2</v>
      </c>
      <c r="O12" s="34">
        <f t="shared" si="2"/>
        <v>0.91201872233083714</v>
      </c>
      <c r="P12" s="34">
        <f t="shared" si="3"/>
        <v>2.9818361155252844</v>
      </c>
      <c r="Q12" s="31" t="s">
        <v>138</v>
      </c>
      <c r="R12" s="32">
        <f t="shared" si="4"/>
        <v>3.8938548378561215</v>
      </c>
      <c r="S12">
        <f t="shared" si="18"/>
        <v>15.575419351424486</v>
      </c>
      <c r="U12" s="13">
        <v>4</v>
      </c>
      <c r="V12" s="13" t="s">
        <v>309</v>
      </c>
      <c r="W12" s="13" t="s">
        <v>310</v>
      </c>
      <c r="X12" s="13">
        <v>12</v>
      </c>
      <c r="Y12" s="13" t="s">
        <v>42</v>
      </c>
      <c r="Z12" s="13" t="s">
        <v>311</v>
      </c>
      <c r="AA12" s="13">
        <v>1</v>
      </c>
      <c r="AB12" s="13" t="s">
        <v>315</v>
      </c>
      <c r="AC12" s="13" t="s">
        <v>310</v>
      </c>
      <c r="AD12" s="13">
        <v>8</v>
      </c>
      <c r="AE12" s="13" t="s">
        <v>312</v>
      </c>
      <c r="AF12" s="1">
        <f t="shared" si="5"/>
        <v>10.944224667970046</v>
      </c>
      <c r="AG12" s="1">
        <f t="shared" si="15"/>
        <v>7.2961497786466971</v>
      </c>
      <c r="AH12" s="1"/>
      <c r="AI12" s="1"/>
      <c r="AJ12" s="13">
        <f t="shared" si="6"/>
        <v>4</v>
      </c>
      <c r="AK12" s="13" t="s">
        <v>41</v>
      </c>
      <c r="AL12" s="13" t="str">
        <f t="shared" si="7"/>
        <v>+</v>
      </c>
      <c r="AM12" s="13">
        <f t="shared" si="8"/>
        <v>8</v>
      </c>
      <c r="AN12" s="13" t="str">
        <f t="shared" si="9"/>
        <v>H2</v>
      </c>
      <c r="AO12" s="13" t="str">
        <f t="shared" si="10"/>
        <v>=</v>
      </c>
      <c r="AP12" s="13">
        <f t="shared" si="11"/>
        <v>1</v>
      </c>
      <c r="AQ12" s="13" t="str">
        <f t="shared" si="12"/>
        <v>C4H8</v>
      </c>
      <c r="AR12" s="13" t="str">
        <f t="shared" si="13"/>
        <v>+</v>
      </c>
      <c r="AS12" s="13">
        <f t="shared" si="19"/>
        <v>4</v>
      </c>
      <c r="AT12" s="13" t="str">
        <f t="shared" si="14"/>
        <v>H2O</v>
      </c>
      <c r="AU12" s="1">
        <f t="shared" si="16"/>
        <v>23.854688924202275</v>
      </c>
      <c r="AV12" s="1">
        <f t="shared" si="17"/>
        <v>11.927344462101138</v>
      </c>
    </row>
    <row r="13" spans="1:48" x14ac:dyDescent="0.2">
      <c r="A13">
        <v>10</v>
      </c>
      <c r="B13">
        <v>5</v>
      </c>
      <c r="C13" t="s">
        <v>139</v>
      </c>
      <c r="D13" t="s">
        <v>140</v>
      </c>
      <c r="E13" t="s">
        <v>141</v>
      </c>
      <c r="F13">
        <v>-5.608352255595161E-3</v>
      </c>
      <c r="G13">
        <v>8.4152052678389223E-4</v>
      </c>
      <c r="H13">
        <v>-2.5284834715171428E-3</v>
      </c>
      <c r="I13">
        <v>1.6538669771794391E-3</v>
      </c>
      <c r="K13" s="30" t="s">
        <v>141</v>
      </c>
      <c r="L13" s="30"/>
      <c r="M13" s="37">
        <f t="shared" si="0"/>
        <v>2.8068530122437609E-4</v>
      </c>
      <c r="N13" s="37">
        <f t="shared" si="1"/>
        <v>1.4010186300277248E-3</v>
      </c>
      <c r="O13" s="34">
        <f t="shared" si="2"/>
        <v>1.2855386796076427E-2</v>
      </c>
      <c r="P13" s="34">
        <f t="shared" si="3"/>
        <v>4.2030558900831745E-2</v>
      </c>
      <c r="Q13" s="31" t="s">
        <v>141</v>
      </c>
      <c r="R13" s="32">
        <f t="shared" si="4"/>
        <v>5.4885945696908175E-2</v>
      </c>
      <c r="S13">
        <f t="shared" si="18"/>
        <v>0.27442972848454089</v>
      </c>
      <c r="U13" s="13">
        <v>5</v>
      </c>
      <c r="V13" s="13" t="s">
        <v>309</v>
      </c>
      <c r="W13" s="13" t="s">
        <v>310</v>
      </c>
      <c r="X13" s="13">
        <v>16</v>
      </c>
      <c r="Y13" s="13" t="s">
        <v>42</v>
      </c>
      <c r="Z13" s="13" t="s">
        <v>311</v>
      </c>
      <c r="AA13" s="13">
        <v>1</v>
      </c>
      <c r="AB13" s="13" t="s">
        <v>316</v>
      </c>
      <c r="AC13" s="13" t="s">
        <v>310</v>
      </c>
      <c r="AD13" s="13">
        <v>10</v>
      </c>
      <c r="AE13" s="13" t="s">
        <v>312</v>
      </c>
      <c r="AF13" s="1">
        <f t="shared" si="5"/>
        <v>0.20568618873722283</v>
      </c>
      <c r="AG13" s="1">
        <f t="shared" si="15"/>
        <v>0.12855386796076426</v>
      </c>
      <c r="AH13" s="1"/>
      <c r="AI13" s="1"/>
      <c r="AJ13" s="13">
        <f t="shared" si="6"/>
        <v>5</v>
      </c>
      <c r="AK13" s="13" t="s">
        <v>41</v>
      </c>
      <c r="AL13" s="13" t="str">
        <f t="shared" si="7"/>
        <v>+</v>
      </c>
      <c r="AM13" s="13">
        <f t="shared" si="8"/>
        <v>11</v>
      </c>
      <c r="AN13" s="13" t="str">
        <f t="shared" si="9"/>
        <v>H2</v>
      </c>
      <c r="AO13" s="13" t="str">
        <f t="shared" si="10"/>
        <v>=</v>
      </c>
      <c r="AP13" s="13">
        <f t="shared" si="11"/>
        <v>1</v>
      </c>
      <c r="AQ13" s="13" t="str">
        <f t="shared" si="12"/>
        <v>C5H12</v>
      </c>
      <c r="AR13" s="13" t="str">
        <f t="shared" si="13"/>
        <v>+</v>
      </c>
      <c r="AS13" s="13">
        <f t="shared" si="19"/>
        <v>5</v>
      </c>
      <c r="AT13" s="13" t="str">
        <f t="shared" si="14"/>
        <v>H2O</v>
      </c>
      <c r="AU13" s="1">
        <f t="shared" si="16"/>
        <v>0.46233614790914918</v>
      </c>
      <c r="AV13" s="1">
        <f t="shared" si="17"/>
        <v>0.21015279450415872</v>
      </c>
    </row>
    <row r="14" spans="1:48" x14ac:dyDescent="0.2">
      <c r="A14">
        <v>11</v>
      </c>
      <c r="B14">
        <v>5</v>
      </c>
      <c r="C14" t="s">
        <v>370</v>
      </c>
      <c r="D14" t="s">
        <v>371</v>
      </c>
      <c r="E14" t="s">
        <v>142</v>
      </c>
      <c r="F14">
        <v>8.1537124167068275E-3</v>
      </c>
      <c r="G14">
        <v>2.5441068787122011E-6</v>
      </c>
      <c r="H14">
        <v>6.2243509673907543E-2</v>
      </c>
      <c r="I14">
        <v>-2.1417907616915837E-3</v>
      </c>
      <c r="K14" s="30" t="s">
        <v>142</v>
      </c>
      <c r="L14" s="30"/>
      <c r="M14" s="37">
        <f t="shared" si="0"/>
        <v>8.1791534854939497E-4</v>
      </c>
      <c r="N14" s="37">
        <f t="shared" si="1"/>
        <v>4.0825602056991702E-3</v>
      </c>
      <c r="O14" s="34">
        <f t="shared" si="2"/>
        <v>3.7460522963562289E-2</v>
      </c>
      <c r="P14" s="34">
        <f t="shared" si="3"/>
        <v>0.12247680617097512</v>
      </c>
      <c r="Q14" s="31" t="s">
        <v>142</v>
      </c>
      <c r="R14" s="32">
        <f t="shared" si="4"/>
        <v>0.1599373291345374</v>
      </c>
      <c r="S14">
        <f t="shared" si="18"/>
        <v>0.79968664567268699</v>
      </c>
      <c r="U14" s="13">
        <v>5</v>
      </c>
      <c r="V14" s="13" t="s">
        <v>309</v>
      </c>
      <c r="W14" s="13" t="s">
        <v>310</v>
      </c>
      <c r="X14" s="13">
        <v>16</v>
      </c>
      <c r="Y14" s="13" t="s">
        <v>42</v>
      </c>
      <c r="Z14" s="13" t="s">
        <v>311</v>
      </c>
      <c r="AA14" s="13">
        <v>1</v>
      </c>
      <c r="AB14" s="13" t="s">
        <v>316</v>
      </c>
      <c r="AC14" s="13" t="s">
        <v>310</v>
      </c>
      <c r="AD14" s="13">
        <v>10</v>
      </c>
      <c r="AE14" s="13" t="s">
        <v>312</v>
      </c>
      <c r="AF14" s="1">
        <f t="shared" si="5"/>
        <v>0.59936836741699662</v>
      </c>
      <c r="AG14" s="1">
        <f t="shared" si="15"/>
        <v>0.37460522963562287</v>
      </c>
      <c r="AH14" s="1"/>
      <c r="AI14" s="1"/>
      <c r="AJ14" s="13">
        <f t="shared" si="6"/>
        <v>5</v>
      </c>
      <c r="AK14" s="13" t="s">
        <v>41</v>
      </c>
      <c r="AL14" s="13" t="str">
        <f t="shared" si="7"/>
        <v>+</v>
      </c>
      <c r="AM14" s="13">
        <f t="shared" si="8"/>
        <v>11</v>
      </c>
      <c r="AN14" s="13" t="str">
        <f t="shared" si="9"/>
        <v>H2</v>
      </c>
      <c r="AO14" s="13" t="str">
        <f t="shared" si="10"/>
        <v>=</v>
      </c>
      <c r="AP14" s="13">
        <f t="shared" si="11"/>
        <v>1</v>
      </c>
      <c r="AQ14" s="13" t="str">
        <f t="shared" si="12"/>
        <v>C5H12</v>
      </c>
      <c r="AR14" s="13" t="str">
        <f t="shared" si="13"/>
        <v>+</v>
      </c>
      <c r="AS14" s="13">
        <f t="shared" si="19"/>
        <v>5</v>
      </c>
      <c r="AT14" s="13" t="str">
        <f t="shared" si="14"/>
        <v>H2O</v>
      </c>
      <c r="AU14" s="1">
        <f t="shared" si="16"/>
        <v>1.3472448678807263</v>
      </c>
      <c r="AV14" s="1">
        <f t="shared" si="17"/>
        <v>0.61238403085487558</v>
      </c>
    </row>
    <row r="15" spans="1:48" x14ac:dyDescent="0.2">
      <c r="A15">
        <v>12</v>
      </c>
      <c r="B15">
        <v>5</v>
      </c>
      <c r="C15" t="s">
        <v>143</v>
      </c>
      <c r="D15" t="s">
        <v>144</v>
      </c>
      <c r="E15" t="s">
        <v>145</v>
      </c>
      <c r="F15">
        <v>-0.24781883903975185</v>
      </c>
      <c r="G15">
        <v>3.8305614691714576E-2</v>
      </c>
      <c r="H15">
        <v>-5.8177229045625355E-2</v>
      </c>
      <c r="I15">
        <v>7.3320362688169952E-2</v>
      </c>
      <c r="K15" s="30" t="s">
        <v>145</v>
      </c>
      <c r="L15" s="30"/>
      <c r="M15" s="37">
        <f t="shared" si="0"/>
        <v>1.3523730787739389E-2</v>
      </c>
      <c r="N15" s="37">
        <f t="shared" si="1"/>
        <v>6.7502639783607418E-2</v>
      </c>
      <c r="O15" s="34">
        <f t="shared" si="2"/>
        <v>0.61938687007846405</v>
      </c>
      <c r="P15" s="34">
        <f t="shared" si="3"/>
        <v>2.0250791935082226</v>
      </c>
      <c r="Q15" s="31" t="s">
        <v>145</v>
      </c>
      <c r="R15" s="32">
        <f t="shared" si="4"/>
        <v>2.6444660635866866</v>
      </c>
      <c r="S15">
        <f t="shared" si="18"/>
        <v>13.222330317933434</v>
      </c>
      <c r="U15" s="13">
        <v>5</v>
      </c>
      <c r="V15" s="13" t="s">
        <v>309</v>
      </c>
      <c r="W15" s="13" t="s">
        <v>310</v>
      </c>
      <c r="X15" s="13">
        <v>15</v>
      </c>
      <c r="Y15" s="13" t="s">
        <v>42</v>
      </c>
      <c r="Z15" s="13" t="s">
        <v>311</v>
      </c>
      <c r="AA15" s="13">
        <v>1</v>
      </c>
      <c r="AB15" s="13" t="s">
        <v>317</v>
      </c>
      <c r="AC15" s="13" t="s">
        <v>310</v>
      </c>
      <c r="AD15" s="13">
        <v>10</v>
      </c>
      <c r="AE15" s="13" t="s">
        <v>312</v>
      </c>
      <c r="AF15" s="1">
        <f t="shared" si="5"/>
        <v>9.2908030511769599</v>
      </c>
      <c r="AG15" s="1">
        <f t="shared" si="15"/>
        <v>6.1938687007846402</v>
      </c>
      <c r="AH15" s="1"/>
      <c r="AI15" s="1"/>
      <c r="AJ15" s="13">
        <f t="shared" si="6"/>
        <v>5</v>
      </c>
      <c r="AK15" s="13" t="s">
        <v>41</v>
      </c>
      <c r="AL15" s="13" t="str">
        <f t="shared" si="7"/>
        <v>+</v>
      </c>
      <c r="AM15" s="13">
        <f t="shared" si="8"/>
        <v>10</v>
      </c>
      <c r="AN15" s="13" t="str">
        <f t="shared" si="9"/>
        <v>H2</v>
      </c>
      <c r="AO15" s="13" t="str">
        <f t="shared" si="10"/>
        <v>=</v>
      </c>
      <c r="AP15" s="13">
        <f t="shared" si="11"/>
        <v>1</v>
      </c>
      <c r="AQ15" s="13" t="str">
        <f t="shared" si="12"/>
        <v>C5H10</v>
      </c>
      <c r="AR15" s="13" t="str">
        <f t="shared" si="13"/>
        <v>+</v>
      </c>
      <c r="AS15" s="13">
        <f t="shared" si="19"/>
        <v>5</v>
      </c>
      <c r="AT15" s="13" t="str">
        <f t="shared" si="14"/>
        <v>H2O</v>
      </c>
      <c r="AU15" s="1">
        <f t="shared" si="16"/>
        <v>20.250791935082226</v>
      </c>
      <c r="AV15" s="1">
        <f t="shared" si="17"/>
        <v>10.125395967541113</v>
      </c>
    </row>
    <row r="16" spans="1:48" x14ac:dyDescent="0.2">
      <c r="A16">
        <v>13</v>
      </c>
      <c r="B16">
        <v>5</v>
      </c>
      <c r="C16" t="s">
        <v>349</v>
      </c>
      <c r="D16">
        <v>0</v>
      </c>
      <c r="E16" t="s">
        <v>350</v>
      </c>
      <c r="F16">
        <v>-1.9846574822478249E-3</v>
      </c>
      <c r="G16">
        <v>2.9779335067275437E-4</v>
      </c>
      <c r="H16">
        <v>-8.9476791253261022E-4</v>
      </c>
      <c r="I16">
        <v>5.8526271555555851E-4</v>
      </c>
      <c r="K16" s="30" t="s">
        <v>350</v>
      </c>
      <c r="L16" s="30"/>
      <c r="M16" s="37">
        <f t="shared" si="0"/>
        <v>9.9327602447971873E-5</v>
      </c>
      <c r="N16" s="37">
        <f t="shared" si="1"/>
        <v>4.9578592430229746E-4</v>
      </c>
      <c r="O16" s="34">
        <f t="shared" si="2"/>
        <v>4.5492041921171116E-3</v>
      </c>
      <c r="P16" s="34">
        <f t="shared" si="3"/>
        <v>1.4873577729068924E-2</v>
      </c>
      <c r="Q16" s="31" t="s">
        <v>350</v>
      </c>
      <c r="R16" s="32">
        <f t="shared" si="4"/>
        <v>1.9422781921186037E-2</v>
      </c>
      <c r="S16">
        <f t="shared" si="18"/>
        <v>9.7113909605930193E-2</v>
      </c>
      <c r="U16" s="13">
        <v>5</v>
      </c>
      <c r="V16" s="13" t="s">
        <v>309</v>
      </c>
      <c r="W16" s="13" t="s">
        <v>310</v>
      </c>
      <c r="X16" s="13">
        <v>15</v>
      </c>
      <c r="Y16" s="13" t="s">
        <v>42</v>
      </c>
      <c r="Z16" s="13" t="s">
        <v>311</v>
      </c>
      <c r="AA16" s="13">
        <v>1</v>
      </c>
      <c r="AB16" s="13" t="s">
        <v>317</v>
      </c>
      <c r="AC16" s="13" t="s">
        <v>310</v>
      </c>
      <c r="AD16" s="13">
        <v>10</v>
      </c>
      <c r="AE16" s="13" t="s">
        <v>312</v>
      </c>
      <c r="AF16" s="1">
        <f t="shared" si="5"/>
        <v>6.823806288175667E-2</v>
      </c>
      <c r="AG16" s="1">
        <f t="shared" si="15"/>
        <v>4.5492041921171116E-2</v>
      </c>
      <c r="AH16" s="1"/>
      <c r="AI16" s="1"/>
      <c r="AJ16" s="13">
        <f t="shared" si="6"/>
        <v>5</v>
      </c>
      <c r="AK16" s="13" t="s">
        <v>41</v>
      </c>
      <c r="AL16" s="13" t="str">
        <f t="shared" si="7"/>
        <v>+</v>
      </c>
      <c r="AM16" s="13">
        <f t="shared" si="8"/>
        <v>10</v>
      </c>
      <c r="AN16" s="13" t="str">
        <f t="shared" si="9"/>
        <v>H2</v>
      </c>
      <c r="AO16" s="13" t="str">
        <f t="shared" si="10"/>
        <v>=</v>
      </c>
      <c r="AP16" s="13">
        <f t="shared" si="11"/>
        <v>1</v>
      </c>
      <c r="AQ16" s="13" t="str">
        <f t="shared" si="12"/>
        <v>C5H10</v>
      </c>
      <c r="AR16" s="13" t="str">
        <f t="shared" si="13"/>
        <v>+</v>
      </c>
      <c r="AS16" s="13">
        <f t="shared" si="19"/>
        <v>5</v>
      </c>
      <c r="AT16" s="13" t="str">
        <f t="shared" si="14"/>
        <v>H2O</v>
      </c>
      <c r="AU16" s="1">
        <f t="shared" si="16"/>
        <v>0.14873577729068924</v>
      </c>
      <c r="AV16" s="1">
        <f t="shared" si="17"/>
        <v>7.4367888645344618E-2</v>
      </c>
    </row>
    <row r="17" spans="1:48" x14ac:dyDescent="0.2">
      <c r="A17">
        <v>14</v>
      </c>
      <c r="B17">
        <v>6</v>
      </c>
      <c r="C17" t="s">
        <v>146</v>
      </c>
      <c r="D17" t="s">
        <v>147</v>
      </c>
      <c r="E17" t="s">
        <v>148</v>
      </c>
      <c r="F17">
        <v>-0.11275632426526563</v>
      </c>
      <c r="G17">
        <v>1.5737637441409054E-2</v>
      </c>
      <c r="H17">
        <v>-0.1072627857284051</v>
      </c>
      <c r="I17">
        <v>3.2998026063209646E-2</v>
      </c>
      <c r="K17" s="30" t="s">
        <v>148</v>
      </c>
      <c r="L17" s="30"/>
      <c r="M17" s="37">
        <f t="shared" si="0"/>
        <v>4.4620050148824891E-3</v>
      </c>
      <c r="N17" s="37">
        <f t="shared" si="1"/>
        <v>2.2271747490369136E-2</v>
      </c>
      <c r="O17" s="34">
        <f t="shared" si="2"/>
        <v>0.17029985806801498</v>
      </c>
      <c r="P17" s="34">
        <f t="shared" si="3"/>
        <v>0.5567936872592284</v>
      </c>
      <c r="Q17" s="31" t="s">
        <v>148</v>
      </c>
      <c r="R17" s="32">
        <f t="shared" si="4"/>
        <v>0.72709354532724335</v>
      </c>
      <c r="S17">
        <f t="shared" si="18"/>
        <v>4.3625612719634601</v>
      </c>
      <c r="U17" s="13">
        <v>6</v>
      </c>
      <c r="V17" s="13" t="s">
        <v>309</v>
      </c>
      <c r="W17" s="13" t="s">
        <v>310</v>
      </c>
      <c r="X17" s="13">
        <v>19</v>
      </c>
      <c r="Y17" s="13" t="s">
        <v>42</v>
      </c>
      <c r="Z17" s="13" t="s">
        <v>311</v>
      </c>
      <c r="AA17" s="13">
        <v>1</v>
      </c>
      <c r="AB17" s="13" t="s">
        <v>318</v>
      </c>
      <c r="AC17" s="13" t="s">
        <v>310</v>
      </c>
      <c r="AD17" s="13">
        <v>12</v>
      </c>
      <c r="AE17" s="13" t="s">
        <v>312</v>
      </c>
      <c r="AF17" s="1">
        <f t="shared" si="5"/>
        <v>3.2356973032922847</v>
      </c>
      <c r="AG17" s="1">
        <f t="shared" si="15"/>
        <v>2.0435982968161799</v>
      </c>
      <c r="AH17" s="1"/>
      <c r="AI17" s="1"/>
      <c r="AJ17" s="13">
        <f t="shared" si="6"/>
        <v>6</v>
      </c>
      <c r="AK17" s="13" t="s">
        <v>41</v>
      </c>
      <c r="AL17" s="13" t="str">
        <f t="shared" si="7"/>
        <v>+</v>
      </c>
      <c r="AM17" s="13">
        <f t="shared" si="8"/>
        <v>13</v>
      </c>
      <c r="AN17" s="13" t="str">
        <f t="shared" si="9"/>
        <v>H2</v>
      </c>
      <c r="AO17" s="13" t="str">
        <f t="shared" si="10"/>
        <v>=</v>
      </c>
      <c r="AP17" s="13">
        <f t="shared" si="11"/>
        <v>1</v>
      </c>
      <c r="AQ17" s="13" t="str">
        <f t="shared" si="12"/>
        <v>C6H14</v>
      </c>
      <c r="AR17" s="13" t="str">
        <f t="shared" si="13"/>
        <v>+</v>
      </c>
      <c r="AS17" s="13">
        <f t="shared" si="19"/>
        <v>6</v>
      </c>
      <c r="AT17" s="13" t="str">
        <f t="shared" si="14"/>
        <v>H2O</v>
      </c>
      <c r="AU17" s="1">
        <f t="shared" si="16"/>
        <v>7.2383179343699693</v>
      </c>
      <c r="AV17" s="1">
        <f t="shared" si="17"/>
        <v>3.3407621235553702</v>
      </c>
    </row>
    <row r="18" spans="1:48" x14ac:dyDescent="0.2">
      <c r="A18">
        <v>15</v>
      </c>
      <c r="B18">
        <v>6</v>
      </c>
      <c r="C18" t="s">
        <v>149</v>
      </c>
      <c r="D18" t="s">
        <v>150</v>
      </c>
      <c r="E18" t="s">
        <v>151</v>
      </c>
      <c r="F18">
        <v>-1.2465118626826615E-3</v>
      </c>
      <c r="G18">
        <v>1.8371395421151407E-4</v>
      </c>
      <c r="H18">
        <v>-7.2069301328589615E-4</v>
      </c>
      <c r="I18">
        <v>3.6687646746283247E-4</v>
      </c>
      <c r="K18" s="30" t="s">
        <v>151</v>
      </c>
      <c r="L18" s="30"/>
      <c r="M18" s="37">
        <f t="shared" si="0"/>
        <v>5.9062767943247917E-5</v>
      </c>
      <c r="N18" s="37">
        <f t="shared" si="1"/>
        <v>2.9480716613424288E-4</v>
      </c>
      <c r="O18" s="34">
        <f t="shared" si="2"/>
        <v>2.2542289765006287E-3</v>
      </c>
      <c r="P18" s="34">
        <f t="shared" si="3"/>
        <v>7.3701791533560719E-3</v>
      </c>
      <c r="Q18" s="31" t="s">
        <v>151</v>
      </c>
      <c r="R18" s="32">
        <f t="shared" si="4"/>
        <v>9.624408129856701E-3</v>
      </c>
      <c r="S18">
        <f t="shared" si="18"/>
        <v>5.7746448779140203E-2</v>
      </c>
      <c r="U18" s="13">
        <v>6</v>
      </c>
      <c r="V18" s="13" t="s">
        <v>309</v>
      </c>
      <c r="W18" s="13" t="s">
        <v>310</v>
      </c>
      <c r="X18" s="13">
        <v>19</v>
      </c>
      <c r="Y18" s="13" t="s">
        <v>42</v>
      </c>
      <c r="Z18" s="13" t="s">
        <v>311</v>
      </c>
      <c r="AA18" s="13">
        <v>1</v>
      </c>
      <c r="AB18" s="13" t="s">
        <v>318</v>
      </c>
      <c r="AC18" s="13" t="s">
        <v>310</v>
      </c>
      <c r="AD18" s="13">
        <v>12</v>
      </c>
      <c r="AE18" s="13" t="s">
        <v>312</v>
      </c>
      <c r="AF18" s="1">
        <f t="shared" si="5"/>
        <v>4.2830350553511948E-2</v>
      </c>
      <c r="AG18" s="1">
        <f t="shared" si="15"/>
        <v>2.7050747718007542E-2</v>
      </c>
      <c r="AH18" s="1"/>
      <c r="AI18" s="1"/>
      <c r="AJ18" s="13">
        <f t="shared" si="6"/>
        <v>6</v>
      </c>
      <c r="AK18" s="13" t="s">
        <v>41</v>
      </c>
      <c r="AL18" s="13" t="str">
        <f t="shared" si="7"/>
        <v>+</v>
      </c>
      <c r="AM18" s="13">
        <f t="shared" si="8"/>
        <v>13</v>
      </c>
      <c r="AN18" s="13" t="str">
        <f t="shared" si="9"/>
        <v>H2</v>
      </c>
      <c r="AO18" s="13" t="str">
        <f t="shared" si="10"/>
        <v>=</v>
      </c>
      <c r="AP18" s="13">
        <f t="shared" si="11"/>
        <v>1</v>
      </c>
      <c r="AQ18" s="13" t="str">
        <f t="shared" si="12"/>
        <v>C6H14</v>
      </c>
      <c r="AR18" s="13" t="str">
        <f t="shared" si="13"/>
        <v>+</v>
      </c>
      <c r="AS18" s="13">
        <f t="shared" si="19"/>
        <v>6</v>
      </c>
      <c r="AT18" s="13" t="str">
        <f t="shared" si="14"/>
        <v>H2O</v>
      </c>
      <c r="AU18" s="1">
        <f t="shared" si="16"/>
        <v>9.5812328993628931E-2</v>
      </c>
      <c r="AV18" s="1">
        <f t="shared" si="17"/>
        <v>4.4221074920136431E-2</v>
      </c>
    </row>
    <row r="19" spans="1:48" x14ac:dyDescent="0.2">
      <c r="A19">
        <v>16</v>
      </c>
      <c r="B19">
        <v>6</v>
      </c>
      <c r="C19" t="s">
        <v>152</v>
      </c>
      <c r="D19" t="s">
        <v>153</v>
      </c>
      <c r="E19" t="s">
        <v>154</v>
      </c>
      <c r="F19">
        <v>-3.2390882882431332E-2</v>
      </c>
      <c r="G19">
        <v>1.0247852368583868E-2</v>
      </c>
      <c r="H19">
        <v>0.24277443532520057</v>
      </c>
      <c r="I19">
        <v>1.0706251756094277E-2</v>
      </c>
      <c r="K19" s="30" t="s">
        <v>154</v>
      </c>
      <c r="L19" s="30"/>
      <c r="M19" s="37">
        <f t="shared" si="0"/>
        <v>7.0087640803407347E-3</v>
      </c>
      <c r="N19" s="37">
        <f t="shared" si="1"/>
        <v>3.4983695288614336E-2</v>
      </c>
      <c r="O19" s="34">
        <f t="shared" si="2"/>
        <v>0.26750116239967137</v>
      </c>
      <c r="P19" s="34">
        <f t="shared" si="3"/>
        <v>0.8745923822153584</v>
      </c>
      <c r="Q19" s="31" t="s">
        <v>154</v>
      </c>
      <c r="R19" s="32">
        <f t="shared" si="4"/>
        <v>1.1420935446150298</v>
      </c>
      <c r="S19">
        <f t="shared" si="18"/>
        <v>6.852561267690179</v>
      </c>
      <c r="U19" s="13">
        <v>6</v>
      </c>
      <c r="V19" s="13" t="s">
        <v>309</v>
      </c>
      <c r="W19" s="13" t="s">
        <v>310</v>
      </c>
      <c r="X19" s="13">
        <v>18</v>
      </c>
      <c r="Y19" s="13" t="s">
        <v>42</v>
      </c>
      <c r="Z19" s="13" t="s">
        <v>311</v>
      </c>
      <c r="AA19" s="13">
        <v>1</v>
      </c>
      <c r="AB19" s="13" t="s">
        <v>319</v>
      </c>
      <c r="AC19" s="13" t="s">
        <v>310</v>
      </c>
      <c r="AD19" s="13">
        <v>12</v>
      </c>
      <c r="AE19" s="13" t="s">
        <v>312</v>
      </c>
      <c r="AF19" s="1">
        <f t="shared" si="5"/>
        <v>4.8150209231940844</v>
      </c>
      <c r="AG19" s="1">
        <f t="shared" si="15"/>
        <v>3.2100139487960564</v>
      </c>
      <c r="AH19" s="1"/>
      <c r="AI19" s="1"/>
      <c r="AJ19" s="13">
        <f t="shared" si="6"/>
        <v>6</v>
      </c>
      <c r="AK19" s="13" t="s">
        <v>41</v>
      </c>
      <c r="AL19" s="13" t="str">
        <f t="shared" si="7"/>
        <v>+</v>
      </c>
      <c r="AM19" s="13">
        <f t="shared" si="8"/>
        <v>12</v>
      </c>
      <c r="AN19" s="13" t="str">
        <f t="shared" si="9"/>
        <v>H2</v>
      </c>
      <c r="AO19" s="13" t="str">
        <f t="shared" si="10"/>
        <v>=</v>
      </c>
      <c r="AP19" s="13">
        <f t="shared" si="11"/>
        <v>1</v>
      </c>
      <c r="AQ19" s="13" t="str">
        <f t="shared" si="12"/>
        <v>C6H12</v>
      </c>
      <c r="AR19" s="13" t="str">
        <f t="shared" si="13"/>
        <v>+</v>
      </c>
      <c r="AS19" s="13">
        <f t="shared" si="19"/>
        <v>6</v>
      </c>
      <c r="AT19" s="13" t="str">
        <f t="shared" si="14"/>
        <v>H2O</v>
      </c>
      <c r="AU19" s="1">
        <f t="shared" si="16"/>
        <v>10.495108586584301</v>
      </c>
      <c r="AV19" s="1">
        <f t="shared" si="17"/>
        <v>5.2475542932921506</v>
      </c>
    </row>
    <row r="20" spans="1:48" x14ac:dyDescent="0.2">
      <c r="A20">
        <v>17</v>
      </c>
      <c r="B20">
        <v>6</v>
      </c>
      <c r="C20" t="s">
        <v>354</v>
      </c>
      <c r="D20">
        <v>0</v>
      </c>
      <c r="E20" t="s">
        <v>353</v>
      </c>
      <c r="F20">
        <v>-6.3806804519688962E-4</v>
      </c>
      <c r="G20">
        <v>9.5740661971146777E-5</v>
      </c>
      <c r="H20">
        <v>-2.8766818353359185E-4</v>
      </c>
      <c r="I20">
        <v>1.8816215905336108E-4</v>
      </c>
      <c r="K20" s="30" t="s">
        <v>353</v>
      </c>
      <c r="L20" s="30"/>
      <c r="M20" s="37">
        <f t="shared" si="0"/>
        <v>3.1933857451457812E-5</v>
      </c>
      <c r="N20" s="37">
        <f t="shared" si="1"/>
        <v>1.593953407000019E-4</v>
      </c>
      <c r="O20" s="34">
        <f t="shared" si="2"/>
        <v>1.2188088927306399E-3</v>
      </c>
      <c r="P20" s="34">
        <f t="shared" si="3"/>
        <v>3.9848835175000479E-3</v>
      </c>
      <c r="Q20" s="31" t="s">
        <v>353</v>
      </c>
      <c r="R20" s="32">
        <f t="shared" si="4"/>
        <v>5.2036924102306873E-3</v>
      </c>
      <c r="S20">
        <f t="shared" si="18"/>
        <v>3.1222154461384124E-2</v>
      </c>
      <c r="U20" s="13">
        <v>6</v>
      </c>
      <c r="V20" s="13" t="s">
        <v>309</v>
      </c>
      <c r="W20" s="13" t="s">
        <v>310</v>
      </c>
      <c r="X20" s="13">
        <v>15</v>
      </c>
      <c r="Y20" s="13" t="s">
        <v>42</v>
      </c>
      <c r="Z20" s="13" t="s">
        <v>311</v>
      </c>
      <c r="AA20" s="13">
        <v>1</v>
      </c>
      <c r="AB20" s="13" t="s">
        <v>372</v>
      </c>
      <c r="AC20" s="13" t="s">
        <v>310</v>
      </c>
      <c r="AD20" s="13">
        <v>12</v>
      </c>
      <c r="AE20" s="13" t="s">
        <v>312</v>
      </c>
      <c r="AF20" s="1">
        <f t="shared" si="5"/>
        <v>1.8282133390959597E-2</v>
      </c>
      <c r="AG20" s="1">
        <f t="shared" si="15"/>
        <v>1.4625706712767679E-2</v>
      </c>
      <c r="AH20" s="1"/>
      <c r="AI20" s="1"/>
      <c r="AJ20" s="13">
        <f t="shared" si="6"/>
        <v>6</v>
      </c>
      <c r="AK20" s="13" t="s">
        <v>41</v>
      </c>
      <c r="AL20" s="13" t="str">
        <f t="shared" si="7"/>
        <v>+</v>
      </c>
      <c r="AM20" s="13">
        <f t="shared" si="8"/>
        <v>9</v>
      </c>
      <c r="AN20" s="13" t="str">
        <f t="shared" si="9"/>
        <v>H2</v>
      </c>
      <c r="AO20" s="13" t="str">
        <f t="shared" si="10"/>
        <v>=</v>
      </c>
      <c r="AP20" s="13">
        <f t="shared" si="11"/>
        <v>1</v>
      </c>
      <c r="AQ20" s="13" t="str">
        <f t="shared" si="12"/>
        <v>C6H6</v>
      </c>
      <c r="AR20" s="13" t="str">
        <f t="shared" si="13"/>
        <v>+</v>
      </c>
      <c r="AS20" s="13">
        <f t="shared" si="19"/>
        <v>6</v>
      </c>
      <c r="AT20" s="13" t="str">
        <f t="shared" si="14"/>
        <v>H2O</v>
      </c>
      <c r="AU20" s="1">
        <f t="shared" si="16"/>
        <v>3.5863951657500434E-2</v>
      </c>
      <c r="AV20" s="1">
        <f t="shared" si="17"/>
        <v>2.3909301105000287E-2</v>
      </c>
    </row>
    <row r="21" spans="1:48" x14ac:dyDescent="0.2">
      <c r="A21">
        <v>18</v>
      </c>
      <c r="B21">
        <v>6</v>
      </c>
      <c r="C21" t="s">
        <v>352</v>
      </c>
      <c r="D21">
        <v>0</v>
      </c>
      <c r="E21" t="s">
        <v>351</v>
      </c>
      <c r="F21">
        <v>-7.6895175296790132E-3</v>
      </c>
      <c r="G21">
        <v>1.1537946525797824E-3</v>
      </c>
      <c r="H21">
        <v>-3.4667611968091975E-3</v>
      </c>
      <c r="I21">
        <v>2.2675892192918178E-3</v>
      </c>
      <c r="K21" s="30" t="s">
        <v>351</v>
      </c>
      <c r="L21" s="30"/>
      <c r="M21" s="37">
        <f t="shared" si="0"/>
        <v>3.8484289961188101E-4</v>
      </c>
      <c r="N21" s="37">
        <f t="shared" si="1"/>
        <v>1.9209130996108979E-3</v>
      </c>
      <c r="O21" s="34">
        <f t="shared" si="2"/>
        <v>1.4688170668520127E-2</v>
      </c>
      <c r="P21" s="34">
        <f t="shared" si="3"/>
        <v>4.8022827490272445E-2</v>
      </c>
      <c r="Q21" s="31" t="s">
        <v>351</v>
      </c>
      <c r="R21" s="32">
        <f t="shared" si="4"/>
        <v>6.2710998158792566E-2</v>
      </c>
      <c r="S21">
        <f t="shared" si="18"/>
        <v>0.37626598895275543</v>
      </c>
      <c r="U21" s="13">
        <v>6</v>
      </c>
      <c r="V21" s="13" t="s">
        <v>309</v>
      </c>
      <c r="W21" s="13" t="s">
        <v>310</v>
      </c>
      <c r="X21" s="13">
        <v>18</v>
      </c>
      <c r="Y21" s="13" t="s">
        <v>42</v>
      </c>
      <c r="Z21" s="13" t="s">
        <v>311</v>
      </c>
      <c r="AA21" s="13">
        <v>1</v>
      </c>
      <c r="AB21" s="13" t="s">
        <v>319</v>
      </c>
      <c r="AC21" s="13" t="s">
        <v>310</v>
      </c>
      <c r="AD21" s="13">
        <v>12</v>
      </c>
      <c r="AE21" s="13" t="s">
        <v>312</v>
      </c>
      <c r="AF21" s="1">
        <f t="shared" si="5"/>
        <v>0.26438707203336226</v>
      </c>
      <c r="AG21" s="1">
        <f t="shared" si="15"/>
        <v>0.17625804802224151</v>
      </c>
      <c r="AH21" s="1"/>
      <c r="AI21" s="1"/>
      <c r="AJ21" s="13">
        <f t="shared" si="6"/>
        <v>6</v>
      </c>
      <c r="AK21" s="13" t="s">
        <v>41</v>
      </c>
      <c r="AL21" s="13" t="str">
        <f t="shared" si="7"/>
        <v>+</v>
      </c>
      <c r="AM21" s="13">
        <f t="shared" si="8"/>
        <v>12</v>
      </c>
      <c r="AN21" s="13" t="str">
        <f t="shared" si="9"/>
        <v>H2</v>
      </c>
      <c r="AO21" s="13" t="str">
        <f t="shared" si="10"/>
        <v>=</v>
      </c>
      <c r="AP21" s="13">
        <f t="shared" si="11"/>
        <v>1</v>
      </c>
      <c r="AQ21" s="13" t="str">
        <f t="shared" si="12"/>
        <v>C6H12</v>
      </c>
      <c r="AR21" s="13" t="str">
        <f t="shared" si="13"/>
        <v>+</v>
      </c>
      <c r="AS21" s="13">
        <f t="shared" si="19"/>
        <v>6</v>
      </c>
      <c r="AT21" s="13" t="str">
        <f t="shared" si="14"/>
        <v>H2O</v>
      </c>
      <c r="AU21" s="1">
        <f t="shared" si="16"/>
        <v>0.57627392988326931</v>
      </c>
      <c r="AV21" s="1">
        <f t="shared" si="17"/>
        <v>0.28813696494163465</v>
      </c>
    </row>
    <row r="22" spans="1:48" x14ac:dyDescent="0.2">
      <c r="A22">
        <v>19</v>
      </c>
      <c r="B22">
        <v>7</v>
      </c>
      <c r="C22" t="s">
        <v>155</v>
      </c>
      <c r="D22" t="s">
        <v>156</v>
      </c>
      <c r="E22" t="s">
        <v>157</v>
      </c>
      <c r="F22">
        <v>-2.2767333210152176E-5</v>
      </c>
      <c r="G22">
        <v>2.4555050029700507E-6</v>
      </c>
      <c r="H22">
        <v>-5.6157749242124619E-5</v>
      </c>
      <c r="I22">
        <v>6.5080997301341523E-6</v>
      </c>
      <c r="K22" s="30" t="s">
        <v>157</v>
      </c>
      <c r="L22" s="30"/>
      <c r="M22" s="37">
        <f t="shared" si="0"/>
        <v>1.787716819548331E-7</v>
      </c>
      <c r="N22" s="37">
        <f t="shared" si="1"/>
        <v>8.9232480592169043E-7</v>
      </c>
      <c r="O22" s="34">
        <f t="shared" si="2"/>
        <v>5.8483878810938252E-6</v>
      </c>
      <c r="P22" s="34">
        <f t="shared" si="3"/>
        <v>1.9121245841179081E-5</v>
      </c>
      <c r="Q22" s="31" t="s">
        <v>157</v>
      </c>
      <c r="R22" s="32">
        <f t="shared" si="4"/>
        <v>2.4969633722272905E-5</v>
      </c>
      <c r="S22">
        <f t="shared" si="18"/>
        <v>1.7478743605591033E-4</v>
      </c>
      <c r="U22" s="13">
        <v>7</v>
      </c>
      <c r="V22" s="13" t="s">
        <v>309</v>
      </c>
      <c r="W22" s="13" t="s">
        <v>310</v>
      </c>
      <c r="X22" s="13">
        <v>22</v>
      </c>
      <c r="Y22" s="13" t="s">
        <v>42</v>
      </c>
      <c r="Z22" s="13" t="s">
        <v>311</v>
      </c>
      <c r="AA22" s="13">
        <v>1</v>
      </c>
      <c r="AB22" s="13" t="s">
        <v>320</v>
      </c>
      <c r="AC22" s="13" t="s">
        <v>310</v>
      </c>
      <c r="AD22" s="13">
        <v>14</v>
      </c>
      <c r="AE22" s="13" t="s">
        <v>312</v>
      </c>
      <c r="AF22" s="1">
        <f t="shared" si="5"/>
        <v>1.2866453338406414E-4</v>
      </c>
      <c r="AG22" s="1">
        <f t="shared" si="15"/>
        <v>8.1877430335313556E-5</v>
      </c>
      <c r="AH22" s="1"/>
      <c r="AI22" s="1"/>
      <c r="AJ22" s="13">
        <f t="shared" si="6"/>
        <v>7</v>
      </c>
      <c r="AK22" s="13" t="s">
        <v>41</v>
      </c>
      <c r="AL22" s="13" t="str">
        <f t="shared" si="7"/>
        <v>+</v>
      </c>
      <c r="AM22" s="13">
        <f t="shared" si="8"/>
        <v>15</v>
      </c>
      <c r="AN22" s="13" t="str">
        <f t="shared" si="9"/>
        <v>H2</v>
      </c>
      <c r="AO22" s="13" t="str">
        <f t="shared" si="10"/>
        <v>=</v>
      </c>
      <c r="AP22" s="13">
        <f t="shared" si="11"/>
        <v>1</v>
      </c>
      <c r="AQ22" s="13" t="str">
        <f t="shared" si="12"/>
        <v>C7H16</v>
      </c>
      <c r="AR22" s="13" t="str">
        <f t="shared" si="13"/>
        <v>+</v>
      </c>
      <c r="AS22" s="13">
        <f t="shared" si="19"/>
        <v>7</v>
      </c>
      <c r="AT22" s="13" t="str">
        <f t="shared" si="14"/>
        <v>H2O</v>
      </c>
      <c r="AU22" s="1">
        <f t="shared" si="16"/>
        <v>2.868186876176862E-4</v>
      </c>
      <c r="AV22" s="1">
        <f t="shared" si="17"/>
        <v>1.3384872088825357E-4</v>
      </c>
    </row>
    <row r="23" spans="1:48" x14ac:dyDescent="0.2">
      <c r="A23">
        <v>20</v>
      </c>
      <c r="B23">
        <v>7</v>
      </c>
      <c r="C23" t="s">
        <v>158</v>
      </c>
      <c r="D23" t="s">
        <v>159</v>
      </c>
      <c r="E23" t="s">
        <v>160</v>
      </c>
      <c r="F23">
        <v>-7.5994126624271949E-2</v>
      </c>
      <c r="G23">
        <v>1.1416882362882016E-2</v>
      </c>
      <c r="H23">
        <v>-3.3586075141947162E-2</v>
      </c>
      <c r="I23">
        <v>2.2413207618202886E-2</v>
      </c>
      <c r="K23" s="30" t="s">
        <v>160</v>
      </c>
      <c r="L23" s="30"/>
      <c r="M23" s="37">
        <f t="shared" si="0"/>
        <v>3.8174697004548204E-3</v>
      </c>
      <c r="N23" s="37">
        <f t="shared" si="1"/>
        <v>1.9054600104008168E-2</v>
      </c>
      <c r="O23" s="34">
        <f t="shared" si="2"/>
        <v>0.1248857944863077</v>
      </c>
      <c r="P23" s="34">
        <f t="shared" si="3"/>
        <v>0.40831285937160361</v>
      </c>
      <c r="Q23" s="31" t="s">
        <v>160</v>
      </c>
      <c r="R23" s="32">
        <f t="shared" si="4"/>
        <v>0.53319865385791132</v>
      </c>
      <c r="S23">
        <f t="shared" si="18"/>
        <v>3.7323905770053791</v>
      </c>
      <c r="U23" s="13">
        <v>7</v>
      </c>
      <c r="V23" s="13" t="s">
        <v>309</v>
      </c>
      <c r="W23" s="13" t="s">
        <v>310</v>
      </c>
      <c r="X23" s="13">
        <v>22</v>
      </c>
      <c r="Y23" s="13" t="s">
        <v>42</v>
      </c>
      <c r="Z23" s="13" t="s">
        <v>311</v>
      </c>
      <c r="AA23" s="13">
        <v>1</v>
      </c>
      <c r="AB23" s="13" t="s">
        <v>320</v>
      </c>
      <c r="AC23" s="13" t="s">
        <v>310</v>
      </c>
      <c r="AD23" s="13">
        <v>14</v>
      </c>
      <c r="AE23" s="13" t="s">
        <v>312</v>
      </c>
      <c r="AF23" s="1">
        <f t="shared" si="5"/>
        <v>2.7474874786987695</v>
      </c>
      <c r="AG23" s="1">
        <f t="shared" si="15"/>
        <v>1.7484011228083078</v>
      </c>
      <c r="AH23" s="1"/>
      <c r="AI23" s="1"/>
      <c r="AJ23" s="13">
        <f t="shared" si="6"/>
        <v>7</v>
      </c>
      <c r="AK23" s="13" t="s">
        <v>41</v>
      </c>
      <c r="AL23" s="13" t="str">
        <f t="shared" si="7"/>
        <v>+</v>
      </c>
      <c r="AM23" s="13">
        <f t="shared" si="8"/>
        <v>15</v>
      </c>
      <c r="AN23" s="13" t="str">
        <f t="shared" si="9"/>
        <v>H2</v>
      </c>
      <c r="AO23" s="13" t="str">
        <f t="shared" si="10"/>
        <v>=</v>
      </c>
      <c r="AP23" s="13">
        <f t="shared" si="11"/>
        <v>1</v>
      </c>
      <c r="AQ23" s="13" t="str">
        <f t="shared" si="12"/>
        <v>C7H16</v>
      </c>
      <c r="AR23" s="13" t="str">
        <f t="shared" si="13"/>
        <v>+</v>
      </c>
      <c r="AS23" s="13">
        <f t="shared" si="19"/>
        <v>7</v>
      </c>
      <c r="AT23" s="13" t="str">
        <f t="shared" si="14"/>
        <v>H2O</v>
      </c>
      <c r="AU23" s="1">
        <f t="shared" si="16"/>
        <v>6.1246928905740541</v>
      </c>
      <c r="AV23" s="1">
        <f t="shared" si="17"/>
        <v>2.8581900156012252</v>
      </c>
    </row>
    <row r="24" spans="1:48" x14ac:dyDescent="0.2">
      <c r="A24">
        <v>21</v>
      </c>
      <c r="B24">
        <v>7</v>
      </c>
      <c r="C24" t="s">
        <v>161</v>
      </c>
      <c r="D24" t="s">
        <v>162</v>
      </c>
      <c r="E24" t="s">
        <v>163</v>
      </c>
      <c r="F24">
        <v>-5.0414328227759576E-2</v>
      </c>
      <c r="G24">
        <v>7.830722743580959E-3</v>
      </c>
      <c r="H24">
        <v>-1.0013696171818375E-2</v>
      </c>
      <c r="I24">
        <v>1.492389112632379E-2</v>
      </c>
      <c r="K24" s="30" t="s">
        <v>163</v>
      </c>
      <c r="L24" s="30"/>
      <c r="M24" s="37">
        <f t="shared" si="0"/>
        <v>2.7892899208050012E-3</v>
      </c>
      <c r="N24" s="37">
        <f t="shared" si="1"/>
        <v>1.3922521509141953E-2</v>
      </c>
      <c r="O24" s="34">
        <f t="shared" si="2"/>
        <v>9.124962740919218E-2</v>
      </c>
      <c r="P24" s="34">
        <f t="shared" si="3"/>
        <v>0.29833974662447044</v>
      </c>
      <c r="Q24" s="31" t="s">
        <v>163</v>
      </c>
      <c r="R24" s="32">
        <f t="shared" si="4"/>
        <v>0.38958937403366262</v>
      </c>
      <c r="S24">
        <f t="shared" si="18"/>
        <v>2.7271256182356383</v>
      </c>
      <c r="U24" s="13">
        <v>7</v>
      </c>
      <c r="V24" s="13" t="s">
        <v>309</v>
      </c>
      <c r="W24" s="13" t="s">
        <v>310</v>
      </c>
      <c r="X24" s="13">
        <v>21</v>
      </c>
      <c r="Y24" s="13" t="s">
        <v>42</v>
      </c>
      <c r="Z24" s="13" t="s">
        <v>311</v>
      </c>
      <c r="AA24" s="13">
        <v>1</v>
      </c>
      <c r="AB24" s="13" t="s">
        <v>321</v>
      </c>
      <c r="AC24" s="13" t="s">
        <v>310</v>
      </c>
      <c r="AD24" s="13">
        <v>14</v>
      </c>
      <c r="AE24" s="13" t="s">
        <v>312</v>
      </c>
      <c r="AF24" s="1">
        <f t="shared" si="5"/>
        <v>1.9162421755930357</v>
      </c>
      <c r="AG24" s="1">
        <f t="shared" si="15"/>
        <v>1.2774947837286905</v>
      </c>
      <c r="AH24" s="1"/>
      <c r="AI24" s="1"/>
      <c r="AJ24" s="13">
        <f t="shared" si="6"/>
        <v>7</v>
      </c>
      <c r="AK24" s="13" t="s">
        <v>41</v>
      </c>
      <c r="AL24" s="13" t="str">
        <f t="shared" si="7"/>
        <v>+</v>
      </c>
      <c r="AM24" s="13">
        <f t="shared" si="8"/>
        <v>14</v>
      </c>
      <c r="AN24" s="13" t="str">
        <f t="shared" si="9"/>
        <v>H2</v>
      </c>
      <c r="AO24" s="13" t="str">
        <f t="shared" si="10"/>
        <v>=</v>
      </c>
      <c r="AP24" s="13">
        <f t="shared" si="11"/>
        <v>1</v>
      </c>
      <c r="AQ24" s="13" t="str">
        <f t="shared" si="12"/>
        <v>C7H14</v>
      </c>
      <c r="AR24" s="13" t="str">
        <f t="shared" si="13"/>
        <v>+</v>
      </c>
      <c r="AS24" s="13">
        <f t="shared" si="19"/>
        <v>7</v>
      </c>
      <c r="AT24" s="13" t="str">
        <f t="shared" si="14"/>
        <v>H2O</v>
      </c>
      <c r="AU24" s="1">
        <f t="shared" si="16"/>
        <v>4.1767564527425858</v>
      </c>
      <c r="AV24" s="1">
        <f t="shared" si="17"/>
        <v>2.0883782263712929</v>
      </c>
    </row>
    <row r="25" spans="1:48" x14ac:dyDescent="0.2">
      <c r="A25">
        <v>22</v>
      </c>
      <c r="B25">
        <v>7</v>
      </c>
      <c r="C25" t="s">
        <v>164</v>
      </c>
      <c r="D25" t="s">
        <v>165</v>
      </c>
      <c r="E25" t="s">
        <v>166</v>
      </c>
      <c r="F25">
        <v>-1.9903735084860477E-3</v>
      </c>
      <c r="G25">
        <v>2.9865102743624602E-4</v>
      </c>
      <c r="H25">
        <v>-8.9734494001010047E-4</v>
      </c>
      <c r="I25">
        <v>5.8694833489707839E-4</v>
      </c>
      <c r="K25" s="30" t="s">
        <v>166</v>
      </c>
      <c r="L25" s="30"/>
      <c r="M25" s="37">
        <f t="shared" si="0"/>
        <v>9.9613676587641242E-5</v>
      </c>
      <c r="N25" s="37">
        <f t="shared" si="1"/>
        <v>4.9721384089606831E-4</v>
      </c>
      <c r="O25" s="34">
        <f t="shared" si="2"/>
        <v>3.258790276938549E-3</v>
      </c>
      <c r="P25" s="34">
        <f t="shared" si="3"/>
        <v>1.065458230491575E-2</v>
      </c>
      <c r="Q25" s="31" t="s">
        <v>166</v>
      </c>
      <c r="R25" s="32">
        <f t="shared" si="4"/>
        <v>1.3913372581854299E-2</v>
      </c>
      <c r="S25">
        <f t="shared" si="18"/>
        <v>9.7393608072980101E-2</v>
      </c>
      <c r="U25" s="13">
        <v>7</v>
      </c>
      <c r="V25" s="13" t="s">
        <v>309</v>
      </c>
      <c r="W25" s="13" t="s">
        <v>310</v>
      </c>
      <c r="X25" s="13">
        <v>18</v>
      </c>
      <c r="Y25" s="13" t="s">
        <v>42</v>
      </c>
      <c r="Z25" s="13" t="s">
        <v>311</v>
      </c>
      <c r="AA25" s="13">
        <v>1</v>
      </c>
      <c r="AB25" s="13" t="s">
        <v>165</v>
      </c>
      <c r="AC25" s="13" t="s">
        <v>310</v>
      </c>
      <c r="AD25" s="13">
        <v>14</v>
      </c>
      <c r="AE25" s="13" t="s">
        <v>312</v>
      </c>
      <c r="AF25" s="1">
        <f t="shared" si="5"/>
        <v>5.8658224984893884E-2</v>
      </c>
      <c r="AG25" s="1">
        <f t="shared" si="15"/>
        <v>4.5623063877139686E-2</v>
      </c>
      <c r="AH25" s="1"/>
      <c r="AI25" s="1"/>
      <c r="AJ25" s="13">
        <f t="shared" si="6"/>
        <v>7</v>
      </c>
      <c r="AK25" s="13" t="s">
        <v>41</v>
      </c>
      <c r="AL25" s="13" t="str">
        <f t="shared" si="7"/>
        <v>+</v>
      </c>
      <c r="AM25" s="13">
        <f t="shared" si="8"/>
        <v>11</v>
      </c>
      <c r="AN25" s="13" t="str">
        <f t="shared" si="9"/>
        <v>H2</v>
      </c>
      <c r="AO25" s="13" t="str">
        <f t="shared" si="10"/>
        <v>=</v>
      </c>
      <c r="AP25" s="13">
        <f t="shared" si="11"/>
        <v>1</v>
      </c>
      <c r="AQ25" s="13" t="str">
        <f t="shared" si="12"/>
        <v>C7H8</v>
      </c>
      <c r="AR25" s="13" t="str">
        <f t="shared" si="13"/>
        <v>+</v>
      </c>
      <c r="AS25" s="13">
        <f t="shared" si="19"/>
        <v>7</v>
      </c>
      <c r="AT25" s="13" t="str">
        <f t="shared" si="14"/>
        <v>H2O</v>
      </c>
      <c r="AU25" s="1">
        <f t="shared" si="16"/>
        <v>0.11720040535407325</v>
      </c>
      <c r="AV25" s="1">
        <f t="shared" si="17"/>
        <v>7.4582076134410244E-2</v>
      </c>
    </row>
    <row r="26" spans="1:48" x14ac:dyDescent="0.2">
      <c r="A26">
        <v>23</v>
      </c>
      <c r="B26">
        <v>7</v>
      </c>
      <c r="C26" t="s">
        <v>83</v>
      </c>
      <c r="D26">
        <v>0</v>
      </c>
      <c r="E26" t="s">
        <v>356</v>
      </c>
      <c r="F26">
        <v>-8.1010714188310077E-3</v>
      </c>
      <c r="G26">
        <v>1.2155473795511722E-3</v>
      </c>
      <c r="H26">
        <v>-3.6523071751883565E-3</v>
      </c>
      <c r="I26">
        <v>2.3889538118812351E-3</v>
      </c>
      <c r="K26" s="30" t="s">
        <v>356</v>
      </c>
      <c r="L26" s="30"/>
      <c r="M26" s="37">
        <f t="shared" si="0"/>
        <v>4.0544023766807139E-4</v>
      </c>
      <c r="N26" s="37">
        <f t="shared" si="1"/>
        <v>2.0237230943623992E-3</v>
      </c>
      <c r="O26" s="34">
        <f t="shared" si="2"/>
        <v>1.3263687775141194E-2</v>
      </c>
      <c r="P26" s="34">
        <f t="shared" si="3"/>
        <v>4.336549487919427E-2</v>
      </c>
      <c r="Q26" s="31" t="s">
        <v>356</v>
      </c>
      <c r="R26" s="32">
        <f t="shared" si="4"/>
        <v>5.6629182654335461E-2</v>
      </c>
      <c r="S26">
        <f t="shared" si="18"/>
        <v>0.39640427858034821</v>
      </c>
      <c r="U26" s="13">
        <v>7</v>
      </c>
      <c r="V26" s="13" t="s">
        <v>309</v>
      </c>
      <c r="W26" s="13" t="s">
        <v>310</v>
      </c>
      <c r="X26" s="13">
        <v>21</v>
      </c>
      <c r="Y26" s="13" t="s">
        <v>42</v>
      </c>
      <c r="Z26" s="13" t="s">
        <v>311</v>
      </c>
      <c r="AA26" s="13">
        <v>1</v>
      </c>
      <c r="AB26" s="13" t="s">
        <v>321</v>
      </c>
      <c r="AC26" s="13" t="s">
        <v>310</v>
      </c>
      <c r="AD26" s="13">
        <v>14</v>
      </c>
      <c r="AE26" s="13" t="s">
        <v>312</v>
      </c>
      <c r="AF26" s="1">
        <f t="shared" si="5"/>
        <v>0.27853744327796509</v>
      </c>
      <c r="AG26" s="1">
        <f t="shared" si="15"/>
        <v>0.18569162885197671</v>
      </c>
      <c r="AH26" s="1"/>
      <c r="AI26" s="1"/>
      <c r="AJ26" s="13">
        <f t="shared" si="6"/>
        <v>7</v>
      </c>
      <c r="AK26" s="13" t="s">
        <v>41</v>
      </c>
      <c r="AL26" s="13" t="str">
        <f t="shared" si="7"/>
        <v>+</v>
      </c>
      <c r="AM26" s="13">
        <f t="shared" si="8"/>
        <v>14</v>
      </c>
      <c r="AN26" s="13" t="str">
        <f t="shared" si="9"/>
        <v>H2</v>
      </c>
      <c r="AO26" s="13" t="str">
        <f t="shared" si="10"/>
        <v>=</v>
      </c>
      <c r="AP26" s="13">
        <f t="shared" si="11"/>
        <v>1</v>
      </c>
      <c r="AQ26" s="13" t="str">
        <f t="shared" si="12"/>
        <v>C7H14</v>
      </c>
      <c r="AR26" s="13" t="str">
        <f t="shared" si="13"/>
        <v>+</v>
      </c>
      <c r="AS26" s="13">
        <f t="shared" si="19"/>
        <v>7</v>
      </c>
      <c r="AT26" s="13" t="str">
        <f t="shared" si="14"/>
        <v>H2O</v>
      </c>
      <c r="AU26" s="1">
        <f t="shared" si="16"/>
        <v>0.60711692830871977</v>
      </c>
      <c r="AV26" s="1">
        <f t="shared" si="17"/>
        <v>0.30355846415435989</v>
      </c>
    </row>
    <row r="27" spans="1:48" x14ac:dyDescent="0.2">
      <c r="A27">
        <v>24</v>
      </c>
      <c r="B27">
        <v>8</v>
      </c>
      <c r="C27" t="s">
        <v>167</v>
      </c>
      <c r="D27" t="s">
        <v>168</v>
      </c>
      <c r="E27" t="s">
        <v>169</v>
      </c>
      <c r="F27">
        <v>-3.7687211056058874E-3</v>
      </c>
      <c r="G27">
        <v>8.0538762890862046E-4</v>
      </c>
      <c r="H27">
        <v>9.7612791444438556E-3</v>
      </c>
      <c r="I27">
        <v>1.1627736306053906E-3</v>
      </c>
      <c r="K27" s="30" t="s">
        <v>169</v>
      </c>
      <c r="L27" s="30"/>
      <c r="M27" s="37">
        <f t="shared" si="0"/>
        <v>4.2851551834803168E-4</v>
      </c>
      <c r="N27" s="37">
        <f t="shared" si="1"/>
        <v>2.1389015450497761E-3</v>
      </c>
      <c r="O27" s="34">
        <f t="shared" si="2"/>
        <v>1.2266256712712406E-2</v>
      </c>
      <c r="P27" s="34">
        <f t="shared" si="3"/>
        <v>4.0104403969683303E-2</v>
      </c>
      <c r="Q27" s="31" t="s">
        <v>169</v>
      </c>
      <c r="R27" s="32">
        <f t="shared" si="4"/>
        <v>5.2370660682395709E-2</v>
      </c>
      <c r="S27">
        <f t="shared" si="18"/>
        <v>0.41896528545916567</v>
      </c>
      <c r="U27" s="13">
        <v>8</v>
      </c>
      <c r="V27" s="13" t="s">
        <v>309</v>
      </c>
      <c r="W27" s="13" t="s">
        <v>310</v>
      </c>
      <c r="X27" s="13">
        <v>25</v>
      </c>
      <c r="Y27" s="13" t="s">
        <v>42</v>
      </c>
      <c r="Z27" s="13" t="s">
        <v>311</v>
      </c>
      <c r="AA27" s="13">
        <v>1</v>
      </c>
      <c r="AB27" s="13" t="s">
        <v>322</v>
      </c>
      <c r="AC27" s="13" t="s">
        <v>310</v>
      </c>
      <c r="AD27" s="13">
        <v>16</v>
      </c>
      <c r="AE27" s="13" t="s">
        <v>312</v>
      </c>
      <c r="AF27" s="1">
        <f t="shared" si="5"/>
        <v>0.30665641781781017</v>
      </c>
      <c r="AG27" s="1">
        <f t="shared" si="15"/>
        <v>0.1962601074033985</v>
      </c>
      <c r="AH27" s="1"/>
      <c r="AI27" s="1"/>
      <c r="AJ27" s="13">
        <f t="shared" si="6"/>
        <v>8</v>
      </c>
      <c r="AK27" s="13" t="s">
        <v>41</v>
      </c>
      <c r="AL27" s="13" t="str">
        <f t="shared" si="7"/>
        <v>+</v>
      </c>
      <c r="AM27" s="13">
        <f t="shared" si="8"/>
        <v>17</v>
      </c>
      <c r="AN27" s="13" t="str">
        <f t="shared" si="9"/>
        <v>H2</v>
      </c>
      <c r="AO27" s="13" t="str">
        <f t="shared" si="10"/>
        <v>=</v>
      </c>
      <c r="AP27" s="13">
        <f t="shared" si="11"/>
        <v>1</v>
      </c>
      <c r="AQ27" s="13" t="str">
        <f t="shared" si="12"/>
        <v>C8H18</v>
      </c>
      <c r="AR27" s="13" t="str">
        <f t="shared" si="13"/>
        <v>+</v>
      </c>
      <c r="AS27" s="13">
        <f t="shared" si="19"/>
        <v>8</v>
      </c>
      <c r="AT27" s="13" t="str">
        <f t="shared" si="14"/>
        <v>H2O</v>
      </c>
      <c r="AU27" s="1">
        <f t="shared" si="16"/>
        <v>0.68177486748461613</v>
      </c>
      <c r="AV27" s="1">
        <f t="shared" si="17"/>
        <v>0.32083523175746642</v>
      </c>
    </row>
    <row r="28" spans="1:48" x14ac:dyDescent="0.2">
      <c r="A28">
        <v>25</v>
      </c>
      <c r="B28">
        <v>8</v>
      </c>
      <c r="C28" t="s">
        <v>170</v>
      </c>
      <c r="D28" t="s">
        <v>171</v>
      </c>
      <c r="E28" t="s">
        <v>172</v>
      </c>
      <c r="F28">
        <v>-3.6332657940252894E-2</v>
      </c>
      <c r="G28">
        <v>5.45163286040705E-3</v>
      </c>
      <c r="H28">
        <v>-1.6380305817375301E-2</v>
      </c>
      <c r="I28">
        <v>1.0714266940096806E-2</v>
      </c>
      <c r="K28" s="30" t="s">
        <v>172</v>
      </c>
      <c r="L28" s="30"/>
      <c r="M28" s="37">
        <f t="shared" si="0"/>
        <v>1.8183670663817603E-3</v>
      </c>
      <c r="N28" s="37">
        <f t="shared" si="1"/>
        <v>9.076236358359276E-3</v>
      </c>
      <c r="O28" s="34">
        <f t="shared" si="2"/>
        <v>5.205075727517789E-2</v>
      </c>
      <c r="P28" s="34">
        <f t="shared" si="3"/>
        <v>0.17017943171923641</v>
      </c>
      <c r="Q28" s="31" t="s">
        <v>172</v>
      </c>
      <c r="R28" s="32">
        <f t="shared" si="4"/>
        <v>0.2222301889944143</v>
      </c>
      <c r="S28">
        <f t="shared" si="18"/>
        <v>1.7778415119553144</v>
      </c>
      <c r="U28" s="13">
        <v>8</v>
      </c>
      <c r="V28" s="13" t="s">
        <v>309</v>
      </c>
      <c r="W28" s="13" t="s">
        <v>310</v>
      </c>
      <c r="X28" s="13">
        <v>25</v>
      </c>
      <c r="Y28" s="13" t="s">
        <v>42</v>
      </c>
      <c r="Z28" s="13" t="s">
        <v>311</v>
      </c>
      <c r="AA28" s="13">
        <v>1</v>
      </c>
      <c r="AB28" s="13" t="s">
        <v>322</v>
      </c>
      <c r="AC28" s="13" t="s">
        <v>310</v>
      </c>
      <c r="AD28" s="13">
        <v>16</v>
      </c>
      <c r="AE28" s="13" t="s">
        <v>312</v>
      </c>
      <c r="AF28" s="1">
        <f t="shared" si="5"/>
        <v>1.3012689318794473</v>
      </c>
      <c r="AG28" s="1">
        <f t="shared" si="15"/>
        <v>0.83281211640284625</v>
      </c>
      <c r="AH28" s="1"/>
      <c r="AI28" s="1"/>
      <c r="AJ28" s="13">
        <f t="shared" si="6"/>
        <v>8</v>
      </c>
      <c r="AK28" s="13" t="s">
        <v>41</v>
      </c>
      <c r="AL28" s="13" t="str">
        <f t="shared" si="7"/>
        <v>+</v>
      </c>
      <c r="AM28" s="13">
        <f t="shared" si="8"/>
        <v>17</v>
      </c>
      <c r="AN28" s="13" t="str">
        <f t="shared" si="9"/>
        <v>H2</v>
      </c>
      <c r="AO28" s="13" t="str">
        <f t="shared" si="10"/>
        <v>=</v>
      </c>
      <c r="AP28" s="13">
        <f t="shared" si="11"/>
        <v>1</v>
      </c>
      <c r="AQ28" s="13" t="str">
        <f t="shared" si="12"/>
        <v>C8H18</v>
      </c>
      <c r="AR28" s="13" t="str">
        <f t="shared" si="13"/>
        <v>+</v>
      </c>
      <c r="AS28" s="13">
        <f t="shared" si="19"/>
        <v>8</v>
      </c>
      <c r="AT28" s="13" t="str">
        <f t="shared" si="14"/>
        <v>H2O</v>
      </c>
      <c r="AU28" s="1">
        <f t="shared" si="16"/>
        <v>2.893050339227019</v>
      </c>
      <c r="AV28" s="1">
        <f t="shared" si="17"/>
        <v>1.3614354537538913</v>
      </c>
    </row>
    <row r="29" spans="1:48" x14ac:dyDescent="0.2">
      <c r="A29">
        <v>26</v>
      </c>
      <c r="B29">
        <v>8</v>
      </c>
      <c r="C29" t="s">
        <v>173</v>
      </c>
      <c r="D29" t="s">
        <v>174</v>
      </c>
      <c r="E29" t="s">
        <v>175</v>
      </c>
      <c r="F29">
        <v>-9.9743860271919782E-2</v>
      </c>
      <c r="G29">
        <v>1.4966339847099618E-2</v>
      </c>
      <c r="H29">
        <v>-4.4968769896943574E-2</v>
      </c>
      <c r="I29">
        <v>2.9413822306819833E-2</v>
      </c>
      <c r="K29" s="30" t="s">
        <v>175</v>
      </c>
      <c r="L29" s="30"/>
      <c r="M29" s="37">
        <f t="shared" si="0"/>
        <v>4.9919538199076387E-3</v>
      </c>
      <c r="N29" s="37">
        <f t="shared" si="1"/>
        <v>2.4916945317125475E-2</v>
      </c>
      <c r="O29" s="34">
        <f t="shared" si="2"/>
        <v>0.14289467809485615</v>
      </c>
      <c r="P29" s="34">
        <f t="shared" si="3"/>
        <v>0.46719272469610262</v>
      </c>
      <c r="Q29" s="31" t="s">
        <v>175</v>
      </c>
      <c r="R29" s="32">
        <f t="shared" si="4"/>
        <v>0.61008740279095874</v>
      </c>
      <c r="S29">
        <f t="shared" si="18"/>
        <v>4.88069922232767</v>
      </c>
      <c r="U29" s="13">
        <v>8</v>
      </c>
      <c r="V29" s="13" t="s">
        <v>309</v>
      </c>
      <c r="W29" s="13" t="s">
        <v>310</v>
      </c>
      <c r="X29" s="13">
        <v>24</v>
      </c>
      <c r="Y29" s="13" t="s">
        <v>42</v>
      </c>
      <c r="Z29" s="13" t="s">
        <v>311</v>
      </c>
      <c r="AA29" s="13">
        <v>1</v>
      </c>
      <c r="AB29" s="13" t="s">
        <v>323</v>
      </c>
      <c r="AC29" s="13" t="s">
        <v>310</v>
      </c>
      <c r="AD29" s="13">
        <v>16</v>
      </c>
      <c r="AE29" s="13" t="s">
        <v>312</v>
      </c>
      <c r="AF29" s="1">
        <f t="shared" si="5"/>
        <v>3.4294722742765478</v>
      </c>
      <c r="AG29" s="1">
        <f t="shared" si="15"/>
        <v>2.2863148495176984</v>
      </c>
      <c r="AH29" s="1"/>
      <c r="AI29" s="1"/>
      <c r="AJ29" s="13">
        <f t="shared" si="6"/>
        <v>8</v>
      </c>
      <c r="AK29" s="13" t="s">
        <v>41</v>
      </c>
      <c r="AL29" s="13" t="str">
        <f t="shared" si="7"/>
        <v>+</v>
      </c>
      <c r="AM29" s="13">
        <f t="shared" si="8"/>
        <v>16</v>
      </c>
      <c r="AN29" s="13" t="str">
        <f t="shared" si="9"/>
        <v>H2</v>
      </c>
      <c r="AO29" s="13" t="str">
        <f t="shared" si="10"/>
        <v>=</v>
      </c>
      <c r="AP29" s="13">
        <f t="shared" si="11"/>
        <v>1</v>
      </c>
      <c r="AQ29" s="13" t="str">
        <f t="shared" si="12"/>
        <v>C8H16</v>
      </c>
      <c r="AR29" s="13" t="str">
        <f t="shared" si="13"/>
        <v>+</v>
      </c>
      <c r="AS29" s="13">
        <f t="shared" si="19"/>
        <v>8</v>
      </c>
      <c r="AT29" s="13" t="str">
        <f t="shared" si="14"/>
        <v>H2O</v>
      </c>
      <c r="AU29" s="1">
        <f t="shared" si="16"/>
        <v>7.475083595137642</v>
      </c>
      <c r="AV29" s="1">
        <f t="shared" si="17"/>
        <v>3.737541797568821</v>
      </c>
    </row>
    <row r="30" spans="1:48" x14ac:dyDescent="0.2">
      <c r="A30">
        <v>27</v>
      </c>
      <c r="B30">
        <v>8</v>
      </c>
      <c r="C30" t="s">
        <v>176</v>
      </c>
      <c r="D30" t="s">
        <v>177</v>
      </c>
      <c r="E30" t="s">
        <v>178</v>
      </c>
      <c r="F30">
        <v>-1.6309019235232501E-2</v>
      </c>
      <c r="G30">
        <v>2.4471313199825118E-3</v>
      </c>
      <c r="H30">
        <v>-7.3527987711186089E-3</v>
      </c>
      <c r="I30">
        <v>4.80942478540391E-3</v>
      </c>
      <c r="K30" s="30" t="s">
        <v>178</v>
      </c>
      <c r="L30" s="30"/>
      <c r="M30" s="37">
        <f t="shared" si="0"/>
        <v>8.162293964592616E-4</v>
      </c>
      <c r="N30" s="37">
        <f t="shared" si="1"/>
        <v>4.0741449082920492E-3</v>
      </c>
      <c r="O30" s="34">
        <f t="shared" si="2"/>
        <v>2.3364566473646365E-2</v>
      </c>
      <c r="P30" s="34">
        <f t="shared" si="3"/>
        <v>7.6390217030475924E-2</v>
      </c>
      <c r="Q30" s="31" t="s">
        <v>178</v>
      </c>
      <c r="R30" s="32">
        <f t="shared" si="4"/>
        <v>9.9754783504122285E-2</v>
      </c>
      <c r="S30">
        <f t="shared" si="18"/>
        <v>0.79803826803297828</v>
      </c>
      <c r="U30" s="13">
        <v>8</v>
      </c>
      <c r="V30" s="13" t="s">
        <v>309</v>
      </c>
      <c r="W30" s="13" t="s">
        <v>310</v>
      </c>
      <c r="X30" s="13">
        <v>24</v>
      </c>
      <c r="Y30" s="13" t="s">
        <v>42</v>
      </c>
      <c r="Z30" s="13" t="s">
        <v>311</v>
      </c>
      <c r="AA30" s="13">
        <v>1</v>
      </c>
      <c r="AB30" s="13" t="s">
        <v>323</v>
      </c>
      <c r="AC30" s="13" t="s">
        <v>310</v>
      </c>
      <c r="AD30" s="13">
        <v>16</v>
      </c>
      <c r="AE30" s="13" t="s">
        <v>312</v>
      </c>
      <c r="AF30" s="1">
        <f t="shared" si="5"/>
        <v>0.56074959536751279</v>
      </c>
      <c r="AG30" s="1">
        <f t="shared" si="15"/>
        <v>0.37383306357834184</v>
      </c>
      <c r="AH30" s="1"/>
      <c r="AI30" s="1"/>
      <c r="AJ30" s="13">
        <f t="shared" si="6"/>
        <v>8</v>
      </c>
      <c r="AK30" s="13" t="s">
        <v>41</v>
      </c>
      <c r="AL30" s="13" t="str">
        <f t="shared" si="7"/>
        <v>+</v>
      </c>
      <c r="AM30" s="13">
        <f t="shared" si="8"/>
        <v>16</v>
      </c>
      <c r="AN30" s="13" t="str">
        <f t="shared" si="9"/>
        <v>H2</v>
      </c>
      <c r="AO30" s="13" t="str">
        <f t="shared" si="10"/>
        <v>=</v>
      </c>
      <c r="AP30" s="13">
        <f t="shared" si="11"/>
        <v>1</v>
      </c>
      <c r="AQ30" s="13" t="str">
        <f t="shared" si="12"/>
        <v>C8H16</v>
      </c>
      <c r="AR30" s="13" t="str">
        <f t="shared" si="13"/>
        <v>+</v>
      </c>
      <c r="AS30" s="13">
        <f t="shared" si="19"/>
        <v>8</v>
      </c>
      <c r="AT30" s="13" t="str">
        <f t="shared" si="14"/>
        <v>H2O</v>
      </c>
      <c r="AU30" s="1">
        <f t="shared" si="16"/>
        <v>1.2222434724876148</v>
      </c>
      <c r="AV30" s="1">
        <f t="shared" si="17"/>
        <v>0.61112173624380739</v>
      </c>
    </row>
    <row r="31" spans="1:48" x14ac:dyDescent="0.2">
      <c r="A31">
        <v>28</v>
      </c>
      <c r="B31">
        <v>8</v>
      </c>
      <c r="C31" t="s">
        <v>179</v>
      </c>
      <c r="D31" t="s">
        <v>180</v>
      </c>
      <c r="E31" t="s">
        <v>181</v>
      </c>
      <c r="F31">
        <v>-2.4794499530805269E-2</v>
      </c>
      <c r="G31">
        <v>3.9012410500028002E-3</v>
      </c>
      <c r="H31">
        <v>-2.5373652853064835E-3</v>
      </c>
      <c r="I31">
        <v>7.3504950909012391E-3</v>
      </c>
      <c r="K31" s="30" t="s">
        <v>181</v>
      </c>
      <c r="L31" s="30"/>
      <c r="M31" s="37">
        <f t="shared" si="0"/>
        <v>1.4217910969222731E-3</v>
      </c>
      <c r="N31" s="37">
        <f t="shared" si="1"/>
        <v>7.096758562370591E-3</v>
      </c>
      <c r="O31" s="34">
        <f t="shared" si="2"/>
        <v>4.0698770149400071E-2</v>
      </c>
      <c r="P31" s="34">
        <f t="shared" si="3"/>
        <v>0.13306422304444859</v>
      </c>
      <c r="Q31" s="31" t="s">
        <v>181</v>
      </c>
      <c r="R31" s="32">
        <f t="shared" si="4"/>
        <v>0.17376299319384866</v>
      </c>
      <c r="S31">
        <f t="shared" si="18"/>
        <v>1.3901039455507893</v>
      </c>
      <c r="U31" s="13">
        <v>8</v>
      </c>
      <c r="V31" s="13" t="s">
        <v>309</v>
      </c>
      <c r="W31" s="13" t="s">
        <v>310</v>
      </c>
      <c r="X31" s="13">
        <v>21</v>
      </c>
      <c r="Y31" s="13" t="s">
        <v>42</v>
      </c>
      <c r="Z31" s="13" t="s">
        <v>311</v>
      </c>
      <c r="AA31" s="13">
        <v>1</v>
      </c>
      <c r="AB31" s="13" t="s">
        <v>324</v>
      </c>
      <c r="AC31" s="13" t="s">
        <v>310</v>
      </c>
      <c r="AD31" s="13">
        <v>16</v>
      </c>
      <c r="AE31" s="13" t="s">
        <v>312</v>
      </c>
      <c r="AF31" s="1">
        <f t="shared" si="5"/>
        <v>0.85467417313740146</v>
      </c>
      <c r="AG31" s="1">
        <f t="shared" si="15"/>
        <v>0.65118032239040113</v>
      </c>
      <c r="AH31" s="1"/>
      <c r="AI31" s="1"/>
      <c r="AJ31" s="13">
        <f t="shared" si="6"/>
        <v>8</v>
      </c>
      <c r="AK31" s="13" t="s">
        <v>41</v>
      </c>
      <c r="AL31" s="13" t="str">
        <f t="shared" si="7"/>
        <v>+</v>
      </c>
      <c r="AM31" s="13">
        <f t="shared" si="8"/>
        <v>13</v>
      </c>
      <c r="AN31" s="13" t="str">
        <f t="shared" si="9"/>
        <v>H2</v>
      </c>
      <c r="AO31" s="13" t="str">
        <f t="shared" si="10"/>
        <v>=</v>
      </c>
      <c r="AP31" s="13">
        <f t="shared" si="11"/>
        <v>1</v>
      </c>
      <c r="AQ31" s="13" t="str">
        <f t="shared" si="12"/>
        <v>C8H10</v>
      </c>
      <c r="AR31" s="13" t="str">
        <f t="shared" si="13"/>
        <v>+</v>
      </c>
      <c r="AS31" s="13">
        <f t="shared" si="19"/>
        <v>8</v>
      </c>
      <c r="AT31" s="13" t="str">
        <f t="shared" si="14"/>
        <v>H2O</v>
      </c>
      <c r="AU31" s="1">
        <f t="shared" si="16"/>
        <v>1.7298348995778317</v>
      </c>
      <c r="AV31" s="1">
        <f t="shared" si="17"/>
        <v>1.0645137843555887</v>
      </c>
    </row>
    <row r="32" spans="1:48" x14ac:dyDescent="0.2">
      <c r="A32">
        <v>29</v>
      </c>
      <c r="B32">
        <v>9</v>
      </c>
      <c r="C32" t="s">
        <v>182</v>
      </c>
      <c r="D32" t="s">
        <v>183</v>
      </c>
      <c r="E32" t="s">
        <v>184</v>
      </c>
      <c r="F32">
        <v>-1.3340188615058588E-2</v>
      </c>
      <c r="G32">
        <v>2.3363249389463225E-3</v>
      </c>
      <c r="H32">
        <v>9.9729045413598748E-3</v>
      </c>
      <c r="I32">
        <v>4.0056415888268283E-3</v>
      </c>
      <c r="K32" s="30" t="s">
        <v>184</v>
      </c>
      <c r="L32" s="30"/>
      <c r="M32" s="37">
        <f t="shared" si="0"/>
        <v>1.0023060774404634E-3</v>
      </c>
      <c r="N32" s="37">
        <f t="shared" si="1"/>
        <v>5.0029320429628155E-3</v>
      </c>
      <c r="O32" s="34">
        <f t="shared" si="2"/>
        <v>2.5503121303762904E-2</v>
      </c>
      <c r="P32" s="34">
        <f t="shared" si="3"/>
        <v>8.338220071604692E-2</v>
      </c>
      <c r="Q32" s="31" t="s">
        <v>184</v>
      </c>
      <c r="R32" s="32">
        <f t="shared" si="4"/>
        <v>0.10888532201980983</v>
      </c>
      <c r="S32">
        <f t="shared" si="18"/>
        <v>0.97996789817828844</v>
      </c>
      <c r="U32" s="13">
        <v>9</v>
      </c>
      <c r="V32" s="13" t="s">
        <v>309</v>
      </c>
      <c r="W32" s="13" t="s">
        <v>310</v>
      </c>
      <c r="X32" s="13">
        <v>28</v>
      </c>
      <c r="Y32" s="13" t="s">
        <v>42</v>
      </c>
      <c r="Z32" s="13" t="s">
        <v>311</v>
      </c>
      <c r="AA32" s="13">
        <v>1</v>
      </c>
      <c r="AB32" s="13" t="s">
        <v>325</v>
      </c>
      <c r="AC32" s="13" t="s">
        <v>310</v>
      </c>
      <c r="AD32" s="13">
        <v>18</v>
      </c>
      <c r="AE32" s="13" t="s">
        <v>312</v>
      </c>
      <c r="AF32" s="1">
        <f t="shared" si="5"/>
        <v>0.71408739650536135</v>
      </c>
      <c r="AG32" s="1">
        <f t="shared" si="15"/>
        <v>0.45905618346773225</v>
      </c>
      <c r="AH32" s="1"/>
      <c r="AI32" s="1"/>
      <c r="AJ32" s="13">
        <f t="shared" si="6"/>
        <v>9</v>
      </c>
      <c r="AK32" s="13" t="s">
        <v>41</v>
      </c>
      <c r="AL32" s="13" t="str">
        <f t="shared" si="7"/>
        <v>+</v>
      </c>
      <c r="AM32" s="13">
        <f t="shared" si="8"/>
        <v>19</v>
      </c>
      <c r="AN32" s="13" t="str">
        <f t="shared" si="9"/>
        <v>H2</v>
      </c>
      <c r="AO32" s="13" t="str">
        <f t="shared" si="10"/>
        <v>=</v>
      </c>
      <c r="AP32" s="13">
        <f t="shared" si="11"/>
        <v>1</v>
      </c>
      <c r="AQ32" s="13" t="str">
        <f t="shared" si="12"/>
        <v>C9H20</v>
      </c>
      <c r="AR32" s="13" t="str">
        <f t="shared" si="13"/>
        <v>+</v>
      </c>
      <c r="AS32" s="13">
        <f t="shared" si="19"/>
        <v>9</v>
      </c>
      <c r="AT32" s="13" t="str">
        <f t="shared" si="14"/>
        <v>H2O</v>
      </c>
      <c r="AU32" s="1">
        <f t="shared" si="16"/>
        <v>1.5842618136048914</v>
      </c>
      <c r="AV32" s="1">
        <f t="shared" si="17"/>
        <v>0.75043980644442232</v>
      </c>
    </row>
    <row r="33" spans="1:48" x14ac:dyDescent="0.2">
      <c r="A33">
        <v>30</v>
      </c>
      <c r="B33">
        <v>9</v>
      </c>
      <c r="C33" t="s">
        <v>185</v>
      </c>
      <c r="D33" t="s">
        <v>186</v>
      </c>
      <c r="E33" t="s">
        <v>187</v>
      </c>
      <c r="F33">
        <v>-0.10746820568239908</v>
      </c>
      <c r="G33">
        <v>1.6125360344145318E-2</v>
      </c>
      <c r="H33">
        <v>-4.8451232982103937E-2</v>
      </c>
      <c r="I33">
        <v>3.1691682043959959E-2</v>
      </c>
      <c r="K33" s="30" t="s">
        <v>187</v>
      </c>
      <c r="L33" s="30"/>
      <c r="M33" s="37">
        <f t="shared" si="0"/>
        <v>5.3785397759054093E-3</v>
      </c>
      <c r="N33" s="37">
        <f t="shared" si="1"/>
        <v>2.6846558745749566E-2</v>
      </c>
      <c r="O33" s="34">
        <f t="shared" si="2"/>
        <v>0.13685395652025986</v>
      </c>
      <c r="P33" s="34">
        <f t="shared" si="3"/>
        <v>0.44744264576249271</v>
      </c>
      <c r="Q33" s="31" t="s">
        <v>187</v>
      </c>
      <c r="R33" s="32">
        <f t="shared" si="4"/>
        <v>0.5842966022827526</v>
      </c>
      <c r="S33">
        <f t="shared" si="18"/>
        <v>5.2586694205447735</v>
      </c>
      <c r="U33" s="13">
        <v>9</v>
      </c>
      <c r="V33" s="13" t="s">
        <v>309</v>
      </c>
      <c r="W33" s="13" t="s">
        <v>310</v>
      </c>
      <c r="X33" s="13">
        <v>28</v>
      </c>
      <c r="Y33" s="13" t="s">
        <v>42</v>
      </c>
      <c r="Z33" s="13" t="s">
        <v>311</v>
      </c>
      <c r="AA33" s="13">
        <v>1</v>
      </c>
      <c r="AB33" s="13" t="s">
        <v>325</v>
      </c>
      <c r="AC33" s="13" t="s">
        <v>310</v>
      </c>
      <c r="AD33" s="13">
        <v>18</v>
      </c>
      <c r="AE33" s="13" t="s">
        <v>312</v>
      </c>
      <c r="AF33" s="1">
        <f t="shared" si="5"/>
        <v>3.831910782567276</v>
      </c>
      <c r="AG33" s="1">
        <f t="shared" si="15"/>
        <v>2.4633712173646773</v>
      </c>
      <c r="AH33" s="1"/>
      <c r="AI33" s="1"/>
      <c r="AJ33" s="13">
        <f t="shared" si="6"/>
        <v>9</v>
      </c>
      <c r="AK33" s="13" t="s">
        <v>41</v>
      </c>
      <c r="AL33" s="13" t="str">
        <f t="shared" si="7"/>
        <v>+</v>
      </c>
      <c r="AM33" s="13">
        <f t="shared" si="8"/>
        <v>19</v>
      </c>
      <c r="AN33" s="13" t="str">
        <f t="shared" si="9"/>
        <v>H2</v>
      </c>
      <c r="AO33" s="13" t="str">
        <f t="shared" si="10"/>
        <v>=</v>
      </c>
      <c r="AP33" s="13">
        <f t="shared" si="11"/>
        <v>1</v>
      </c>
      <c r="AQ33" s="13" t="str">
        <f t="shared" si="12"/>
        <v>C9H20</v>
      </c>
      <c r="AR33" s="13" t="str">
        <f t="shared" si="13"/>
        <v>+</v>
      </c>
      <c r="AS33" s="13">
        <f t="shared" si="19"/>
        <v>9</v>
      </c>
      <c r="AT33" s="13" t="str">
        <f t="shared" si="14"/>
        <v>H2O</v>
      </c>
      <c r="AU33" s="1">
        <f t="shared" si="16"/>
        <v>8.5014102694873621</v>
      </c>
      <c r="AV33" s="1">
        <f t="shared" si="17"/>
        <v>4.0269838118624346</v>
      </c>
    </row>
    <row r="34" spans="1:48" x14ac:dyDescent="0.2">
      <c r="A34">
        <v>31</v>
      </c>
      <c r="B34">
        <v>9</v>
      </c>
      <c r="C34" t="s">
        <v>188</v>
      </c>
      <c r="D34" t="s">
        <v>189</v>
      </c>
      <c r="E34" t="s">
        <v>190</v>
      </c>
      <c r="F34">
        <v>-1.9804834537854955E-2</v>
      </c>
      <c r="G34">
        <v>2.9716704717569322E-3</v>
      </c>
      <c r="H34">
        <v>-8.9288608316532795E-3</v>
      </c>
      <c r="I34">
        <v>5.8403182143175131E-3</v>
      </c>
      <c r="K34" s="30" t="s">
        <v>190</v>
      </c>
      <c r="L34" s="30"/>
      <c r="M34" s="37">
        <f t="shared" si="0"/>
        <v>9.9118701797143655E-4</v>
      </c>
      <c r="N34" s="37">
        <f t="shared" si="1"/>
        <v>4.9474321311521853E-3</v>
      </c>
      <c r="O34" s="34">
        <f t="shared" si="2"/>
        <v>2.5220203012828776E-2</v>
      </c>
      <c r="P34" s="34">
        <f t="shared" si="3"/>
        <v>8.2457202185869757E-2</v>
      </c>
      <c r="Q34" s="31" t="s">
        <v>190</v>
      </c>
      <c r="R34" s="32">
        <f t="shared" si="4"/>
        <v>0.10767740519869853</v>
      </c>
      <c r="S34">
        <f t="shared" si="18"/>
        <v>0.96909664678828678</v>
      </c>
      <c r="U34" s="13">
        <v>9</v>
      </c>
      <c r="V34" s="13" t="s">
        <v>309</v>
      </c>
      <c r="W34" s="13" t="s">
        <v>310</v>
      </c>
      <c r="X34" s="13">
        <v>27</v>
      </c>
      <c r="Y34" s="13" t="s">
        <v>42</v>
      </c>
      <c r="Z34" s="13" t="s">
        <v>311</v>
      </c>
      <c r="AA34" s="13">
        <v>1</v>
      </c>
      <c r="AB34" s="13" t="s">
        <v>326</v>
      </c>
      <c r="AC34" s="13" t="s">
        <v>310</v>
      </c>
      <c r="AD34" s="13">
        <v>18</v>
      </c>
      <c r="AE34" s="13" t="s">
        <v>312</v>
      </c>
      <c r="AF34" s="1">
        <f t="shared" si="5"/>
        <v>0.680945481346377</v>
      </c>
      <c r="AG34" s="1">
        <f t="shared" si="15"/>
        <v>0.453963654230918</v>
      </c>
      <c r="AH34" s="1"/>
      <c r="AI34" s="1"/>
      <c r="AJ34" s="13">
        <f t="shared" si="6"/>
        <v>9</v>
      </c>
      <c r="AK34" s="13" t="s">
        <v>41</v>
      </c>
      <c r="AL34" s="13" t="str">
        <f t="shared" si="7"/>
        <v>+</v>
      </c>
      <c r="AM34" s="13">
        <f t="shared" si="8"/>
        <v>18</v>
      </c>
      <c r="AN34" s="13" t="str">
        <f t="shared" si="9"/>
        <v>H2</v>
      </c>
      <c r="AO34" s="13" t="str">
        <f t="shared" si="10"/>
        <v>=</v>
      </c>
      <c r="AP34" s="13">
        <f t="shared" si="11"/>
        <v>1</v>
      </c>
      <c r="AQ34" s="13" t="str">
        <f t="shared" si="12"/>
        <v>C9H18</v>
      </c>
      <c r="AR34" s="13" t="str">
        <f t="shared" si="13"/>
        <v>+</v>
      </c>
      <c r="AS34" s="13">
        <f t="shared" si="19"/>
        <v>9</v>
      </c>
      <c r="AT34" s="13" t="str">
        <f t="shared" si="14"/>
        <v>H2O</v>
      </c>
      <c r="AU34" s="1">
        <f t="shared" si="16"/>
        <v>1.4842296393456555</v>
      </c>
      <c r="AV34" s="1">
        <f t="shared" si="17"/>
        <v>0.74211481967282777</v>
      </c>
    </row>
    <row r="35" spans="1:48" x14ac:dyDescent="0.2">
      <c r="A35">
        <v>32</v>
      </c>
      <c r="B35">
        <v>9</v>
      </c>
      <c r="C35" t="s">
        <v>191</v>
      </c>
      <c r="D35" t="s">
        <v>192</v>
      </c>
      <c r="E35" t="s">
        <v>193</v>
      </c>
      <c r="F35">
        <v>-1.1164595620832567E-2</v>
      </c>
      <c r="G35">
        <v>1.67522223284014E-3</v>
      </c>
      <c r="H35">
        <v>-5.0334740413790135E-3</v>
      </c>
      <c r="I35">
        <v>3.2923673780361849E-3</v>
      </c>
      <c r="K35" s="30" t="s">
        <v>193</v>
      </c>
      <c r="L35" s="30"/>
      <c r="M35" s="37">
        <f t="shared" si="0"/>
        <v>5.5876267075688339E-4</v>
      </c>
      <c r="N35" s="37">
        <f t="shared" si="1"/>
        <v>2.7890199738982834E-3</v>
      </c>
      <c r="O35" s="34">
        <f t="shared" si="2"/>
        <v>1.421740573370292E-2</v>
      </c>
      <c r="P35" s="34">
        <f t="shared" si="3"/>
        <v>4.6483666231638056E-2</v>
      </c>
      <c r="Q35" s="31" t="s">
        <v>193</v>
      </c>
      <c r="R35" s="32">
        <f t="shared" si="4"/>
        <v>6.0701071965340976E-2</v>
      </c>
      <c r="S35">
        <f t="shared" si="18"/>
        <v>0.54630964768806878</v>
      </c>
      <c r="U35" s="13">
        <v>9</v>
      </c>
      <c r="V35" s="13" t="s">
        <v>309</v>
      </c>
      <c r="W35" s="13" t="s">
        <v>310</v>
      </c>
      <c r="X35" s="13">
        <v>27</v>
      </c>
      <c r="Y35" s="13" t="s">
        <v>42</v>
      </c>
      <c r="Z35" s="13" t="s">
        <v>311</v>
      </c>
      <c r="AA35" s="13">
        <v>1</v>
      </c>
      <c r="AB35" s="13" t="s">
        <v>326</v>
      </c>
      <c r="AC35" s="13" t="s">
        <v>310</v>
      </c>
      <c r="AD35" s="13">
        <v>18</v>
      </c>
      <c r="AE35" s="13" t="s">
        <v>312</v>
      </c>
      <c r="AF35" s="1">
        <f t="shared" si="5"/>
        <v>0.38386995480997887</v>
      </c>
      <c r="AG35" s="1">
        <f t="shared" si="15"/>
        <v>0.25591330320665256</v>
      </c>
      <c r="AH35" s="1"/>
      <c r="AI35" s="1"/>
      <c r="AJ35" s="13">
        <f t="shared" si="6"/>
        <v>9</v>
      </c>
      <c r="AK35" s="13" t="s">
        <v>41</v>
      </c>
      <c r="AL35" s="13" t="str">
        <f t="shared" si="7"/>
        <v>+</v>
      </c>
      <c r="AM35" s="13">
        <f t="shared" si="8"/>
        <v>18</v>
      </c>
      <c r="AN35" s="13" t="str">
        <f t="shared" si="9"/>
        <v>H2</v>
      </c>
      <c r="AO35" s="13" t="str">
        <f t="shared" si="10"/>
        <v>=</v>
      </c>
      <c r="AP35" s="13">
        <f t="shared" si="11"/>
        <v>1</v>
      </c>
      <c r="AQ35" s="13" t="str">
        <f t="shared" si="12"/>
        <v>C9H18</v>
      </c>
      <c r="AR35" s="13" t="str">
        <f t="shared" si="13"/>
        <v>+</v>
      </c>
      <c r="AS35" s="13">
        <f t="shared" si="19"/>
        <v>9</v>
      </c>
      <c r="AT35" s="13" t="str">
        <f t="shared" si="14"/>
        <v>H2O</v>
      </c>
      <c r="AU35" s="1">
        <f t="shared" si="16"/>
        <v>0.83670599216948505</v>
      </c>
      <c r="AV35" s="1">
        <f t="shared" si="17"/>
        <v>0.41835299608474252</v>
      </c>
    </row>
    <row r="36" spans="1:48" x14ac:dyDescent="0.2">
      <c r="A36">
        <v>33</v>
      </c>
      <c r="B36">
        <v>9</v>
      </c>
      <c r="C36" t="s">
        <v>194</v>
      </c>
      <c r="D36" t="s">
        <v>195</v>
      </c>
      <c r="E36" t="s">
        <v>196</v>
      </c>
      <c r="F36">
        <v>-4.089404535652777E-2</v>
      </c>
      <c r="G36">
        <v>5.4903973178926421E-3</v>
      </c>
      <c r="H36">
        <v>-4.9281028086619896E-2</v>
      </c>
      <c r="I36">
        <v>1.1921048217240316E-2</v>
      </c>
      <c r="K36" s="30" t="s">
        <v>196</v>
      </c>
      <c r="L36" s="30"/>
      <c r="M36" s="37">
        <f t="shared" ref="M36:M67" si="20">IF($L$1,F36*$K$1+G36,0)</f>
        <v>1.4009927822398651E-3</v>
      </c>
      <c r="N36" s="37">
        <f t="shared" ref="N36:N67" si="21">IF($L$1,H36*$K$1+I36,0)</f>
        <v>6.9929454085783261E-3</v>
      </c>
      <c r="O36" s="34">
        <f t="shared" ref="O36:O71" si="22">+M36*$L$72/U36</f>
        <v>3.5647483014769901E-2</v>
      </c>
      <c r="P36" s="34">
        <f t="shared" ref="P36:P71" si="23">+N36*$L$73/AJ36</f>
        <v>0.11654909014297211</v>
      </c>
      <c r="Q36" s="31" t="s">
        <v>196</v>
      </c>
      <c r="R36" s="32">
        <f t="shared" ref="R36:R71" si="24">+L36+O36+P36</f>
        <v>0.15219657315774202</v>
      </c>
      <c r="S36">
        <f t="shared" si="18"/>
        <v>1.3697691584196781</v>
      </c>
      <c r="U36" s="13">
        <v>9</v>
      </c>
      <c r="V36" s="13" t="s">
        <v>309</v>
      </c>
      <c r="W36" s="13" t="s">
        <v>310</v>
      </c>
      <c r="X36" s="13">
        <v>23</v>
      </c>
      <c r="Y36" s="13" t="s">
        <v>42</v>
      </c>
      <c r="Z36" s="13" t="s">
        <v>311</v>
      </c>
      <c r="AA36" s="13">
        <v>1</v>
      </c>
      <c r="AB36" s="13" t="s">
        <v>327</v>
      </c>
      <c r="AC36" s="13" t="s">
        <v>310</v>
      </c>
      <c r="AD36" s="13">
        <v>18</v>
      </c>
      <c r="AE36" s="13" t="s">
        <v>312</v>
      </c>
      <c r="AF36" s="1">
        <f t="shared" ref="AF36:AF68" si="25">+O36*X36</f>
        <v>0.81989210933970769</v>
      </c>
      <c r="AG36" s="1">
        <f t="shared" si="15"/>
        <v>0.64165469426585819</v>
      </c>
      <c r="AH36" s="1"/>
      <c r="AI36" s="1"/>
      <c r="AJ36" s="13">
        <f t="shared" ref="AJ36:AJ71" si="26">U36</f>
        <v>9</v>
      </c>
      <c r="AK36" s="13" t="s">
        <v>41</v>
      </c>
      <c r="AL36" s="13" t="str">
        <f t="shared" ref="AL36:AL71" si="27">W36</f>
        <v>+</v>
      </c>
      <c r="AM36" s="13">
        <f t="shared" ref="AM36:AM71" si="28">+X36-AJ36</f>
        <v>14</v>
      </c>
      <c r="AN36" s="13" t="str">
        <f t="shared" ref="AN36:AN71" si="29">Y36</f>
        <v>H2</v>
      </c>
      <c r="AO36" s="13" t="str">
        <f t="shared" ref="AO36:AO71" si="30">Z36</f>
        <v>=</v>
      </c>
      <c r="AP36" s="13">
        <f t="shared" ref="AP36:AP71" si="31">AA36</f>
        <v>1</v>
      </c>
      <c r="AQ36" s="13" t="str">
        <f t="shared" ref="AQ36:AQ71" si="32">AB36</f>
        <v>C9H10</v>
      </c>
      <c r="AR36" s="13" t="str">
        <f t="shared" ref="AR36:AR71" si="33">AC36</f>
        <v>+</v>
      </c>
      <c r="AS36" s="13">
        <f t="shared" si="19"/>
        <v>9</v>
      </c>
      <c r="AT36" s="13" t="str">
        <f t="shared" ref="AT36:AT71" si="34">+AE36</f>
        <v>H2O</v>
      </c>
      <c r="AU36" s="1">
        <f t="shared" si="16"/>
        <v>1.6316872620016096</v>
      </c>
      <c r="AV36" s="1">
        <f t="shared" si="17"/>
        <v>1.048941811286749</v>
      </c>
    </row>
    <row r="37" spans="1:48" x14ac:dyDescent="0.2">
      <c r="A37">
        <v>34</v>
      </c>
      <c r="B37">
        <v>10</v>
      </c>
      <c r="C37" t="s">
        <v>197</v>
      </c>
      <c r="D37" t="s">
        <v>198</v>
      </c>
      <c r="E37" t="s">
        <v>199</v>
      </c>
      <c r="F37">
        <v>-1.5466764866111087E-2</v>
      </c>
      <c r="G37">
        <v>3.2145599708060845E-3</v>
      </c>
      <c r="H37">
        <v>3.5725486010510968E-2</v>
      </c>
      <c r="I37">
        <v>4.7525607790256247E-3</v>
      </c>
      <c r="K37" s="30" t="s">
        <v>199</v>
      </c>
      <c r="L37" s="30"/>
      <c r="M37" s="37">
        <f t="shared" si="20"/>
        <v>1.6678834841949758E-3</v>
      </c>
      <c r="N37" s="37">
        <f t="shared" si="21"/>
        <v>8.3251093800767208E-3</v>
      </c>
      <c r="O37" s="34">
        <f t="shared" si="22"/>
        <v>3.8194531788064943E-2</v>
      </c>
      <c r="P37" s="34">
        <f t="shared" si="23"/>
        <v>0.12487664070115082</v>
      </c>
      <c r="Q37" s="31" t="s">
        <v>199</v>
      </c>
      <c r="R37" s="32">
        <f t="shared" si="24"/>
        <v>0.16307117248921577</v>
      </c>
      <c r="S37">
        <f t="shared" si="18"/>
        <v>1.6307117248921577</v>
      </c>
      <c r="U37" s="13">
        <v>10</v>
      </c>
      <c r="V37" s="13" t="s">
        <v>309</v>
      </c>
      <c r="W37" s="13" t="s">
        <v>310</v>
      </c>
      <c r="X37" s="13">
        <v>31</v>
      </c>
      <c r="Y37" s="13" t="s">
        <v>42</v>
      </c>
      <c r="Z37" s="13" t="s">
        <v>311</v>
      </c>
      <c r="AA37" s="13">
        <v>1</v>
      </c>
      <c r="AB37" s="13" t="s">
        <v>328</v>
      </c>
      <c r="AC37" s="13" t="s">
        <v>310</v>
      </c>
      <c r="AD37" s="13">
        <v>20</v>
      </c>
      <c r="AE37" s="13" t="s">
        <v>312</v>
      </c>
      <c r="AF37" s="1">
        <f t="shared" si="25"/>
        <v>1.1840304854300132</v>
      </c>
      <c r="AG37" s="1">
        <f t="shared" si="15"/>
        <v>0.7638906357612989</v>
      </c>
      <c r="AH37" s="1"/>
      <c r="AI37" s="1"/>
      <c r="AJ37" s="13">
        <f t="shared" si="26"/>
        <v>10</v>
      </c>
      <c r="AK37" s="13" t="s">
        <v>41</v>
      </c>
      <c r="AL37" s="13" t="str">
        <f t="shared" si="27"/>
        <v>+</v>
      </c>
      <c r="AM37" s="13">
        <f t="shared" si="28"/>
        <v>21</v>
      </c>
      <c r="AN37" s="13" t="str">
        <f t="shared" si="29"/>
        <v>H2</v>
      </c>
      <c r="AO37" s="13" t="str">
        <f t="shared" si="30"/>
        <v>=</v>
      </c>
      <c r="AP37" s="13">
        <f t="shared" si="31"/>
        <v>1</v>
      </c>
      <c r="AQ37" s="13" t="str">
        <f t="shared" si="32"/>
        <v>C10H22</v>
      </c>
      <c r="AR37" s="13" t="str">
        <f t="shared" si="33"/>
        <v>+</v>
      </c>
      <c r="AS37" s="13">
        <f t="shared" si="19"/>
        <v>10</v>
      </c>
      <c r="AT37" s="13" t="str">
        <f t="shared" si="34"/>
        <v>H2O</v>
      </c>
      <c r="AU37" s="1">
        <f t="shared" si="16"/>
        <v>2.622409454724167</v>
      </c>
      <c r="AV37" s="1">
        <f t="shared" si="17"/>
        <v>1.2487664070115081</v>
      </c>
    </row>
    <row r="38" spans="1:48" x14ac:dyDescent="0.2">
      <c r="A38">
        <v>35</v>
      </c>
      <c r="B38">
        <v>10</v>
      </c>
      <c r="C38" t="s">
        <v>200</v>
      </c>
      <c r="D38" t="s">
        <v>201</v>
      </c>
      <c r="E38" t="s">
        <v>202</v>
      </c>
      <c r="F38">
        <v>-4.0591762141942114E-2</v>
      </c>
      <c r="G38">
        <v>6.090701779064454E-3</v>
      </c>
      <c r="H38">
        <v>-1.8300490942462017E-2</v>
      </c>
      <c r="I38">
        <v>1.1970249351777989E-2</v>
      </c>
      <c r="K38" s="30" t="s">
        <v>202</v>
      </c>
      <c r="L38" s="30"/>
      <c r="M38" s="37">
        <f t="shared" si="20"/>
        <v>2.0315255648702428E-3</v>
      </c>
      <c r="N38" s="37">
        <f t="shared" si="21"/>
        <v>1.0140200257531788E-2</v>
      </c>
      <c r="O38" s="34">
        <f t="shared" si="22"/>
        <v>4.6521935435528558E-2</v>
      </c>
      <c r="P38" s="34">
        <f t="shared" si="23"/>
        <v>0.15210300386297682</v>
      </c>
      <c r="Q38" s="31" t="s">
        <v>202</v>
      </c>
      <c r="R38" s="32">
        <f t="shared" si="24"/>
        <v>0.19862493929850539</v>
      </c>
      <c r="S38">
        <f t="shared" si="18"/>
        <v>1.9862493929850538</v>
      </c>
      <c r="U38" s="13">
        <v>10</v>
      </c>
      <c r="V38" s="13" t="s">
        <v>309</v>
      </c>
      <c r="W38" s="13" t="s">
        <v>310</v>
      </c>
      <c r="X38" s="13">
        <v>31</v>
      </c>
      <c r="Y38" s="13" t="s">
        <v>42</v>
      </c>
      <c r="Z38" s="13" t="s">
        <v>311</v>
      </c>
      <c r="AA38" s="13">
        <v>1</v>
      </c>
      <c r="AB38" s="13" t="s">
        <v>328</v>
      </c>
      <c r="AC38" s="13" t="s">
        <v>310</v>
      </c>
      <c r="AD38" s="13">
        <v>20</v>
      </c>
      <c r="AE38" s="13" t="s">
        <v>312</v>
      </c>
      <c r="AF38" s="1">
        <f t="shared" si="25"/>
        <v>1.4421799985013852</v>
      </c>
      <c r="AG38" s="1">
        <f t="shared" si="15"/>
        <v>0.93043870871057122</v>
      </c>
      <c r="AH38" s="1"/>
      <c r="AI38" s="1"/>
      <c r="AJ38" s="13">
        <f t="shared" si="26"/>
        <v>10</v>
      </c>
      <c r="AK38" s="13" t="s">
        <v>41</v>
      </c>
      <c r="AL38" s="13" t="str">
        <f t="shared" si="27"/>
        <v>+</v>
      </c>
      <c r="AM38" s="13">
        <f t="shared" si="28"/>
        <v>21</v>
      </c>
      <c r="AN38" s="13" t="str">
        <f t="shared" si="29"/>
        <v>H2</v>
      </c>
      <c r="AO38" s="13" t="str">
        <f t="shared" si="30"/>
        <v>=</v>
      </c>
      <c r="AP38" s="13">
        <f t="shared" si="31"/>
        <v>1</v>
      </c>
      <c r="AQ38" s="13" t="str">
        <f t="shared" si="32"/>
        <v>C10H22</v>
      </c>
      <c r="AR38" s="13" t="str">
        <f t="shared" si="33"/>
        <v>+</v>
      </c>
      <c r="AS38" s="13">
        <f t="shared" si="19"/>
        <v>10</v>
      </c>
      <c r="AT38" s="13" t="str">
        <f t="shared" si="34"/>
        <v>H2O</v>
      </c>
      <c r="AU38" s="1">
        <f t="shared" si="16"/>
        <v>3.1941630811225132</v>
      </c>
      <c r="AV38" s="1">
        <f t="shared" si="17"/>
        <v>1.5210300386297682</v>
      </c>
    </row>
    <row r="39" spans="1:48" x14ac:dyDescent="0.2">
      <c r="A39">
        <v>36</v>
      </c>
      <c r="B39">
        <v>10</v>
      </c>
      <c r="C39" t="s">
        <v>203</v>
      </c>
      <c r="D39" t="s">
        <v>204</v>
      </c>
      <c r="E39" t="s">
        <v>205</v>
      </c>
      <c r="F39">
        <v>-4.4285910261946615E-2</v>
      </c>
      <c r="G39">
        <v>6.6450003199349057E-3</v>
      </c>
      <c r="H39">
        <v>-1.9965969863378365E-2</v>
      </c>
      <c r="I39">
        <v>1.3059629851797344E-2</v>
      </c>
      <c r="K39" s="30" t="s">
        <v>205</v>
      </c>
      <c r="L39" s="30"/>
      <c r="M39" s="37">
        <f t="shared" si="20"/>
        <v>2.2164092937402438E-3</v>
      </c>
      <c r="N39" s="37">
        <f t="shared" si="21"/>
        <v>1.1063032865459507E-2</v>
      </c>
      <c r="O39" s="34">
        <f t="shared" si="22"/>
        <v>5.0755772826651578E-2</v>
      </c>
      <c r="P39" s="34">
        <f t="shared" si="23"/>
        <v>0.1659454929818926</v>
      </c>
      <c r="Q39" s="31" t="s">
        <v>205</v>
      </c>
      <c r="R39" s="32">
        <f t="shared" si="24"/>
        <v>0.21670126580854418</v>
      </c>
      <c r="S39">
        <f t="shared" si="18"/>
        <v>2.1670126580854419</v>
      </c>
      <c r="U39" s="13">
        <v>10</v>
      </c>
      <c r="V39" s="13" t="s">
        <v>309</v>
      </c>
      <c r="W39" s="13" t="s">
        <v>310</v>
      </c>
      <c r="X39" s="13">
        <v>30</v>
      </c>
      <c r="Y39" s="13" t="s">
        <v>42</v>
      </c>
      <c r="Z39" s="13" t="s">
        <v>311</v>
      </c>
      <c r="AA39" s="13">
        <v>1</v>
      </c>
      <c r="AB39" s="13" t="s">
        <v>329</v>
      </c>
      <c r="AC39" s="13" t="s">
        <v>310</v>
      </c>
      <c r="AD39" s="13">
        <v>20</v>
      </c>
      <c r="AE39" s="13" t="s">
        <v>312</v>
      </c>
      <c r="AF39" s="1">
        <f t="shared" si="25"/>
        <v>1.5226731847995474</v>
      </c>
      <c r="AG39" s="1">
        <f t="shared" si="15"/>
        <v>1.0151154565330316</v>
      </c>
      <c r="AH39" s="1"/>
      <c r="AI39" s="1"/>
      <c r="AJ39" s="13">
        <f t="shared" si="26"/>
        <v>10</v>
      </c>
      <c r="AK39" s="13" t="s">
        <v>41</v>
      </c>
      <c r="AL39" s="13" t="str">
        <f t="shared" si="27"/>
        <v>+</v>
      </c>
      <c r="AM39" s="13">
        <f t="shared" si="28"/>
        <v>20</v>
      </c>
      <c r="AN39" s="13" t="str">
        <f t="shared" si="29"/>
        <v>H2</v>
      </c>
      <c r="AO39" s="13" t="str">
        <f t="shared" si="30"/>
        <v>=</v>
      </c>
      <c r="AP39" s="13">
        <f t="shared" si="31"/>
        <v>1</v>
      </c>
      <c r="AQ39" s="13" t="str">
        <f t="shared" si="32"/>
        <v>C10H20</v>
      </c>
      <c r="AR39" s="13" t="str">
        <f t="shared" si="33"/>
        <v>+</v>
      </c>
      <c r="AS39" s="13">
        <f t="shared" si="19"/>
        <v>10</v>
      </c>
      <c r="AT39" s="13" t="str">
        <f t="shared" si="34"/>
        <v>H2O</v>
      </c>
      <c r="AU39" s="1">
        <f t="shared" si="16"/>
        <v>3.3189098596378521</v>
      </c>
      <c r="AV39" s="1">
        <f t="shared" si="17"/>
        <v>1.6594549298189261</v>
      </c>
    </row>
    <row r="40" spans="1:48" x14ac:dyDescent="0.2">
      <c r="A40">
        <v>37</v>
      </c>
      <c r="B40">
        <v>10</v>
      </c>
      <c r="C40" t="s">
        <v>206</v>
      </c>
      <c r="D40" t="s">
        <v>207</v>
      </c>
      <c r="E40" t="s">
        <v>208</v>
      </c>
      <c r="F40">
        <v>-2.5764655941679395E-2</v>
      </c>
      <c r="G40">
        <v>3.8659281465099299E-3</v>
      </c>
      <c r="H40">
        <v>-1.1615801527600158E-2</v>
      </c>
      <c r="I40">
        <v>7.5978311807755085E-3</v>
      </c>
      <c r="K40" s="30" t="s">
        <v>208</v>
      </c>
      <c r="L40" s="30"/>
      <c r="M40" s="37">
        <f t="shared" si="20"/>
        <v>1.2894625523419902E-3</v>
      </c>
      <c r="N40" s="37">
        <f t="shared" si="21"/>
        <v>6.4362510280154923E-3</v>
      </c>
      <c r="O40" s="34">
        <f t="shared" si="22"/>
        <v>2.9528692448631579E-2</v>
      </c>
      <c r="P40" s="34">
        <f t="shared" si="23"/>
        <v>9.654376542023238E-2</v>
      </c>
      <c r="Q40" s="31" t="s">
        <v>208</v>
      </c>
      <c r="R40" s="32">
        <f t="shared" si="24"/>
        <v>0.12607245786886395</v>
      </c>
      <c r="S40">
        <f t="shared" si="18"/>
        <v>1.2607245786886394</v>
      </c>
      <c r="U40" s="13">
        <v>10</v>
      </c>
      <c r="V40" s="13" t="s">
        <v>309</v>
      </c>
      <c r="W40" s="13" t="s">
        <v>310</v>
      </c>
      <c r="X40" s="13">
        <v>30</v>
      </c>
      <c r="Y40" s="13" t="s">
        <v>42</v>
      </c>
      <c r="Z40" s="13" t="s">
        <v>311</v>
      </c>
      <c r="AA40" s="13">
        <v>1</v>
      </c>
      <c r="AB40" s="13" t="s">
        <v>329</v>
      </c>
      <c r="AC40" s="13" t="s">
        <v>310</v>
      </c>
      <c r="AD40" s="13">
        <v>20</v>
      </c>
      <c r="AE40" s="13" t="s">
        <v>312</v>
      </c>
      <c r="AF40" s="1">
        <f t="shared" si="25"/>
        <v>0.88586077345894731</v>
      </c>
      <c r="AG40" s="1">
        <f t="shared" si="15"/>
        <v>0.59057384897263154</v>
      </c>
      <c r="AH40" s="1"/>
      <c r="AI40" s="1"/>
      <c r="AJ40" s="13">
        <f t="shared" si="26"/>
        <v>10</v>
      </c>
      <c r="AK40" s="13" t="s">
        <v>41</v>
      </c>
      <c r="AL40" s="13" t="str">
        <f t="shared" si="27"/>
        <v>+</v>
      </c>
      <c r="AM40" s="13">
        <f t="shared" si="28"/>
        <v>20</v>
      </c>
      <c r="AN40" s="13" t="str">
        <f t="shared" si="29"/>
        <v>H2</v>
      </c>
      <c r="AO40" s="13" t="str">
        <f t="shared" si="30"/>
        <v>=</v>
      </c>
      <c r="AP40" s="13">
        <f t="shared" si="31"/>
        <v>1</v>
      </c>
      <c r="AQ40" s="13" t="str">
        <f t="shared" si="32"/>
        <v>C10H20</v>
      </c>
      <c r="AR40" s="13" t="str">
        <f t="shared" si="33"/>
        <v>+</v>
      </c>
      <c r="AS40" s="13">
        <f t="shared" si="19"/>
        <v>10</v>
      </c>
      <c r="AT40" s="13" t="str">
        <f t="shared" si="34"/>
        <v>H2O</v>
      </c>
      <c r="AU40" s="1">
        <f t="shared" si="16"/>
        <v>1.9308753084046475</v>
      </c>
      <c r="AV40" s="1">
        <f t="shared" si="17"/>
        <v>0.96543765420232375</v>
      </c>
    </row>
    <row r="41" spans="1:48" x14ac:dyDescent="0.2">
      <c r="A41">
        <v>38</v>
      </c>
      <c r="B41">
        <v>10</v>
      </c>
      <c r="C41" t="s">
        <v>209</v>
      </c>
      <c r="D41" t="s">
        <v>210</v>
      </c>
      <c r="E41" t="s">
        <v>211</v>
      </c>
      <c r="F41">
        <v>-3.1539171750711255E-2</v>
      </c>
      <c r="G41">
        <v>4.7323811373488093E-3</v>
      </c>
      <c r="H41">
        <v>-1.4219198588579179E-2</v>
      </c>
      <c r="I41">
        <v>9.300698720208429E-3</v>
      </c>
      <c r="K41" s="30" t="s">
        <v>211</v>
      </c>
      <c r="L41" s="30"/>
      <c r="M41" s="37">
        <f t="shared" si="20"/>
        <v>1.5784639622776838E-3</v>
      </c>
      <c r="N41" s="37">
        <f t="shared" si="21"/>
        <v>7.8787788613505112E-3</v>
      </c>
      <c r="O41" s="34">
        <f t="shared" si="22"/>
        <v>3.6146824736158954E-2</v>
      </c>
      <c r="P41" s="34">
        <f t="shared" si="23"/>
        <v>0.11818168292025766</v>
      </c>
      <c r="Q41" s="31" t="s">
        <v>211</v>
      </c>
      <c r="R41" s="32">
        <f t="shared" si="24"/>
        <v>0.15432850765641662</v>
      </c>
      <c r="S41">
        <f t="shared" si="18"/>
        <v>1.5432850765641661</v>
      </c>
      <c r="U41" s="13">
        <v>10</v>
      </c>
      <c r="V41" s="13" t="s">
        <v>309</v>
      </c>
      <c r="W41" s="13" t="s">
        <v>310</v>
      </c>
      <c r="X41" s="13">
        <v>27</v>
      </c>
      <c r="Y41" s="13" t="s">
        <v>42</v>
      </c>
      <c r="Z41" s="13" t="s">
        <v>311</v>
      </c>
      <c r="AA41" s="13">
        <v>1</v>
      </c>
      <c r="AB41" s="13" t="s">
        <v>330</v>
      </c>
      <c r="AC41" s="13" t="s">
        <v>310</v>
      </c>
      <c r="AD41" s="13">
        <v>20</v>
      </c>
      <c r="AE41" s="13" t="s">
        <v>312</v>
      </c>
      <c r="AF41" s="1">
        <f t="shared" si="25"/>
        <v>0.97596426787629176</v>
      </c>
      <c r="AG41" s="1">
        <f t="shared" si="15"/>
        <v>0.72293649472317911</v>
      </c>
      <c r="AH41" s="1"/>
      <c r="AI41" s="1"/>
      <c r="AJ41" s="13">
        <f t="shared" si="26"/>
        <v>10</v>
      </c>
      <c r="AK41" s="13" t="s">
        <v>41</v>
      </c>
      <c r="AL41" s="13" t="str">
        <f t="shared" si="27"/>
        <v>+</v>
      </c>
      <c r="AM41" s="13">
        <f t="shared" si="28"/>
        <v>17</v>
      </c>
      <c r="AN41" s="13" t="str">
        <f t="shared" si="29"/>
        <v>H2</v>
      </c>
      <c r="AO41" s="13" t="str">
        <f t="shared" si="30"/>
        <v>=</v>
      </c>
      <c r="AP41" s="13">
        <f t="shared" si="31"/>
        <v>1</v>
      </c>
      <c r="AQ41" s="13" t="str">
        <f t="shared" si="32"/>
        <v>C10H14</v>
      </c>
      <c r="AR41" s="13" t="str">
        <f t="shared" si="33"/>
        <v>+</v>
      </c>
      <c r="AS41" s="13">
        <f t="shared" si="19"/>
        <v>10</v>
      </c>
      <c r="AT41" s="13" t="str">
        <f t="shared" si="34"/>
        <v>H2O</v>
      </c>
      <c r="AU41" s="1">
        <f t="shared" si="16"/>
        <v>2.0090886096443801</v>
      </c>
      <c r="AV41" s="1">
        <f t="shared" si="17"/>
        <v>1.1818168292025766</v>
      </c>
    </row>
    <row r="42" spans="1:48" x14ac:dyDescent="0.2">
      <c r="A42">
        <v>39</v>
      </c>
      <c r="B42">
        <v>11</v>
      </c>
      <c r="C42" t="s">
        <v>212</v>
      </c>
      <c r="D42" t="s">
        <v>213</v>
      </c>
      <c r="E42" t="s">
        <v>214</v>
      </c>
      <c r="F42">
        <v>-1.8292000349450322E-2</v>
      </c>
      <c r="G42">
        <v>3.9453705373688917E-3</v>
      </c>
      <c r="H42">
        <v>4.9112384665725109E-2</v>
      </c>
      <c r="I42">
        <v>5.6514603469322976E-3</v>
      </c>
      <c r="K42" s="30" t="s">
        <v>214</v>
      </c>
      <c r="L42" s="30"/>
      <c r="M42" s="37">
        <f t="shared" si="20"/>
        <v>2.1161705024238591E-3</v>
      </c>
      <c r="N42" s="37">
        <f t="shared" si="21"/>
        <v>1.0562698813504809E-2</v>
      </c>
      <c r="O42" s="34">
        <f t="shared" si="22"/>
        <v>4.4054822277733066E-2</v>
      </c>
      <c r="P42" s="34">
        <f t="shared" si="23"/>
        <v>0.14403680200233832</v>
      </c>
      <c r="Q42" s="31" t="s">
        <v>214</v>
      </c>
      <c r="R42" s="32">
        <f t="shared" si="24"/>
        <v>0.18809162428007137</v>
      </c>
      <c r="S42">
        <f t="shared" si="18"/>
        <v>2.069007867080785</v>
      </c>
      <c r="U42" s="13">
        <v>11</v>
      </c>
      <c r="V42" s="13" t="s">
        <v>309</v>
      </c>
      <c r="W42" s="13" t="s">
        <v>310</v>
      </c>
      <c r="X42" s="13">
        <v>34</v>
      </c>
      <c r="Y42" s="13" t="s">
        <v>42</v>
      </c>
      <c r="Z42" s="13" t="s">
        <v>311</v>
      </c>
      <c r="AA42" s="13">
        <v>1</v>
      </c>
      <c r="AB42" s="13" t="s">
        <v>213</v>
      </c>
      <c r="AC42" s="13" t="s">
        <v>310</v>
      </c>
      <c r="AD42" s="13">
        <v>22</v>
      </c>
      <c r="AE42" s="13" t="s">
        <v>312</v>
      </c>
      <c r="AF42" s="1">
        <f t="shared" si="25"/>
        <v>1.4978639574429242</v>
      </c>
      <c r="AG42" s="1">
        <f t="shared" si="15"/>
        <v>0.96920609011012748</v>
      </c>
      <c r="AH42" s="1"/>
      <c r="AI42" s="1"/>
      <c r="AJ42" s="13">
        <f t="shared" si="26"/>
        <v>11</v>
      </c>
      <c r="AK42" s="13" t="s">
        <v>41</v>
      </c>
      <c r="AL42" s="13" t="str">
        <f t="shared" si="27"/>
        <v>+</v>
      </c>
      <c r="AM42" s="13">
        <f t="shared" si="28"/>
        <v>23</v>
      </c>
      <c r="AN42" s="13" t="str">
        <f t="shared" si="29"/>
        <v>H2</v>
      </c>
      <c r="AO42" s="13" t="str">
        <f t="shared" si="30"/>
        <v>=</v>
      </c>
      <c r="AP42" s="13">
        <f t="shared" si="31"/>
        <v>1</v>
      </c>
      <c r="AQ42" s="13" t="str">
        <f t="shared" si="32"/>
        <v>C11H24</v>
      </c>
      <c r="AR42" s="13" t="str">
        <f t="shared" si="33"/>
        <v>+</v>
      </c>
      <c r="AS42" s="13">
        <f t="shared" si="19"/>
        <v>11</v>
      </c>
      <c r="AT42" s="13" t="str">
        <f t="shared" si="34"/>
        <v>H2O</v>
      </c>
      <c r="AU42" s="1">
        <f t="shared" si="16"/>
        <v>3.3128464460537814</v>
      </c>
      <c r="AV42" s="1">
        <f t="shared" si="17"/>
        <v>1.5844048220257214</v>
      </c>
    </row>
    <row r="43" spans="1:48" x14ac:dyDescent="0.2">
      <c r="A43">
        <v>40</v>
      </c>
      <c r="B43">
        <v>11</v>
      </c>
      <c r="C43" t="s">
        <v>215</v>
      </c>
      <c r="D43" t="s">
        <v>216</v>
      </c>
      <c r="E43" t="s">
        <v>217</v>
      </c>
      <c r="F43">
        <v>-4.6252090357052286E-2</v>
      </c>
      <c r="G43">
        <v>6.9400211806047475E-3</v>
      </c>
      <c r="H43">
        <v>-2.0852407384762826E-2</v>
      </c>
      <c r="I43">
        <v>1.3639443704830318E-2</v>
      </c>
      <c r="K43" s="30" t="s">
        <v>217</v>
      </c>
      <c r="L43" s="30"/>
      <c r="M43" s="37">
        <f t="shared" si="20"/>
        <v>2.3148121448995189E-3</v>
      </c>
      <c r="N43" s="37">
        <f t="shared" si="21"/>
        <v>1.1554202966354036E-2</v>
      </c>
      <c r="O43" s="34">
        <f t="shared" si="22"/>
        <v>4.8190180107453622E-2</v>
      </c>
      <c r="P43" s="34">
        <f t="shared" si="23"/>
        <v>0.15755731317755506</v>
      </c>
      <c r="Q43" s="31" t="s">
        <v>217</v>
      </c>
      <c r="R43" s="32">
        <f t="shared" si="24"/>
        <v>0.20574749328500869</v>
      </c>
      <c r="S43">
        <f t="shared" si="18"/>
        <v>2.2632224261350955</v>
      </c>
      <c r="U43" s="13">
        <v>11</v>
      </c>
      <c r="V43" s="13" t="s">
        <v>309</v>
      </c>
      <c r="W43" s="13" t="s">
        <v>310</v>
      </c>
      <c r="X43" s="13">
        <v>34</v>
      </c>
      <c r="Y43" s="13" t="s">
        <v>42</v>
      </c>
      <c r="Z43" s="13" t="s">
        <v>311</v>
      </c>
      <c r="AA43" s="13">
        <v>1</v>
      </c>
      <c r="AB43" s="13" t="s">
        <v>213</v>
      </c>
      <c r="AC43" s="13" t="s">
        <v>310</v>
      </c>
      <c r="AD43" s="13">
        <v>22</v>
      </c>
      <c r="AE43" s="13" t="s">
        <v>312</v>
      </c>
      <c r="AF43" s="1">
        <f t="shared" si="25"/>
        <v>1.638466123653423</v>
      </c>
      <c r="AG43" s="1">
        <f t="shared" si="15"/>
        <v>1.0601839623639797</v>
      </c>
      <c r="AH43" s="1"/>
      <c r="AI43" s="1"/>
      <c r="AJ43" s="13">
        <f t="shared" si="26"/>
        <v>11</v>
      </c>
      <c r="AK43" s="13" t="s">
        <v>41</v>
      </c>
      <c r="AL43" s="13" t="str">
        <f t="shared" si="27"/>
        <v>+</v>
      </c>
      <c r="AM43" s="13">
        <f t="shared" si="28"/>
        <v>23</v>
      </c>
      <c r="AN43" s="13" t="str">
        <f t="shared" si="29"/>
        <v>H2</v>
      </c>
      <c r="AO43" s="13" t="str">
        <f t="shared" si="30"/>
        <v>=</v>
      </c>
      <c r="AP43" s="13">
        <f t="shared" si="31"/>
        <v>1</v>
      </c>
      <c r="AQ43" s="13" t="str">
        <f t="shared" si="32"/>
        <v>C11H24</v>
      </c>
      <c r="AR43" s="13" t="str">
        <f t="shared" si="33"/>
        <v>+</v>
      </c>
      <c r="AS43" s="13">
        <f t="shared" si="19"/>
        <v>11</v>
      </c>
      <c r="AT43" s="13" t="str">
        <f t="shared" si="34"/>
        <v>H2O</v>
      </c>
      <c r="AU43" s="1">
        <f t="shared" si="16"/>
        <v>3.6238182030837662</v>
      </c>
      <c r="AV43" s="1">
        <f t="shared" si="17"/>
        <v>1.7331304449531055</v>
      </c>
    </row>
    <row r="44" spans="1:48" x14ac:dyDescent="0.2">
      <c r="A44">
        <v>41</v>
      </c>
      <c r="B44">
        <v>11</v>
      </c>
      <c r="C44" t="s">
        <v>219</v>
      </c>
      <c r="D44" t="s">
        <v>220</v>
      </c>
      <c r="E44" t="s">
        <v>221</v>
      </c>
      <c r="F44">
        <v>-1.8539731707409357E-2</v>
      </c>
      <c r="G44">
        <v>2.7818446634278876E-3</v>
      </c>
      <c r="H44">
        <v>-8.3584987269263201E-3</v>
      </c>
      <c r="I44">
        <v>5.4672475335444158E-3</v>
      </c>
      <c r="K44" s="30" t="s">
        <v>221</v>
      </c>
      <c r="L44" s="30"/>
      <c r="M44" s="37">
        <f t="shared" si="20"/>
        <v>9.2787149268695182E-4</v>
      </c>
      <c r="N44" s="37">
        <f t="shared" si="21"/>
        <v>4.6313976608517837E-3</v>
      </c>
      <c r="O44" s="34">
        <f t="shared" si="22"/>
        <v>1.9316597438664724E-2</v>
      </c>
      <c r="P44" s="34">
        <f t="shared" si="23"/>
        <v>6.3155422647978868E-2</v>
      </c>
      <c r="Q44" s="31" t="s">
        <v>221</v>
      </c>
      <c r="R44" s="32">
        <f t="shared" si="24"/>
        <v>8.2472020086643588E-2</v>
      </c>
      <c r="S44">
        <f t="shared" si="18"/>
        <v>0.9071922209530795</v>
      </c>
      <c r="U44" s="13">
        <v>11</v>
      </c>
      <c r="V44" s="13" t="s">
        <v>309</v>
      </c>
      <c r="W44" s="13" t="s">
        <v>310</v>
      </c>
      <c r="X44" s="13">
        <v>30</v>
      </c>
      <c r="Y44" s="13" t="s">
        <v>42</v>
      </c>
      <c r="Z44" s="13" t="s">
        <v>311</v>
      </c>
      <c r="AA44" s="13">
        <v>1</v>
      </c>
      <c r="AB44" s="13" t="s">
        <v>331</v>
      </c>
      <c r="AC44" s="13" t="s">
        <v>310</v>
      </c>
      <c r="AD44" s="13">
        <v>22</v>
      </c>
      <c r="AE44" s="13" t="s">
        <v>312</v>
      </c>
      <c r="AF44" s="1">
        <f t="shared" si="25"/>
        <v>0.57949792315994175</v>
      </c>
      <c r="AG44" s="1">
        <f t="shared" si="15"/>
        <v>0.42496514365062393</v>
      </c>
      <c r="AH44" s="1"/>
      <c r="AI44" s="1"/>
      <c r="AJ44" s="13">
        <f t="shared" si="26"/>
        <v>11</v>
      </c>
      <c r="AK44" s="13" t="s">
        <v>41</v>
      </c>
      <c r="AL44" s="13" t="str">
        <f t="shared" si="27"/>
        <v>+</v>
      </c>
      <c r="AM44" s="13">
        <f t="shared" si="28"/>
        <v>19</v>
      </c>
      <c r="AN44" s="13" t="str">
        <f t="shared" si="29"/>
        <v>H2</v>
      </c>
      <c r="AO44" s="13" t="str">
        <f t="shared" si="30"/>
        <v>=</v>
      </c>
      <c r="AP44" s="13">
        <f t="shared" si="31"/>
        <v>1</v>
      </c>
      <c r="AQ44" s="13" t="str">
        <f t="shared" si="32"/>
        <v>C11H16</v>
      </c>
      <c r="AR44" s="13" t="str">
        <f t="shared" si="33"/>
        <v>+</v>
      </c>
      <c r="AS44" s="13">
        <f t="shared" si="19"/>
        <v>11</v>
      </c>
      <c r="AT44" s="13" t="str">
        <f t="shared" si="34"/>
        <v>H2O</v>
      </c>
      <c r="AU44" s="1">
        <f t="shared" si="16"/>
        <v>1.1999530303115984</v>
      </c>
      <c r="AV44" s="1">
        <f t="shared" si="17"/>
        <v>0.69470964912776756</v>
      </c>
    </row>
    <row r="45" spans="1:48" x14ac:dyDescent="0.2">
      <c r="A45">
        <v>42</v>
      </c>
      <c r="B45">
        <v>11</v>
      </c>
      <c r="C45" t="s">
        <v>65</v>
      </c>
      <c r="D45">
        <v>0</v>
      </c>
      <c r="E45" t="s">
        <v>357</v>
      </c>
      <c r="F45">
        <v>-2.9778502738496089E-2</v>
      </c>
      <c r="G45">
        <v>4.4681967482221767E-3</v>
      </c>
      <c r="H45">
        <v>-1.3425414194641189E-2</v>
      </c>
      <c r="I45">
        <v>8.7814887625705627E-3</v>
      </c>
      <c r="K45" s="30" t="s">
        <v>357</v>
      </c>
      <c r="L45" s="30"/>
      <c r="M45" s="37">
        <f t="shared" si="20"/>
        <v>1.4903464743725677E-3</v>
      </c>
      <c r="N45" s="37">
        <f t="shared" si="21"/>
        <v>7.4389473431064439E-3</v>
      </c>
      <c r="O45" s="34">
        <f t="shared" si="22"/>
        <v>3.1026303875574365E-2</v>
      </c>
      <c r="P45" s="34">
        <f t="shared" si="23"/>
        <v>0.10144019104236059</v>
      </c>
      <c r="Q45" s="31" t="s">
        <v>357</v>
      </c>
      <c r="R45" s="32">
        <f t="shared" si="24"/>
        <v>0.13246649491793494</v>
      </c>
      <c r="S45">
        <f t="shared" si="18"/>
        <v>1.4571314440972842</v>
      </c>
      <c r="U45" s="13">
        <v>11</v>
      </c>
      <c r="V45" s="13" t="s">
        <v>309</v>
      </c>
      <c r="W45" s="13" t="s">
        <v>310</v>
      </c>
      <c r="X45" s="13">
        <v>33</v>
      </c>
      <c r="Y45" s="13" t="s">
        <v>42</v>
      </c>
      <c r="Z45" s="13" t="s">
        <v>311</v>
      </c>
      <c r="AA45" s="13">
        <v>1</v>
      </c>
      <c r="AB45" s="13" t="s">
        <v>218</v>
      </c>
      <c r="AC45" s="13" t="s">
        <v>310</v>
      </c>
      <c r="AD45" s="13">
        <v>22</v>
      </c>
      <c r="AE45" s="13" t="s">
        <v>312</v>
      </c>
      <c r="AF45" s="1">
        <f t="shared" si="25"/>
        <v>1.023868027893954</v>
      </c>
      <c r="AG45" s="1">
        <f t="shared" si="15"/>
        <v>0.68257868526263599</v>
      </c>
      <c r="AH45" s="1"/>
      <c r="AI45" s="1"/>
      <c r="AJ45" s="13">
        <f t="shared" si="26"/>
        <v>11</v>
      </c>
      <c r="AK45" s="13" t="s">
        <v>41</v>
      </c>
      <c r="AL45" s="13" t="str">
        <f t="shared" si="27"/>
        <v>+</v>
      </c>
      <c r="AM45" s="13">
        <f t="shared" si="28"/>
        <v>22</v>
      </c>
      <c r="AN45" s="13" t="str">
        <f t="shared" si="29"/>
        <v>H2</v>
      </c>
      <c r="AO45" s="13" t="str">
        <f t="shared" si="30"/>
        <v>=</v>
      </c>
      <c r="AP45" s="13">
        <f t="shared" si="31"/>
        <v>1</v>
      </c>
      <c r="AQ45" s="13" t="str">
        <f t="shared" si="32"/>
        <v>C11H22</v>
      </c>
      <c r="AR45" s="13" t="str">
        <f t="shared" si="33"/>
        <v>+</v>
      </c>
      <c r="AS45" s="13">
        <f t="shared" si="19"/>
        <v>11</v>
      </c>
      <c r="AT45" s="13" t="str">
        <f t="shared" si="34"/>
        <v>H2O</v>
      </c>
      <c r="AU45" s="1">
        <f t="shared" si="16"/>
        <v>2.231684202931933</v>
      </c>
      <c r="AV45" s="1">
        <f t="shared" si="17"/>
        <v>1.1158421014659665</v>
      </c>
    </row>
    <row r="46" spans="1:48" x14ac:dyDescent="0.2">
      <c r="A46">
        <v>43</v>
      </c>
      <c r="B46">
        <v>12</v>
      </c>
      <c r="C46" t="s">
        <v>222</v>
      </c>
      <c r="D46" t="s">
        <v>223</v>
      </c>
      <c r="E46" t="s">
        <v>224</v>
      </c>
      <c r="F46">
        <v>-3.5565912839274613E-2</v>
      </c>
      <c r="G46">
        <v>5.33658449827172E-3</v>
      </c>
      <c r="H46">
        <v>-1.6034624550162427E-2</v>
      </c>
      <c r="I46">
        <v>1.0488158745634347E-2</v>
      </c>
      <c r="K46" s="30" t="s">
        <v>224</v>
      </c>
      <c r="L46" s="30"/>
      <c r="M46" s="37">
        <f t="shared" si="20"/>
        <v>1.7799932143442586E-3</v>
      </c>
      <c r="N46" s="37">
        <f t="shared" si="21"/>
        <v>8.8846962906181035E-3</v>
      </c>
      <c r="O46" s="34">
        <f t="shared" si="22"/>
        <v>3.3968203840402937E-2</v>
      </c>
      <c r="P46" s="34">
        <f t="shared" si="23"/>
        <v>0.1110587036327263</v>
      </c>
      <c r="Q46" s="31" t="s">
        <v>224</v>
      </c>
      <c r="R46" s="32">
        <f t="shared" si="24"/>
        <v>0.14502690747312924</v>
      </c>
      <c r="S46">
        <f t="shared" si="18"/>
        <v>1.7403228896775509</v>
      </c>
      <c r="U46" s="13">
        <v>12</v>
      </c>
      <c r="V46" s="13" t="s">
        <v>309</v>
      </c>
      <c r="W46" s="13" t="s">
        <v>310</v>
      </c>
      <c r="X46" s="13">
        <v>37</v>
      </c>
      <c r="Y46" s="13" t="s">
        <v>42</v>
      </c>
      <c r="Z46" s="13" t="s">
        <v>311</v>
      </c>
      <c r="AA46" s="13">
        <v>1</v>
      </c>
      <c r="AB46" s="13" t="s">
        <v>226</v>
      </c>
      <c r="AC46" s="13" t="s">
        <v>310</v>
      </c>
      <c r="AD46" s="13">
        <v>24</v>
      </c>
      <c r="AE46" s="13" t="s">
        <v>312</v>
      </c>
      <c r="AF46" s="1">
        <f t="shared" si="25"/>
        <v>1.2568235420949088</v>
      </c>
      <c r="AG46" s="1">
        <f t="shared" si="15"/>
        <v>0.81523689216967044</v>
      </c>
      <c r="AH46" s="1"/>
      <c r="AI46" s="1"/>
      <c r="AJ46" s="13">
        <f t="shared" si="26"/>
        <v>12</v>
      </c>
      <c r="AK46" s="13" t="s">
        <v>41</v>
      </c>
      <c r="AL46" s="13" t="str">
        <f t="shared" si="27"/>
        <v>+</v>
      </c>
      <c r="AM46" s="13">
        <f t="shared" si="28"/>
        <v>25</v>
      </c>
      <c r="AN46" s="13" t="str">
        <f t="shared" si="29"/>
        <v>H2</v>
      </c>
      <c r="AO46" s="13" t="str">
        <f t="shared" si="30"/>
        <v>=</v>
      </c>
      <c r="AP46" s="13">
        <f t="shared" si="31"/>
        <v>1</v>
      </c>
      <c r="AQ46" s="13" t="str">
        <f t="shared" si="32"/>
        <v>C12H26</v>
      </c>
      <c r="AR46" s="13" t="str">
        <f t="shared" si="33"/>
        <v>+</v>
      </c>
      <c r="AS46" s="13">
        <f t="shared" si="19"/>
        <v>12</v>
      </c>
      <c r="AT46" s="13" t="str">
        <f t="shared" si="34"/>
        <v>H2O</v>
      </c>
      <c r="AU46" s="1">
        <f t="shared" si="16"/>
        <v>2.7764675908181573</v>
      </c>
      <c r="AV46" s="1">
        <f t="shared" si="17"/>
        <v>1.3327044435927156</v>
      </c>
    </row>
    <row r="47" spans="1:48" x14ac:dyDescent="0.2">
      <c r="A47">
        <v>44</v>
      </c>
      <c r="B47">
        <v>12</v>
      </c>
      <c r="C47" t="s">
        <v>225</v>
      </c>
      <c r="D47" t="s">
        <v>226</v>
      </c>
      <c r="E47" t="s">
        <v>227</v>
      </c>
      <c r="F47">
        <v>-2.1511938045286179E-2</v>
      </c>
      <c r="G47">
        <v>4.7391848375421949E-3</v>
      </c>
      <c r="H47">
        <v>6.2501890413721478E-2</v>
      </c>
      <c r="I47">
        <v>6.6675648836838821E-3</v>
      </c>
      <c r="K47" s="30" t="s">
        <v>227</v>
      </c>
      <c r="L47" s="30"/>
      <c r="M47" s="37">
        <f t="shared" si="20"/>
        <v>2.5879910330135771E-3</v>
      </c>
      <c r="N47" s="37">
        <f t="shared" si="21"/>
        <v>1.2917753925056031E-2</v>
      </c>
      <c r="O47" s="34">
        <f t="shared" si="22"/>
        <v>4.9387495546675764E-2</v>
      </c>
      <c r="P47" s="34">
        <f t="shared" si="23"/>
        <v>0.16147192406320038</v>
      </c>
      <c r="Q47" s="31" t="s">
        <v>227</v>
      </c>
      <c r="R47" s="32">
        <f t="shared" si="24"/>
        <v>0.21085941960987614</v>
      </c>
      <c r="S47">
        <f t="shared" si="18"/>
        <v>2.5303130353185139</v>
      </c>
      <c r="U47" s="13">
        <v>12</v>
      </c>
      <c r="V47" s="13" t="s">
        <v>309</v>
      </c>
      <c r="W47" s="13" t="s">
        <v>310</v>
      </c>
      <c r="X47" s="13">
        <v>37</v>
      </c>
      <c r="Y47" s="13" t="s">
        <v>42</v>
      </c>
      <c r="Z47" s="13" t="s">
        <v>311</v>
      </c>
      <c r="AA47" s="13">
        <v>1</v>
      </c>
      <c r="AB47" s="13" t="s">
        <v>226</v>
      </c>
      <c r="AC47" s="13" t="s">
        <v>310</v>
      </c>
      <c r="AD47" s="13">
        <v>24</v>
      </c>
      <c r="AE47" s="13" t="s">
        <v>312</v>
      </c>
      <c r="AF47" s="1">
        <f t="shared" si="25"/>
        <v>1.8273373352270033</v>
      </c>
      <c r="AG47" s="1">
        <f t="shared" si="15"/>
        <v>1.1852998931202183</v>
      </c>
      <c r="AH47" s="1"/>
      <c r="AI47" s="1"/>
      <c r="AJ47" s="13">
        <f t="shared" si="26"/>
        <v>12</v>
      </c>
      <c r="AK47" s="13" t="s">
        <v>41</v>
      </c>
      <c r="AL47" s="13" t="str">
        <f t="shared" si="27"/>
        <v>+</v>
      </c>
      <c r="AM47" s="13">
        <f t="shared" si="28"/>
        <v>25</v>
      </c>
      <c r="AN47" s="13" t="str">
        <f t="shared" si="29"/>
        <v>H2</v>
      </c>
      <c r="AO47" s="13" t="str">
        <f t="shared" si="30"/>
        <v>=</v>
      </c>
      <c r="AP47" s="13">
        <f t="shared" si="31"/>
        <v>1</v>
      </c>
      <c r="AQ47" s="13" t="str">
        <f t="shared" si="32"/>
        <v>C12H26</v>
      </c>
      <c r="AR47" s="13" t="str">
        <f t="shared" si="33"/>
        <v>+</v>
      </c>
      <c r="AS47" s="13">
        <f t="shared" si="19"/>
        <v>12</v>
      </c>
      <c r="AT47" s="13" t="str">
        <f t="shared" si="34"/>
        <v>H2O</v>
      </c>
      <c r="AU47" s="1">
        <f t="shared" si="16"/>
        <v>4.0367981015800094</v>
      </c>
      <c r="AV47" s="1">
        <f t="shared" si="17"/>
        <v>1.9376630887584045</v>
      </c>
    </row>
    <row r="48" spans="1:48" x14ac:dyDescent="0.2">
      <c r="A48">
        <v>45</v>
      </c>
      <c r="B48">
        <v>12</v>
      </c>
      <c r="C48" t="s">
        <v>228</v>
      </c>
      <c r="D48" t="s">
        <v>229</v>
      </c>
      <c r="E48" t="s">
        <v>230</v>
      </c>
      <c r="F48">
        <v>-3.4934225474529705E-3</v>
      </c>
      <c r="G48">
        <v>5.2418012429202867E-4</v>
      </c>
      <c r="H48">
        <v>-1.5749833048464181E-3</v>
      </c>
      <c r="I48">
        <v>1.0301878208171522E-3</v>
      </c>
      <c r="K48" s="30" t="s">
        <v>230</v>
      </c>
      <c r="L48" s="30"/>
      <c r="M48" s="37">
        <f t="shared" si="20"/>
        <v>1.7483786954673161E-4</v>
      </c>
      <c r="N48" s="37">
        <f t="shared" si="21"/>
        <v>8.7268949033251033E-4</v>
      </c>
      <c r="O48" s="34">
        <f t="shared" si="22"/>
        <v>3.3364893438501283E-3</v>
      </c>
      <c r="P48" s="34">
        <f t="shared" si="23"/>
        <v>1.090861862915638E-2</v>
      </c>
      <c r="Q48" s="31" t="s">
        <v>230</v>
      </c>
      <c r="R48" s="32">
        <f t="shared" si="24"/>
        <v>1.4245107973006509E-2</v>
      </c>
      <c r="S48">
        <f t="shared" si="18"/>
        <v>0.1709412956760781</v>
      </c>
      <c r="U48" s="13">
        <v>12</v>
      </c>
      <c r="V48" s="13" t="s">
        <v>309</v>
      </c>
      <c r="W48" s="13" t="s">
        <v>310</v>
      </c>
      <c r="X48" s="13">
        <v>36</v>
      </c>
      <c r="Y48" s="13" t="s">
        <v>42</v>
      </c>
      <c r="Z48" s="13" t="s">
        <v>311</v>
      </c>
      <c r="AA48" s="13">
        <v>1</v>
      </c>
      <c r="AB48" s="13" t="s">
        <v>332</v>
      </c>
      <c r="AC48" s="13" t="s">
        <v>310</v>
      </c>
      <c r="AD48" s="13">
        <v>24</v>
      </c>
      <c r="AE48" s="13" t="s">
        <v>312</v>
      </c>
      <c r="AF48" s="1">
        <f t="shared" si="25"/>
        <v>0.12011361637860461</v>
      </c>
      <c r="AG48" s="1">
        <f t="shared" si="15"/>
        <v>8.0075744252403075E-2</v>
      </c>
      <c r="AH48" s="1"/>
      <c r="AI48" s="1"/>
      <c r="AJ48" s="13">
        <f t="shared" si="26"/>
        <v>12</v>
      </c>
      <c r="AK48" s="13" t="s">
        <v>41</v>
      </c>
      <c r="AL48" s="13" t="str">
        <f t="shared" si="27"/>
        <v>+</v>
      </c>
      <c r="AM48" s="13">
        <f t="shared" si="28"/>
        <v>24</v>
      </c>
      <c r="AN48" s="13" t="str">
        <f t="shared" si="29"/>
        <v>H2</v>
      </c>
      <c r="AO48" s="13" t="str">
        <f t="shared" si="30"/>
        <v>=</v>
      </c>
      <c r="AP48" s="13">
        <f t="shared" si="31"/>
        <v>1</v>
      </c>
      <c r="AQ48" s="13" t="str">
        <f t="shared" si="32"/>
        <v>C12H24</v>
      </c>
      <c r="AR48" s="13" t="str">
        <f t="shared" si="33"/>
        <v>+</v>
      </c>
      <c r="AS48" s="13">
        <f t="shared" si="19"/>
        <v>12</v>
      </c>
      <c r="AT48" s="13" t="str">
        <f t="shared" si="34"/>
        <v>H2O</v>
      </c>
      <c r="AU48" s="1">
        <f t="shared" si="16"/>
        <v>0.2618068470997531</v>
      </c>
      <c r="AV48" s="1">
        <f t="shared" si="17"/>
        <v>0.13090342354987655</v>
      </c>
    </row>
    <row r="49" spans="1:48" x14ac:dyDescent="0.2">
      <c r="A49">
        <v>46</v>
      </c>
      <c r="B49">
        <v>12</v>
      </c>
      <c r="C49" t="s">
        <v>231</v>
      </c>
      <c r="D49" t="s">
        <v>232</v>
      </c>
      <c r="E49" t="s">
        <v>233</v>
      </c>
      <c r="F49">
        <v>-1.2313118102186974E-2</v>
      </c>
      <c r="G49">
        <v>1.8475554243882048E-3</v>
      </c>
      <c r="H49">
        <v>-5.5512767717394891E-3</v>
      </c>
      <c r="I49">
        <v>3.6310592643322356E-3</v>
      </c>
      <c r="K49" s="30" t="s">
        <v>233</v>
      </c>
      <c r="L49" s="30"/>
      <c r="M49" s="37">
        <f t="shared" si="20"/>
        <v>6.1624361416950739E-4</v>
      </c>
      <c r="N49" s="37">
        <f t="shared" si="21"/>
        <v>3.0759315871582869E-3</v>
      </c>
      <c r="O49" s="34">
        <f t="shared" si="22"/>
        <v>1.1759982303734767E-2</v>
      </c>
      <c r="P49" s="34">
        <f t="shared" si="23"/>
        <v>3.8449144839478588E-2</v>
      </c>
      <c r="Q49" s="31" t="s">
        <v>233</v>
      </c>
      <c r="R49" s="32">
        <f t="shared" si="24"/>
        <v>5.0209127143213357E-2</v>
      </c>
      <c r="S49">
        <f t="shared" si="18"/>
        <v>0.60250952571856031</v>
      </c>
      <c r="U49" s="13">
        <v>12</v>
      </c>
      <c r="V49" s="13" t="s">
        <v>309</v>
      </c>
      <c r="W49" s="13" t="s">
        <v>310</v>
      </c>
      <c r="X49" s="13">
        <v>33</v>
      </c>
      <c r="Y49" s="13" t="s">
        <v>42</v>
      </c>
      <c r="Z49" s="13" t="s">
        <v>311</v>
      </c>
      <c r="AA49" s="13">
        <v>1</v>
      </c>
      <c r="AB49" s="13" t="s">
        <v>333</v>
      </c>
      <c r="AC49" s="13" t="s">
        <v>310</v>
      </c>
      <c r="AD49" s="13">
        <v>24</v>
      </c>
      <c r="AE49" s="13" t="s">
        <v>312</v>
      </c>
      <c r="AF49" s="1">
        <f t="shared" si="25"/>
        <v>0.3880794160232473</v>
      </c>
      <c r="AG49" s="1">
        <f t="shared" si="15"/>
        <v>0.28223957528963439</v>
      </c>
      <c r="AH49" s="1"/>
      <c r="AI49" s="1"/>
      <c r="AJ49" s="13">
        <f t="shared" si="26"/>
        <v>12</v>
      </c>
      <c r="AK49" s="13" t="s">
        <v>41</v>
      </c>
      <c r="AL49" s="13" t="str">
        <f t="shared" si="27"/>
        <v>+</v>
      </c>
      <c r="AM49" s="13">
        <f t="shared" si="28"/>
        <v>21</v>
      </c>
      <c r="AN49" s="13" t="str">
        <f t="shared" si="29"/>
        <v>H2</v>
      </c>
      <c r="AO49" s="13" t="str">
        <f t="shared" si="30"/>
        <v>=</v>
      </c>
      <c r="AP49" s="13">
        <f t="shared" si="31"/>
        <v>1</v>
      </c>
      <c r="AQ49" s="13" t="str">
        <f t="shared" si="32"/>
        <v>C12H18</v>
      </c>
      <c r="AR49" s="13" t="str">
        <f t="shared" si="33"/>
        <v>+</v>
      </c>
      <c r="AS49" s="13">
        <f t="shared" si="19"/>
        <v>12</v>
      </c>
      <c r="AT49" s="13" t="str">
        <f t="shared" si="34"/>
        <v>H2O</v>
      </c>
      <c r="AU49" s="1">
        <f t="shared" si="16"/>
        <v>0.80743204162905036</v>
      </c>
      <c r="AV49" s="1">
        <f t="shared" si="17"/>
        <v>0.46138973807374306</v>
      </c>
    </row>
    <row r="50" spans="1:48" x14ac:dyDescent="0.2">
      <c r="A50">
        <v>47</v>
      </c>
      <c r="B50">
        <v>12</v>
      </c>
      <c r="C50">
        <v>0</v>
      </c>
      <c r="D50">
        <v>0</v>
      </c>
      <c r="E50" t="s">
        <v>355</v>
      </c>
      <c r="F50">
        <v>-3.1999112466624007E-3</v>
      </c>
      <c r="G50">
        <v>4.8013941978530101E-4</v>
      </c>
      <c r="H50">
        <v>-1.442655940420962E-3</v>
      </c>
      <c r="I50">
        <v>9.436332276526059E-4</v>
      </c>
      <c r="K50" s="30" t="s">
        <v>355</v>
      </c>
      <c r="L50" s="30"/>
      <c r="M50" s="37">
        <f t="shared" si="20"/>
        <v>1.601482951190609E-4</v>
      </c>
      <c r="N50" s="37">
        <f t="shared" si="21"/>
        <v>7.993676336105097E-4</v>
      </c>
      <c r="O50" s="34">
        <f t="shared" si="22"/>
        <v>3.0561632985220788E-3</v>
      </c>
      <c r="P50" s="34">
        <f t="shared" si="23"/>
        <v>9.9920954201313718E-3</v>
      </c>
      <c r="Q50" s="31" t="s">
        <v>355</v>
      </c>
      <c r="R50" s="32">
        <f t="shared" si="24"/>
        <v>1.3048258718653451E-2</v>
      </c>
      <c r="S50">
        <f t="shared" si="18"/>
        <v>0.15657910462384142</v>
      </c>
      <c r="U50" s="13">
        <v>12</v>
      </c>
      <c r="V50" s="13" t="s">
        <v>309</v>
      </c>
      <c r="W50" s="13" t="s">
        <v>310</v>
      </c>
      <c r="X50" s="13">
        <v>36</v>
      </c>
      <c r="Y50" s="13" t="s">
        <v>42</v>
      </c>
      <c r="Z50" s="13" t="s">
        <v>311</v>
      </c>
      <c r="AA50" s="13">
        <v>1</v>
      </c>
      <c r="AB50" s="13" t="s">
        <v>332</v>
      </c>
      <c r="AC50" s="13" t="s">
        <v>310</v>
      </c>
      <c r="AD50" s="13">
        <v>24</v>
      </c>
      <c r="AE50" s="13" t="s">
        <v>312</v>
      </c>
      <c r="AF50" s="1">
        <f t="shared" si="25"/>
        <v>0.11002187874679484</v>
      </c>
      <c r="AG50" s="1">
        <f t="shared" si="15"/>
        <v>7.3347919164529887E-2</v>
      </c>
      <c r="AH50" s="1"/>
      <c r="AI50" s="1"/>
      <c r="AJ50" s="13">
        <f t="shared" si="26"/>
        <v>12</v>
      </c>
      <c r="AK50" s="13" t="s">
        <v>41</v>
      </c>
      <c r="AL50" s="13" t="str">
        <f t="shared" si="27"/>
        <v>+</v>
      </c>
      <c r="AM50" s="13">
        <f t="shared" si="28"/>
        <v>24</v>
      </c>
      <c r="AN50" s="13" t="str">
        <f t="shared" si="29"/>
        <v>H2</v>
      </c>
      <c r="AO50" s="13" t="str">
        <f t="shared" si="30"/>
        <v>=</v>
      </c>
      <c r="AP50" s="13">
        <f t="shared" si="31"/>
        <v>1</v>
      </c>
      <c r="AQ50" s="13" t="str">
        <f t="shared" si="32"/>
        <v>C12H24</v>
      </c>
      <c r="AR50" s="13" t="str">
        <f t="shared" si="33"/>
        <v>+</v>
      </c>
      <c r="AS50" s="13">
        <f t="shared" si="19"/>
        <v>12</v>
      </c>
      <c r="AT50" s="13" t="str">
        <f t="shared" si="34"/>
        <v>H2O</v>
      </c>
      <c r="AU50" s="1">
        <f t="shared" si="16"/>
        <v>0.23981029008315291</v>
      </c>
      <c r="AV50" s="1">
        <f t="shared" si="17"/>
        <v>0.11990514504157646</v>
      </c>
    </row>
    <row r="51" spans="1:48" x14ac:dyDescent="0.2">
      <c r="A51">
        <v>48</v>
      </c>
      <c r="B51">
        <v>13</v>
      </c>
      <c r="C51" t="s">
        <v>234</v>
      </c>
      <c r="D51" t="s">
        <v>235</v>
      </c>
      <c r="E51" t="s">
        <v>236</v>
      </c>
      <c r="F51">
        <v>-1.3918125097542653E-2</v>
      </c>
      <c r="G51">
        <v>2.0883830811881275E-3</v>
      </c>
      <c r="H51">
        <v>-6.2748821150696238E-3</v>
      </c>
      <c r="I51">
        <v>4.1043654952510455E-3</v>
      </c>
      <c r="K51" s="30" t="s">
        <v>236</v>
      </c>
      <c r="L51" s="30"/>
      <c r="M51" s="37">
        <f t="shared" si="20"/>
        <v>6.9657057143386212E-4</v>
      </c>
      <c r="N51" s="37">
        <f t="shared" si="21"/>
        <v>3.4768772837440831E-3</v>
      </c>
      <c r="O51" s="34">
        <f t="shared" si="22"/>
        <v>1.2270358527565724E-2</v>
      </c>
      <c r="P51" s="34">
        <f t="shared" si="23"/>
        <v>4.0117814812431721E-2</v>
      </c>
      <c r="Q51" s="31" t="s">
        <v>236</v>
      </c>
      <c r="R51" s="32">
        <f t="shared" si="24"/>
        <v>5.2388173339997443E-2</v>
      </c>
      <c r="S51">
        <f t="shared" si="18"/>
        <v>0.68104625341996672</v>
      </c>
      <c r="U51" s="13">
        <v>13</v>
      </c>
      <c r="V51" s="13" t="s">
        <v>309</v>
      </c>
      <c r="W51" s="13" t="s">
        <v>310</v>
      </c>
      <c r="X51" s="13">
        <v>40</v>
      </c>
      <c r="Y51" s="13" t="s">
        <v>42</v>
      </c>
      <c r="Z51" s="13" t="s">
        <v>311</v>
      </c>
      <c r="AA51" s="13">
        <v>1</v>
      </c>
      <c r="AB51" s="13" t="s">
        <v>241</v>
      </c>
      <c r="AC51" s="13" t="s">
        <v>310</v>
      </c>
      <c r="AD51" s="13">
        <v>26</v>
      </c>
      <c r="AE51" s="13" t="s">
        <v>312</v>
      </c>
      <c r="AF51" s="1">
        <f t="shared" si="25"/>
        <v>0.49081434110262895</v>
      </c>
      <c r="AG51" s="1">
        <f t="shared" si="15"/>
        <v>0.31902932171670884</v>
      </c>
      <c r="AH51" s="1"/>
      <c r="AI51" s="1"/>
      <c r="AJ51" s="13">
        <f t="shared" si="26"/>
        <v>13</v>
      </c>
      <c r="AK51" s="13" t="s">
        <v>41</v>
      </c>
      <c r="AL51" s="13" t="str">
        <f t="shared" si="27"/>
        <v>+</v>
      </c>
      <c r="AM51" s="13">
        <f t="shared" si="28"/>
        <v>27</v>
      </c>
      <c r="AN51" s="13" t="str">
        <f t="shared" si="29"/>
        <v>H2</v>
      </c>
      <c r="AO51" s="13" t="str">
        <f t="shared" si="30"/>
        <v>=</v>
      </c>
      <c r="AP51" s="13">
        <f t="shared" si="31"/>
        <v>1</v>
      </c>
      <c r="AQ51" s="13" t="str">
        <f t="shared" si="32"/>
        <v>C13H28</v>
      </c>
      <c r="AR51" s="13" t="str">
        <f t="shared" si="33"/>
        <v>+</v>
      </c>
      <c r="AS51" s="13">
        <f t="shared" si="19"/>
        <v>13</v>
      </c>
      <c r="AT51" s="13" t="str">
        <f t="shared" si="34"/>
        <v>H2O</v>
      </c>
      <c r="AU51" s="1">
        <f t="shared" si="16"/>
        <v>1.0831809999356565</v>
      </c>
      <c r="AV51" s="1">
        <f t="shared" si="17"/>
        <v>0.52153159256161241</v>
      </c>
    </row>
    <row r="52" spans="1:48" x14ac:dyDescent="0.2">
      <c r="A52">
        <v>49</v>
      </c>
      <c r="B52">
        <v>13</v>
      </c>
      <c r="C52" t="s">
        <v>237</v>
      </c>
      <c r="D52" t="s">
        <v>238</v>
      </c>
      <c r="E52" t="s">
        <v>239</v>
      </c>
      <c r="F52">
        <v>-1.2027582651961365E-3</v>
      </c>
      <c r="G52">
        <v>1.8047114781561161E-4</v>
      </c>
      <c r="H52">
        <v>-5.4225452596082084E-4</v>
      </c>
      <c r="I52">
        <v>3.5468566981558558E-4</v>
      </c>
      <c r="K52" s="30" t="s">
        <v>239</v>
      </c>
      <c r="L52" s="30"/>
      <c r="M52" s="37">
        <f t="shared" si="20"/>
        <v>6.0195321295997961E-5</v>
      </c>
      <c r="N52" s="37">
        <f t="shared" si="21"/>
        <v>3.0046021721950346E-4</v>
      </c>
      <c r="O52" s="34">
        <f t="shared" si="22"/>
        <v>1.0603637366756564E-3</v>
      </c>
      <c r="P52" s="34">
        <f t="shared" si="23"/>
        <v>3.4668486602250402E-3</v>
      </c>
      <c r="Q52" s="31" t="s">
        <v>239</v>
      </c>
      <c r="R52" s="32">
        <f t="shared" si="24"/>
        <v>4.5272123969006964E-3</v>
      </c>
      <c r="S52">
        <f t="shared" si="18"/>
        <v>5.8853761159709056E-2</v>
      </c>
      <c r="U52" s="13">
        <v>13</v>
      </c>
      <c r="V52" s="13" t="s">
        <v>309</v>
      </c>
      <c r="W52" s="13" t="s">
        <v>310</v>
      </c>
      <c r="X52" s="13">
        <v>39</v>
      </c>
      <c r="Y52" s="13" t="s">
        <v>42</v>
      </c>
      <c r="Z52" s="13" t="s">
        <v>311</v>
      </c>
      <c r="AA52" s="13">
        <v>1</v>
      </c>
      <c r="AB52" s="13" t="s">
        <v>334</v>
      </c>
      <c r="AC52" s="13" t="s">
        <v>310</v>
      </c>
      <c r="AD52" s="13">
        <v>26</v>
      </c>
      <c r="AE52" s="13" t="s">
        <v>312</v>
      </c>
      <c r="AF52" s="1">
        <f t="shared" si="25"/>
        <v>4.1354185730350601E-2</v>
      </c>
      <c r="AG52" s="1">
        <f t="shared" si="15"/>
        <v>2.7569457153567067E-2</v>
      </c>
      <c r="AH52" s="1"/>
      <c r="AI52" s="1"/>
      <c r="AJ52" s="13">
        <f t="shared" si="26"/>
        <v>13</v>
      </c>
      <c r="AK52" s="13" t="s">
        <v>41</v>
      </c>
      <c r="AL52" s="13" t="str">
        <f t="shared" si="27"/>
        <v>+</v>
      </c>
      <c r="AM52" s="13">
        <f t="shared" si="28"/>
        <v>26</v>
      </c>
      <c r="AN52" s="13" t="str">
        <f t="shared" si="29"/>
        <v>H2</v>
      </c>
      <c r="AO52" s="13" t="str">
        <f t="shared" si="30"/>
        <v>=</v>
      </c>
      <c r="AP52" s="13">
        <f t="shared" si="31"/>
        <v>1</v>
      </c>
      <c r="AQ52" s="13" t="str">
        <f t="shared" si="32"/>
        <v>C13H26</v>
      </c>
      <c r="AR52" s="13" t="str">
        <f t="shared" si="33"/>
        <v>+</v>
      </c>
      <c r="AS52" s="13">
        <f t="shared" si="19"/>
        <v>13</v>
      </c>
      <c r="AT52" s="13" t="str">
        <f t="shared" si="34"/>
        <v>H2O</v>
      </c>
      <c r="AU52" s="1">
        <f t="shared" si="16"/>
        <v>9.0138065165851045E-2</v>
      </c>
      <c r="AV52" s="1">
        <f t="shared" si="17"/>
        <v>4.5069032582925522E-2</v>
      </c>
    </row>
    <row r="53" spans="1:48" x14ac:dyDescent="0.2">
      <c r="A53">
        <v>50</v>
      </c>
      <c r="B53">
        <v>13</v>
      </c>
      <c r="C53" t="s">
        <v>240</v>
      </c>
      <c r="D53" t="s">
        <v>241</v>
      </c>
      <c r="E53" t="s">
        <v>242</v>
      </c>
      <c r="F53">
        <v>-2.419239381759565E-2</v>
      </c>
      <c r="G53">
        <v>5.3297023133311826E-3</v>
      </c>
      <c r="H53">
        <v>7.0289824377970878E-2</v>
      </c>
      <c r="I53">
        <v>7.4983646350635438E-3</v>
      </c>
      <c r="K53" s="30" t="s">
        <v>242</v>
      </c>
      <c r="L53" s="30"/>
      <c r="M53" s="37">
        <f t="shared" si="20"/>
        <v>2.9104629315716175E-3</v>
      </c>
      <c r="N53" s="37">
        <f t="shared" si="21"/>
        <v>1.4527347072860632E-2</v>
      </c>
      <c r="O53" s="34">
        <f t="shared" si="22"/>
        <v>5.1268923948453879E-2</v>
      </c>
      <c r="P53" s="34">
        <f t="shared" si="23"/>
        <v>0.16762323545608424</v>
      </c>
      <c r="Q53" s="31" t="s">
        <v>242</v>
      </c>
      <c r="R53" s="32">
        <f t="shared" si="24"/>
        <v>0.2188921594045381</v>
      </c>
      <c r="S53">
        <f t="shared" si="18"/>
        <v>2.8455980722589951</v>
      </c>
      <c r="U53" s="13">
        <v>13</v>
      </c>
      <c r="V53" s="13" t="s">
        <v>309</v>
      </c>
      <c r="W53" s="13" t="s">
        <v>310</v>
      </c>
      <c r="X53" s="13">
        <v>40</v>
      </c>
      <c r="Y53" s="13" t="s">
        <v>42</v>
      </c>
      <c r="Z53" s="13" t="s">
        <v>311</v>
      </c>
      <c r="AA53" s="13">
        <v>1</v>
      </c>
      <c r="AB53" s="13" t="s">
        <v>241</v>
      </c>
      <c r="AC53" s="13" t="s">
        <v>310</v>
      </c>
      <c r="AD53" s="13">
        <v>26</v>
      </c>
      <c r="AE53" s="13" t="s">
        <v>312</v>
      </c>
      <c r="AF53" s="1">
        <f t="shared" si="25"/>
        <v>2.0507569579381553</v>
      </c>
      <c r="AG53" s="1">
        <f t="shared" si="15"/>
        <v>1.3329920226598009</v>
      </c>
      <c r="AH53" s="1"/>
      <c r="AI53" s="1"/>
      <c r="AJ53" s="13">
        <f t="shared" si="26"/>
        <v>13</v>
      </c>
      <c r="AK53" s="13" t="s">
        <v>41</v>
      </c>
      <c r="AL53" s="13" t="str">
        <f t="shared" si="27"/>
        <v>+</v>
      </c>
      <c r="AM53" s="13">
        <f t="shared" si="28"/>
        <v>27</v>
      </c>
      <c r="AN53" s="13" t="str">
        <f t="shared" si="29"/>
        <v>H2</v>
      </c>
      <c r="AO53" s="13" t="str">
        <f t="shared" si="30"/>
        <v>=</v>
      </c>
      <c r="AP53" s="13">
        <f t="shared" si="31"/>
        <v>1</v>
      </c>
      <c r="AQ53" s="13" t="str">
        <f t="shared" si="32"/>
        <v>C13H28</v>
      </c>
      <c r="AR53" s="13" t="str">
        <f t="shared" si="33"/>
        <v>+</v>
      </c>
      <c r="AS53" s="13">
        <f t="shared" si="19"/>
        <v>13</v>
      </c>
      <c r="AT53" s="13" t="str">
        <f t="shared" si="34"/>
        <v>H2O</v>
      </c>
      <c r="AU53" s="1">
        <f t="shared" si="16"/>
        <v>4.5258273573142747</v>
      </c>
      <c r="AV53" s="1">
        <f t="shared" si="17"/>
        <v>2.179102060929095</v>
      </c>
    </row>
    <row r="54" spans="1:48" x14ac:dyDescent="0.2">
      <c r="A54">
        <v>51</v>
      </c>
      <c r="B54">
        <v>14</v>
      </c>
      <c r="C54" t="s">
        <v>243</v>
      </c>
      <c r="D54" t="s">
        <v>244</v>
      </c>
      <c r="E54" t="s">
        <v>245</v>
      </c>
      <c r="F54">
        <v>-3.4094102548353792E-3</v>
      </c>
      <c r="G54">
        <v>5.1157427046582757E-4</v>
      </c>
      <c r="H54">
        <v>-1.5371069940144928E-3</v>
      </c>
      <c r="I54">
        <v>1.0054131365417923E-3</v>
      </c>
      <c r="K54" s="30" t="s">
        <v>245</v>
      </c>
      <c r="L54" s="30"/>
      <c r="M54" s="37">
        <f t="shared" si="20"/>
        <v>1.7063324498228961E-4</v>
      </c>
      <c r="N54" s="37">
        <f t="shared" si="21"/>
        <v>8.5170243714034299E-4</v>
      </c>
      <c r="O54" s="34">
        <f t="shared" si="22"/>
        <v>2.7910723643531656E-3</v>
      </c>
      <c r="P54" s="34">
        <f t="shared" si="23"/>
        <v>9.1253832550751025E-3</v>
      </c>
      <c r="Q54" s="31" t="s">
        <v>245</v>
      </c>
      <c r="R54" s="32">
        <f t="shared" si="24"/>
        <v>1.1916455619428269E-2</v>
      </c>
      <c r="S54">
        <f t="shared" si="18"/>
        <v>0.16683037867199577</v>
      </c>
      <c r="U54" s="13">
        <v>14</v>
      </c>
      <c r="V54" s="13" t="s">
        <v>309</v>
      </c>
      <c r="W54" s="13" t="s">
        <v>310</v>
      </c>
      <c r="X54" s="13">
        <v>43</v>
      </c>
      <c r="Y54" s="13" t="s">
        <v>42</v>
      </c>
      <c r="Z54" s="13" t="s">
        <v>311</v>
      </c>
      <c r="AA54" s="13">
        <v>1</v>
      </c>
      <c r="AB54" s="13" t="s">
        <v>247</v>
      </c>
      <c r="AC54" s="13" t="s">
        <v>310</v>
      </c>
      <c r="AD54" s="13">
        <v>28</v>
      </c>
      <c r="AE54" s="13" t="s">
        <v>312</v>
      </c>
      <c r="AF54" s="1">
        <f t="shared" si="25"/>
        <v>0.12001611166718612</v>
      </c>
      <c r="AG54" s="1">
        <f t="shared" si="15"/>
        <v>7.8150026201888642E-2</v>
      </c>
      <c r="AH54" s="1"/>
      <c r="AI54" s="1"/>
      <c r="AJ54" s="13">
        <f t="shared" si="26"/>
        <v>14</v>
      </c>
      <c r="AK54" s="13" t="s">
        <v>41</v>
      </c>
      <c r="AL54" s="13" t="str">
        <f t="shared" si="27"/>
        <v>+</v>
      </c>
      <c r="AM54" s="13">
        <f t="shared" si="28"/>
        <v>29</v>
      </c>
      <c r="AN54" s="13" t="str">
        <f t="shared" si="29"/>
        <v>H2</v>
      </c>
      <c r="AO54" s="13" t="str">
        <f t="shared" si="30"/>
        <v>=</v>
      </c>
      <c r="AP54" s="13">
        <f t="shared" si="31"/>
        <v>1</v>
      </c>
      <c r="AQ54" s="13" t="str">
        <f t="shared" si="32"/>
        <v>C14H30</v>
      </c>
      <c r="AR54" s="13" t="str">
        <f t="shared" si="33"/>
        <v>+</v>
      </c>
      <c r="AS54" s="13">
        <f t="shared" si="19"/>
        <v>14</v>
      </c>
      <c r="AT54" s="13" t="str">
        <f t="shared" si="34"/>
        <v>H2O</v>
      </c>
      <c r="AU54" s="1">
        <f t="shared" si="16"/>
        <v>0.26463611439717799</v>
      </c>
      <c r="AV54" s="1">
        <f t="shared" si="17"/>
        <v>0.12775536557105144</v>
      </c>
    </row>
    <row r="55" spans="1:48" x14ac:dyDescent="0.2">
      <c r="A55">
        <v>52</v>
      </c>
      <c r="B55">
        <v>14</v>
      </c>
      <c r="C55" t="s">
        <v>246</v>
      </c>
      <c r="D55" t="s">
        <v>247</v>
      </c>
      <c r="E55" t="s">
        <v>248</v>
      </c>
      <c r="F55">
        <v>-2.5575304120506896E-2</v>
      </c>
      <c r="G55">
        <v>5.6343641957446108E-3</v>
      </c>
      <c r="H55">
        <v>7.4307803047424445E-2</v>
      </c>
      <c r="I55">
        <v>7.9269938061575056E-3</v>
      </c>
      <c r="K55" s="30" t="s">
        <v>248</v>
      </c>
      <c r="L55" s="30"/>
      <c r="M55" s="37">
        <f t="shared" si="20"/>
        <v>3.0768337836939211E-3</v>
      </c>
      <c r="N55" s="37">
        <f t="shared" si="21"/>
        <v>1.535777411089995E-2</v>
      </c>
      <c r="O55" s="34">
        <f t="shared" si="22"/>
        <v>5.0328209747564856E-2</v>
      </c>
      <c r="P55" s="34">
        <f t="shared" si="23"/>
        <v>0.16454757975964232</v>
      </c>
      <c r="Q55" s="31" t="s">
        <v>248</v>
      </c>
      <c r="R55" s="32">
        <f t="shared" si="24"/>
        <v>0.21487578950720718</v>
      </c>
      <c r="S55">
        <f t="shared" si="18"/>
        <v>3.0082610531009006</v>
      </c>
      <c r="U55" s="13">
        <v>14</v>
      </c>
      <c r="V55" s="13" t="s">
        <v>309</v>
      </c>
      <c r="W55" s="13" t="s">
        <v>310</v>
      </c>
      <c r="X55" s="13">
        <v>43</v>
      </c>
      <c r="Y55" s="13" t="s">
        <v>42</v>
      </c>
      <c r="Z55" s="13" t="s">
        <v>311</v>
      </c>
      <c r="AA55" s="13">
        <v>1</v>
      </c>
      <c r="AB55" s="13" t="s">
        <v>247</v>
      </c>
      <c r="AC55" s="13" t="s">
        <v>310</v>
      </c>
      <c r="AD55" s="13">
        <v>28</v>
      </c>
      <c r="AE55" s="13" t="s">
        <v>312</v>
      </c>
      <c r="AF55" s="1">
        <f t="shared" si="25"/>
        <v>2.1641130191452889</v>
      </c>
      <c r="AG55" s="1">
        <f t="shared" si="15"/>
        <v>1.409189872931816</v>
      </c>
      <c r="AH55" s="1"/>
      <c r="AI55" s="1"/>
      <c r="AJ55" s="13">
        <f t="shared" si="26"/>
        <v>14</v>
      </c>
      <c r="AK55" s="13" t="s">
        <v>41</v>
      </c>
      <c r="AL55" s="13" t="str">
        <f t="shared" si="27"/>
        <v>+</v>
      </c>
      <c r="AM55" s="13">
        <f t="shared" si="28"/>
        <v>29</v>
      </c>
      <c r="AN55" s="13" t="str">
        <f t="shared" si="29"/>
        <v>H2</v>
      </c>
      <c r="AO55" s="13" t="str">
        <f t="shared" si="30"/>
        <v>=</v>
      </c>
      <c r="AP55" s="13">
        <f t="shared" si="31"/>
        <v>1</v>
      </c>
      <c r="AQ55" s="13" t="str">
        <f t="shared" si="32"/>
        <v>C14H30</v>
      </c>
      <c r="AR55" s="13" t="str">
        <f t="shared" si="33"/>
        <v>+</v>
      </c>
      <c r="AS55" s="13">
        <f t="shared" si="19"/>
        <v>14</v>
      </c>
      <c r="AT55" s="13" t="str">
        <f t="shared" si="34"/>
        <v>H2O</v>
      </c>
      <c r="AU55" s="1">
        <f t="shared" si="16"/>
        <v>4.7718798130296269</v>
      </c>
      <c r="AV55" s="1">
        <f t="shared" si="17"/>
        <v>2.3036661166349925</v>
      </c>
    </row>
    <row r="56" spans="1:48" x14ac:dyDescent="0.2">
      <c r="A56">
        <v>53</v>
      </c>
      <c r="B56">
        <v>15</v>
      </c>
      <c r="C56" t="s">
        <v>249</v>
      </c>
      <c r="D56" t="s">
        <v>250</v>
      </c>
      <c r="E56" t="s">
        <v>251</v>
      </c>
      <c r="F56">
        <v>-2.8812760165922045E-3</v>
      </c>
      <c r="G56">
        <v>4.323289267134596E-4</v>
      </c>
      <c r="H56">
        <v>-1.2990016412688795E-3</v>
      </c>
      <c r="I56">
        <v>8.4966974947533395E-4</v>
      </c>
      <c r="K56" s="30" t="s">
        <v>251</v>
      </c>
      <c r="L56" s="30"/>
      <c r="M56" s="37">
        <f t="shared" si="20"/>
        <v>1.4420132505423916E-4</v>
      </c>
      <c r="N56" s="37">
        <f t="shared" si="21"/>
        <v>7.1976958534844602E-4</v>
      </c>
      <c r="O56" s="34">
        <f t="shared" si="22"/>
        <v>2.2014735624947181E-3</v>
      </c>
      <c r="P56" s="34">
        <f t="shared" si="23"/>
        <v>7.1976958534844598E-3</v>
      </c>
      <c r="Q56" s="31" t="s">
        <v>251</v>
      </c>
      <c r="R56" s="32">
        <f t="shared" si="24"/>
        <v>9.3991694159791771E-3</v>
      </c>
      <c r="S56">
        <f t="shared" si="18"/>
        <v>0.14098754123968765</v>
      </c>
      <c r="U56" s="13">
        <v>15</v>
      </c>
      <c r="V56" s="13" t="s">
        <v>309</v>
      </c>
      <c r="W56" s="13" t="s">
        <v>310</v>
      </c>
      <c r="X56" s="13">
        <v>46</v>
      </c>
      <c r="Y56" s="13" t="s">
        <v>42</v>
      </c>
      <c r="Z56" s="13" t="s">
        <v>311</v>
      </c>
      <c r="AA56" s="13">
        <v>1</v>
      </c>
      <c r="AB56" s="13" t="s">
        <v>253</v>
      </c>
      <c r="AC56" s="13" t="s">
        <v>310</v>
      </c>
      <c r="AD56" s="13">
        <v>30</v>
      </c>
      <c r="AE56" s="13" t="s">
        <v>312</v>
      </c>
      <c r="AF56" s="1">
        <f t="shared" si="25"/>
        <v>0.10126778387475703</v>
      </c>
      <c r="AG56" s="1">
        <f t="shared" si="15"/>
        <v>6.6044206874841541E-2</v>
      </c>
      <c r="AH56" s="1"/>
      <c r="AI56" s="1"/>
      <c r="AJ56" s="13">
        <f t="shared" si="26"/>
        <v>15</v>
      </c>
      <c r="AK56" s="13" t="s">
        <v>41</v>
      </c>
      <c r="AL56" s="13" t="str">
        <f t="shared" si="27"/>
        <v>+</v>
      </c>
      <c r="AM56" s="13">
        <f t="shared" si="28"/>
        <v>31</v>
      </c>
      <c r="AN56" s="13" t="str">
        <f t="shared" si="29"/>
        <v>H2</v>
      </c>
      <c r="AO56" s="13" t="str">
        <f t="shared" si="30"/>
        <v>=</v>
      </c>
      <c r="AP56" s="13">
        <f t="shared" si="31"/>
        <v>1</v>
      </c>
      <c r="AQ56" s="13" t="str">
        <f t="shared" si="32"/>
        <v>C15H32</v>
      </c>
      <c r="AR56" s="13" t="str">
        <f t="shared" si="33"/>
        <v>+</v>
      </c>
      <c r="AS56" s="13">
        <f t="shared" si="19"/>
        <v>15</v>
      </c>
      <c r="AT56" s="13" t="str">
        <f t="shared" si="34"/>
        <v>H2O</v>
      </c>
      <c r="AU56" s="1">
        <f t="shared" si="16"/>
        <v>0.22312857145801826</v>
      </c>
      <c r="AV56" s="1">
        <f t="shared" si="17"/>
        <v>0.1079654378022669</v>
      </c>
    </row>
    <row r="57" spans="1:48" x14ac:dyDescent="0.2">
      <c r="A57">
        <v>54</v>
      </c>
      <c r="B57">
        <v>15</v>
      </c>
      <c r="C57" t="s">
        <v>252</v>
      </c>
      <c r="D57" t="s">
        <v>253</v>
      </c>
      <c r="E57" t="s">
        <v>254</v>
      </c>
      <c r="F57">
        <v>-2.4328977551216505E-2</v>
      </c>
      <c r="G57">
        <v>5.3597923757917679E-3</v>
      </c>
      <c r="H57">
        <v>7.0686661777423124E-2</v>
      </c>
      <c r="I57">
        <v>7.540698380356774E-3</v>
      </c>
      <c r="K57" s="30" t="s">
        <v>254</v>
      </c>
      <c r="L57" s="30"/>
      <c r="M57" s="37">
        <f t="shared" si="20"/>
        <v>2.9268946206701171E-3</v>
      </c>
      <c r="N57" s="37">
        <f t="shared" si="21"/>
        <v>1.4609364558099087E-2</v>
      </c>
      <c r="O57" s="34">
        <f t="shared" si="22"/>
        <v>4.4683924542230455E-2</v>
      </c>
      <c r="P57" s="34">
        <f t="shared" si="23"/>
        <v>0.14609364558099089</v>
      </c>
      <c r="Q57" s="31" t="s">
        <v>254</v>
      </c>
      <c r="R57" s="32">
        <f t="shared" si="24"/>
        <v>0.19077757012322133</v>
      </c>
      <c r="S57">
        <f>+R57*U57</f>
        <v>2.86166355184832</v>
      </c>
      <c r="U57" s="13">
        <v>15</v>
      </c>
      <c r="V57" s="13" t="s">
        <v>309</v>
      </c>
      <c r="W57" s="13" t="s">
        <v>310</v>
      </c>
      <c r="X57" s="13">
        <v>46</v>
      </c>
      <c r="Y57" s="13" t="s">
        <v>42</v>
      </c>
      <c r="Z57" s="13" t="s">
        <v>311</v>
      </c>
      <c r="AA57" s="13">
        <v>1</v>
      </c>
      <c r="AB57" s="13" t="s">
        <v>253</v>
      </c>
      <c r="AC57" s="13" t="s">
        <v>310</v>
      </c>
      <c r="AD57" s="13">
        <v>30</v>
      </c>
      <c r="AE57" s="13" t="s">
        <v>312</v>
      </c>
      <c r="AF57" s="1">
        <f t="shared" si="25"/>
        <v>2.0554605289426009</v>
      </c>
      <c r="AG57" s="1">
        <f t="shared" si="15"/>
        <v>1.3405177362669136</v>
      </c>
      <c r="AH57" s="1"/>
      <c r="AI57" s="1"/>
      <c r="AJ57" s="13">
        <f t="shared" si="26"/>
        <v>15</v>
      </c>
      <c r="AK57" s="13" t="s">
        <v>41</v>
      </c>
      <c r="AL57" s="13" t="str">
        <f t="shared" si="27"/>
        <v>+</v>
      </c>
      <c r="AM57" s="13">
        <f t="shared" si="28"/>
        <v>31</v>
      </c>
      <c r="AN57" s="13" t="str">
        <f t="shared" si="29"/>
        <v>H2</v>
      </c>
      <c r="AO57" s="13" t="str">
        <f t="shared" si="30"/>
        <v>=</v>
      </c>
      <c r="AP57" s="13">
        <f t="shared" si="31"/>
        <v>1</v>
      </c>
      <c r="AQ57" s="13" t="str">
        <f t="shared" si="32"/>
        <v>C15H32</v>
      </c>
      <c r="AR57" s="13" t="str">
        <f t="shared" si="33"/>
        <v>+</v>
      </c>
      <c r="AS57" s="13">
        <f t="shared" si="19"/>
        <v>15</v>
      </c>
      <c r="AT57" s="13" t="str">
        <f t="shared" si="34"/>
        <v>H2O</v>
      </c>
      <c r="AU57" s="1">
        <f t="shared" si="16"/>
        <v>4.5289030130107175</v>
      </c>
      <c r="AV57" s="1">
        <f t="shared" si="17"/>
        <v>2.1914046837148633</v>
      </c>
    </row>
    <row r="58" spans="1:48" x14ac:dyDescent="0.2">
      <c r="A58">
        <v>55</v>
      </c>
      <c r="B58">
        <v>16</v>
      </c>
      <c r="C58" t="s">
        <v>255</v>
      </c>
      <c r="D58" t="s">
        <v>256</v>
      </c>
      <c r="E58" t="s">
        <v>257</v>
      </c>
      <c r="F58">
        <v>-7.8376024885017919E-3</v>
      </c>
      <c r="G58">
        <v>1.176014464545586E-3</v>
      </c>
      <c r="H58">
        <v>-3.5335241877376198E-3</v>
      </c>
      <c r="I58">
        <v>2.3112585203721183E-3</v>
      </c>
      <c r="K58" s="30" t="s">
        <v>257</v>
      </c>
      <c r="L58" s="30"/>
      <c r="M58" s="37">
        <f t="shared" si="20"/>
        <v>3.9225421569540671E-4</v>
      </c>
      <c r="N58" s="37">
        <f t="shared" si="21"/>
        <v>1.9579061015983562E-3</v>
      </c>
      <c r="O58" s="34">
        <f t="shared" si="22"/>
        <v>5.6141384621405084E-3</v>
      </c>
      <c r="P58" s="34">
        <f t="shared" si="23"/>
        <v>1.8355369702484588E-2</v>
      </c>
      <c r="Q58" s="31" t="s">
        <v>257</v>
      </c>
      <c r="R58" s="32">
        <f t="shared" si="24"/>
        <v>2.3969508164625095E-2</v>
      </c>
      <c r="S58">
        <f t="shared" si="18"/>
        <v>0.38351213063400152</v>
      </c>
      <c r="U58" s="13">
        <v>16</v>
      </c>
      <c r="V58" s="13" t="s">
        <v>309</v>
      </c>
      <c r="W58" s="13" t="s">
        <v>310</v>
      </c>
      <c r="X58" s="13">
        <v>49</v>
      </c>
      <c r="Y58" s="13" t="s">
        <v>42</v>
      </c>
      <c r="Z58" s="13" t="s">
        <v>311</v>
      </c>
      <c r="AA58" s="13">
        <v>1</v>
      </c>
      <c r="AB58" s="13" t="s">
        <v>259</v>
      </c>
      <c r="AC58" s="13" t="s">
        <v>310</v>
      </c>
      <c r="AD58" s="13">
        <v>32</v>
      </c>
      <c r="AE58" s="13" t="s">
        <v>312</v>
      </c>
      <c r="AF58" s="1">
        <f t="shared" si="25"/>
        <v>0.2750927846448849</v>
      </c>
      <c r="AG58" s="1">
        <f t="shared" si="15"/>
        <v>0.17965243078849627</v>
      </c>
      <c r="AH58" s="1"/>
      <c r="AI58" s="1"/>
      <c r="AJ58" s="13">
        <f t="shared" si="26"/>
        <v>16</v>
      </c>
      <c r="AK58" s="13" t="s">
        <v>41</v>
      </c>
      <c r="AL58" s="13" t="str">
        <f t="shared" si="27"/>
        <v>+</v>
      </c>
      <c r="AM58" s="13">
        <f t="shared" si="28"/>
        <v>33</v>
      </c>
      <c r="AN58" s="13" t="str">
        <f t="shared" si="29"/>
        <v>H2</v>
      </c>
      <c r="AO58" s="13" t="str">
        <f t="shared" si="30"/>
        <v>=</v>
      </c>
      <c r="AP58" s="13">
        <f t="shared" si="31"/>
        <v>1</v>
      </c>
      <c r="AQ58" s="13" t="str">
        <f t="shared" si="32"/>
        <v>C16H34</v>
      </c>
      <c r="AR58" s="13" t="str">
        <f t="shared" si="33"/>
        <v>+</v>
      </c>
      <c r="AS58" s="13">
        <f t="shared" si="19"/>
        <v>16</v>
      </c>
      <c r="AT58" s="13" t="str">
        <f t="shared" si="34"/>
        <v>H2O</v>
      </c>
      <c r="AU58" s="1">
        <f t="shared" si="16"/>
        <v>0.60572720018199144</v>
      </c>
      <c r="AV58" s="1">
        <f t="shared" si="17"/>
        <v>0.2936859152397534</v>
      </c>
    </row>
    <row r="59" spans="1:48" x14ac:dyDescent="0.2">
      <c r="A59">
        <v>56</v>
      </c>
      <c r="B59">
        <v>16</v>
      </c>
      <c r="C59" t="s">
        <v>258</v>
      </c>
      <c r="D59" t="s">
        <v>259</v>
      </c>
      <c r="E59" t="s">
        <v>260</v>
      </c>
      <c r="F59">
        <v>-2.1033894977613144E-2</v>
      </c>
      <c r="G59">
        <v>4.6338696189301472E-3</v>
      </c>
      <c r="H59">
        <v>6.1112959515638811E-2</v>
      </c>
      <c r="I59">
        <v>6.5193967751575764E-3</v>
      </c>
      <c r="K59" s="30" t="s">
        <v>260</v>
      </c>
      <c r="L59" s="30"/>
      <c r="M59" s="37">
        <f t="shared" si="20"/>
        <v>2.5304801211688327E-3</v>
      </c>
      <c r="N59" s="37">
        <f t="shared" si="21"/>
        <v>1.2630692726721458E-2</v>
      </c>
      <c r="O59" s="34">
        <f t="shared" si="22"/>
        <v>3.6217496734228916E-2</v>
      </c>
      <c r="P59" s="34">
        <f t="shared" si="23"/>
        <v>0.11841274431301367</v>
      </c>
      <c r="Q59" s="31" t="s">
        <v>260</v>
      </c>
      <c r="R59" s="32">
        <f t="shared" si="24"/>
        <v>0.1546302410472426</v>
      </c>
      <c r="S59">
        <f t="shared" si="18"/>
        <v>2.4740838567558816</v>
      </c>
      <c r="U59" s="13">
        <v>16</v>
      </c>
      <c r="V59" s="13" t="s">
        <v>309</v>
      </c>
      <c r="W59" s="13" t="s">
        <v>310</v>
      </c>
      <c r="X59" s="13">
        <v>49</v>
      </c>
      <c r="Y59" s="13" t="s">
        <v>42</v>
      </c>
      <c r="Z59" s="13" t="s">
        <v>311</v>
      </c>
      <c r="AA59" s="13">
        <v>1</v>
      </c>
      <c r="AB59" s="13" t="s">
        <v>259</v>
      </c>
      <c r="AC59" s="13" t="s">
        <v>310</v>
      </c>
      <c r="AD59" s="13">
        <v>32</v>
      </c>
      <c r="AE59" s="13" t="s">
        <v>312</v>
      </c>
      <c r="AF59" s="1">
        <f t="shared" si="25"/>
        <v>1.774657339977217</v>
      </c>
      <c r="AG59" s="1">
        <f t="shared" si="15"/>
        <v>1.1589598954953253</v>
      </c>
      <c r="AH59" s="1"/>
      <c r="AI59" s="1"/>
      <c r="AJ59" s="13">
        <f t="shared" si="26"/>
        <v>16</v>
      </c>
      <c r="AK59" s="13" t="s">
        <v>41</v>
      </c>
      <c r="AL59" s="13" t="str">
        <f t="shared" si="27"/>
        <v>+</v>
      </c>
      <c r="AM59" s="13">
        <f t="shared" si="28"/>
        <v>33</v>
      </c>
      <c r="AN59" s="13" t="str">
        <f t="shared" si="29"/>
        <v>H2</v>
      </c>
      <c r="AO59" s="13" t="str">
        <f t="shared" si="30"/>
        <v>=</v>
      </c>
      <c r="AP59" s="13">
        <f t="shared" si="31"/>
        <v>1</v>
      </c>
      <c r="AQ59" s="13" t="str">
        <f t="shared" si="32"/>
        <v>C16H34</v>
      </c>
      <c r="AR59" s="13" t="str">
        <f t="shared" si="33"/>
        <v>+</v>
      </c>
      <c r="AS59" s="13">
        <f t="shared" si="19"/>
        <v>16</v>
      </c>
      <c r="AT59" s="13" t="str">
        <f t="shared" si="34"/>
        <v>H2O</v>
      </c>
      <c r="AU59" s="1">
        <f t="shared" si="16"/>
        <v>3.9076205623294511</v>
      </c>
      <c r="AV59" s="1">
        <f t="shared" si="17"/>
        <v>1.8946039090082187</v>
      </c>
    </row>
    <row r="60" spans="1:48" x14ac:dyDescent="0.2">
      <c r="A60">
        <v>57</v>
      </c>
      <c r="B60">
        <v>17</v>
      </c>
      <c r="C60" t="s">
        <v>261</v>
      </c>
      <c r="D60" t="s">
        <v>262</v>
      </c>
      <c r="E60" t="s">
        <v>263</v>
      </c>
      <c r="F60">
        <v>-3.0846602059987128E-3</v>
      </c>
      <c r="G60">
        <v>4.6284626271676267E-4</v>
      </c>
      <c r="H60">
        <v>-1.3906958747702093E-3</v>
      </c>
      <c r="I60">
        <v>9.0964643767359253E-4</v>
      </c>
      <c r="K60" s="30" t="s">
        <v>263</v>
      </c>
      <c r="L60" s="30"/>
      <c r="M60" s="37">
        <f t="shared" si="20"/>
        <v>1.5438024211689139E-4</v>
      </c>
      <c r="N60" s="37">
        <f t="shared" si="21"/>
        <v>7.7057685019657159E-4</v>
      </c>
      <c r="O60" s="34">
        <f t="shared" si="22"/>
        <v>2.0795926732216545E-3</v>
      </c>
      <c r="P60" s="34">
        <f t="shared" si="23"/>
        <v>6.799207501734455E-3</v>
      </c>
      <c r="Q60" s="31" t="s">
        <v>263</v>
      </c>
      <c r="R60" s="32">
        <f t="shared" si="24"/>
        <v>8.8788001749561096E-3</v>
      </c>
      <c r="S60">
        <f t="shared" si="18"/>
        <v>0.15093960297425385</v>
      </c>
      <c r="U60" s="13">
        <v>17</v>
      </c>
      <c r="V60" s="13" t="s">
        <v>309</v>
      </c>
      <c r="W60" s="13" t="s">
        <v>310</v>
      </c>
      <c r="X60" s="13">
        <v>52</v>
      </c>
      <c r="Y60" s="13" t="s">
        <v>42</v>
      </c>
      <c r="Z60" s="13" t="s">
        <v>311</v>
      </c>
      <c r="AA60" s="13">
        <v>1</v>
      </c>
      <c r="AB60" s="13" t="s">
        <v>265</v>
      </c>
      <c r="AC60" s="13" t="s">
        <v>310</v>
      </c>
      <c r="AD60" s="13">
        <v>34</v>
      </c>
      <c r="AE60" s="13" t="s">
        <v>312</v>
      </c>
      <c r="AF60" s="1">
        <f t="shared" si="25"/>
        <v>0.10813881900752603</v>
      </c>
      <c r="AG60" s="1">
        <f t="shared" si="15"/>
        <v>7.0706150889536259E-2</v>
      </c>
      <c r="AH60" s="1"/>
      <c r="AI60" s="1"/>
      <c r="AJ60" s="13">
        <f t="shared" si="26"/>
        <v>17</v>
      </c>
      <c r="AK60" s="13" t="s">
        <v>41</v>
      </c>
      <c r="AL60" s="13" t="str">
        <f t="shared" si="27"/>
        <v>+</v>
      </c>
      <c r="AM60" s="13">
        <f t="shared" si="28"/>
        <v>35</v>
      </c>
      <c r="AN60" s="13" t="str">
        <f t="shared" si="29"/>
        <v>H2</v>
      </c>
      <c r="AO60" s="13" t="str">
        <f t="shared" si="30"/>
        <v>=</v>
      </c>
      <c r="AP60" s="13">
        <f t="shared" si="31"/>
        <v>1</v>
      </c>
      <c r="AQ60" s="13" t="str">
        <f t="shared" si="32"/>
        <v>C17H36</v>
      </c>
      <c r="AR60" s="13" t="str">
        <f t="shared" si="33"/>
        <v>+</v>
      </c>
      <c r="AS60" s="13">
        <f t="shared" si="19"/>
        <v>17</v>
      </c>
      <c r="AT60" s="13" t="str">
        <f t="shared" si="34"/>
        <v>H2O</v>
      </c>
      <c r="AU60" s="1">
        <f t="shared" si="16"/>
        <v>0.23797226256070592</v>
      </c>
      <c r="AV60" s="1">
        <f t="shared" si="17"/>
        <v>0.11558652752948574</v>
      </c>
    </row>
    <row r="61" spans="1:48" x14ac:dyDescent="0.2">
      <c r="A61">
        <v>58</v>
      </c>
      <c r="B61">
        <v>17</v>
      </c>
      <c r="C61" t="s">
        <v>264</v>
      </c>
      <c r="D61" t="s">
        <v>265</v>
      </c>
      <c r="E61" t="s">
        <v>266</v>
      </c>
      <c r="F61">
        <v>-1.9446109074270562E-2</v>
      </c>
      <c r="G61">
        <v>4.2840726428258341E-3</v>
      </c>
      <c r="H61">
        <v>5.649972474700693E-2</v>
      </c>
      <c r="I61">
        <v>6.0272669861237494E-3</v>
      </c>
      <c r="K61" s="30" t="s">
        <v>266</v>
      </c>
      <c r="L61" s="30"/>
      <c r="M61" s="37">
        <f t="shared" si="20"/>
        <v>2.3394617353987776E-3</v>
      </c>
      <c r="N61" s="37">
        <f t="shared" si="21"/>
        <v>1.1677239460824444E-2</v>
      </c>
      <c r="O61" s="34">
        <f t="shared" si="22"/>
        <v>3.1513925729783537E-2</v>
      </c>
      <c r="P61" s="34">
        <f t="shared" si="23"/>
        <v>0.1030344658308039</v>
      </c>
      <c r="Q61" s="31" t="s">
        <v>266</v>
      </c>
      <c r="R61" s="32">
        <f t="shared" si="24"/>
        <v>0.13454839156058745</v>
      </c>
      <c r="S61">
        <f t="shared" si="18"/>
        <v>2.2873226565299869</v>
      </c>
      <c r="U61" s="13">
        <v>17</v>
      </c>
      <c r="V61" s="13" t="s">
        <v>309</v>
      </c>
      <c r="W61" s="13" t="s">
        <v>310</v>
      </c>
      <c r="X61" s="13">
        <v>52</v>
      </c>
      <c r="Y61" s="13" t="s">
        <v>42</v>
      </c>
      <c r="Z61" s="13" t="s">
        <v>311</v>
      </c>
      <c r="AA61" s="13">
        <v>1</v>
      </c>
      <c r="AB61" s="13" t="s">
        <v>265</v>
      </c>
      <c r="AC61" s="13" t="s">
        <v>310</v>
      </c>
      <c r="AD61" s="13">
        <v>34</v>
      </c>
      <c r="AE61" s="13" t="s">
        <v>312</v>
      </c>
      <c r="AF61" s="1">
        <f t="shared" si="25"/>
        <v>1.6387241379487438</v>
      </c>
      <c r="AG61" s="1">
        <f t="shared" si="15"/>
        <v>1.0714734748126402</v>
      </c>
      <c r="AH61" s="1"/>
      <c r="AI61" s="1"/>
      <c r="AJ61" s="13">
        <f t="shared" si="26"/>
        <v>17</v>
      </c>
      <c r="AK61" s="13" t="s">
        <v>41</v>
      </c>
      <c r="AL61" s="13" t="str">
        <f t="shared" si="27"/>
        <v>+</v>
      </c>
      <c r="AM61" s="13">
        <f t="shared" si="28"/>
        <v>35</v>
      </c>
      <c r="AN61" s="13" t="str">
        <f t="shared" si="29"/>
        <v>H2</v>
      </c>
      <c r="AO61" s="13" t="str">
        <f t="shared" si="30"/>
        <v>=</v>
      </c>
      <c r="AP61" s="13">
        <f t="shared" si="31"/>
        <v>1</v>
      </c>
      <c r="AQ61" s="13" t="str">
        <f t="shared" si="32"/>
        <v>C17H36</v>
      </c>
      <c r="AR61" s="13" t="str">
        <f t="shared" si="33"/>
        <v>+</v>
      </c>
      <c r="AS61" s="13">
        <f t="shared" si="19"/>
        <v>17</v>
      </c>
      <c r="AT61" s="13" t="str">
        <f t="shared" si="34"/>
        <v>H2O</v>
      </c>
      <c r="AU61" s="1">
        <f t="shared" si="16"/>
        <v>3.6062063040781367</v>
      </c>
      <c r="AV61" s="1">
        <f t="shared" si="17"/>
        <v>1.7515859191236665</v>
      </c>
    </row>
    <row r="62" spans="1:48" x14ac:dyDescent="0.2">
      <c r="A62">
        <v>59</v>
      </c>
      <c r="B62">
        <v>18</v>
      </c>
      <c r="C62" t="s">
        <v>267</v>
      </c>
      <c r="D62" t="s">
        <v>268</v>
      </c>
      <c r="E62" t="s">
        <v>269</v>
      </c>
      <c r="F62">
        <v>-1.9053430840110613E-2</v>
      </c>
      <c r="G62">
        <v>4.1975637132516596E-3</v>
      </c>
      <c r="H62">
        <v>5.5358817223581908E-2</v>
      </c>
      <c r="I62">
        <v>5.9055574684057279E-3</v>
      </c>
      <c r="K62" s="30" t="s">
        <v>269</v>
      </c>
      <c r="L62" s="30"/>
      <c r="M62" s="37">
        <f t="shared" si="20"/>
        <v>2.2922206292405982E-3</v>
      </c>
      <c r="N62" s="37">
        <f t="shared" si="21"/>
        <v>1.144143919076392E-2</v>
      </c>
      <c r="O62" s="34">
        <f t="shared" si="22"/>
        <v>2.9162140227560942E-2</v>
      </c>
      <c r="P62" s="34">
        <f t="shared" si="23"/>
        <v>9.5345326589699339E-2</v>
      </c>
      <c r="Q62" s="31" t="s">
        <v>269</v>
      </c>
      <c r="R62" s="32">
        <f t="shared" si="24"/>
        <v>0.12450746681726028</v>
      </c>
      <c r="S62">
        <f t="shared" si="18"/>
        <v>2.241134402710685</v>
      </c>
      <c r="U62" s="13">
        <v>18</v>
      </c>
      <c r="V62" s="13" t="s">
        <v>309</v>
      </c>
      <c r="W62" s="13" t="s">
        <v>310</v>
      </c>
      <c r="X62" s="13">
        <v>55</v>
      </c>
      <c r="Y62" s="13" t="s">
        <v>42</v>
      </c>
      <c r="Z62" s="13" t="s">
        <v>311</v>
      </c>
      <c r="AA62" s="13">
        <v>1</v>
      </c>
      <c r="AB62" s="13" t="s">
        <v>268</v>
      </c>
      <c r="AC62" s="13" t="s">
        <v>310</v>
      </c>
      <c r="AD62" s="13">
        <v>36</v>
      </c>
      <c r="AE62" s="13" t="s">
        <v>312</v>
      </c>
      <c r="AF62" s="1">
        <f t="shared" si="25"/>
        <v>1.6039177125158519</v>
      </c>
      <c r="AG62" s="1">
        <f t="shared" si="15"/>
        <v>1.0498370481921939</v>
      </c>
      <c r="AH62" s="1"/>
      <c r="AI62" s="1"/>
      <c r="AJ62" s="13">
        <f t="shared" si="26"/>
        <v>18</v>
      </c>
      <c r="AK62" s="13" t="s">
        <v>41</v>
      </c>
      <c r="AL62" s="13" t="str">
        <f t="shared" si="27"/>
        <v>+</v>
      </c>
      <c r="AM62" s="13">
        <f t="shared" si="28"/>
        <v>37</v>
      </c>
      <c r="AN62" s="13" t="str">
        <f t="shared" si="29"/>
        <v>H2</v>
      </c>
      <c r="AO62" s="13" t="str">
        <f t="shared" si="30"/>
        <v>=</v>
      </c>
      <c r="AP62" s="13">
        <f t="shared" si="31"/>
        <v>1</v>
      </c>
      <c r="AQ62" s="13" t="str">
        <f t="shared" si="32"/>
        <v>C18H38</v>
      </c>
      <c r="AR62" s="13" t="str">
        <f t="shared" si="33"/>
        <v>+</v>
      </c>
      <c r="AS62" s="13">
        <f t="shared" si="19"/>
        <v>18</v>
      </c>
      <c r="AT62" s="13" t="str">
        <f t="shared" si="34"/>
        <v>H2O</v>
      </c>
      <c r="AU62" s="1">
        <f t="shared" si="16"/>
        <v>3.5277770838188753</v>
      </c>
      <c r="AV62" s="1">
        <f t="shared" si="17"/>
        <v>1.716215878614588</v>
      </c>
    </row>
    <row r="63" spans="1:48" x14ac:dyDescent="0.2">
      <c r="A63">
        <v>60</v>
      </c>
      <c r="B63">
        <v>19</v>
      </c>
      <c r="C63" t="s">
        <v>270</v>
      </c>
      <c r="D63" t="s">
        <v>271</v>
      </c>
      <c r="E63" t="s">
        <v>272</v>
      </c>
      <c r="F63">
        <v>-9.0828182857874955E-3</v>
      </c>
      <c r="G63">
        <v>2.0009891536289267E-3</v>
      </c>
      <c r="H63">
        <v>2.638968706357131E-2</v>
      </c>
      <c r="I63">
        <v>2.815194061999861E-3</v>
      </c>
      <c r="K63" s="30" t="s">
        <v>272</v>
      </c>
      <c r="L63" s="30"/>
      <c r="M63" s="37">
        <f t="shared" si="20"/>
        <v>1.0927073250501771E-3</v>
      </c>
      <c r="N63" s="37">
        <f t="shared" si="21"/>
        <v>5.454162768356992E-3</v>
      </c>
      <c r="O63" s="34">
        <f t="shared" si="22"/>
        <v>1.3169998812446871E-2</v>
      </c>
      <c r="P63" s="34">
        <f t="shared" si="23"/>
        <v>4.3059179750186784E-2</v>
      </c>
      <c r="Q63" s="31" t="s">
        <v>272</v>
      </c>
      <c r="R63" s="32">
        <f t="shared" si="24"/>
        <v>5.6229178562633653E-2</v>
      </c>
      <c r="S63">
        <f t="shared" si="18"/>
        <v>1.0683543926900394</v>
      </c>
      <c r="U63" s="13">
        <v>19</v>
      </c>
      <c r="V63" s="13" t="s">
        <v>309</v>
      </c>
      <c r="W63" s="13" t="s">
        <v>310</v>
      </c>
      <c r="X63" s="13">
        <v>58</v>
      </c>
      <c r="Y63" s="13" t="s">
        <v>42</v>
      </c>
      <c r="Z63" s="13" t="s">
        <v>311</v>
      </c>
      <c r="AA63" s="13">
        <v>1</v>
      </c>
      <c r="AB63" s="13" t="s">
        <v>271</v>
      </c>
      <c r="AC63" s="13" t="s">
        <v>310</v>
      </c>
      <c r="AD63" s="13">
        <v>38</v>
      </c>
      <c r="AE63" s="13" t="s">
        <v>312</v>
      </c>
      <c r="AF63" s="1">
        <f t="shared" si="25"/>
        <v>0.76385993112191852</v>
      </c>
      <c r="AG63" s="1">
        <f t="shared" si="15"/>
        <v>0.50045995487298112</v>
      </c>
      <c r="AH63" s="1"/>
      <c r="AI63" s="1"/>
      <c r="AJ63" s="13">
        <f t="shared" si="26"/>
        <v>19</v>
      </c>
      <c r="AK63" s="13" t="s">
        <v>41</v>
      </c>
      <c r="AL63" s="13" t="str">
        <f t="shared" si="27"/>
        <v>+</v>
      </c>
      <c r="AM63" s="13">
        <f t="shared" si="28"/>
        <v>39</v>
      </c>
      <c r="AN63" s="13" t="str">
        <f t="shared" si="29"/>
        <v>H2</v>
      </c>
      <c r="AO63" s="13" t="str">
        <f t="shared" si="30"/>
        <v>=</v>
      </c>
      <c r="AP63" s="13">
        <f t="shared" si="31"/>
        <v>1</v>
      </c>
      <c r="AQ63" s="13" t="str">
        <f t="shared" si="32"/>
        <v>C19H40</v>
      </c>
      <c r="AR63" s="13" t="str">
        <f t="shared" si="33"/>
        <v>+</v>
      </c>
      <c r="AS63" s="13">
        <f t="shared" si="19"/>
        <v>19</v>
      </c>
      <c r="AT63" s="13" t="str">
        <f t="shared" si="34"/>
        <v>H2O</v>
      </c>
      <c r="AU63" s="1">
        <f t="shared" si="16"/>
        <v>1.6793080102572846</v>
      </c>
      <c r="AV63" s="1">
        <f t="shared" si="17"/>
        <v>0.81812441525354884</v>
      </c>
    </row>
    <row r="64" spans="1:48" x14ac:dyDescent="0.2">
      <c r="A64">
        <v>61</v>
      </c>
      <c r="B64">
        <v>20</v>
      </c>
      <c r="C64" t="s">
        <v>273</v>
      </c>
      <c r="D64" t="s">
        <v>274</v>
      </c>
      <c r="E64" t="s">
        <v>275</v>
      </c>
      <c r="F64">
        <v>-7.5121053491475553E-3</v>
      </c>
      <c r="G64">
        <v>1.6549534353321954E-3</v>
      </c>
      <c r="H64">
        <v>2.1826056969870996E-2</v>
      </c>
      <c r="I64">
        <v>2.3283559911277049E-3</v>
      </c>
      <c r="K64" s="30" t="s">
        <v>275</v>
      </c>
      <c r="L64" s="30"/>
      <c r="M64" s="37">
        <f t="shared" si="20"/>
        <v>9.0374290041743985E-4</v>
      </c>
      <c r="N64" s="37">
        <f t="shared" si="21"/>
        <v>4.5109616881148047E-3</v>
      </c>
      <c r="O64" s="34">
        <f t="shared" si="22"/>
        <v>1.0347856209779686E-2</v>
      </c>
      <c r="P64" s="34">
        <f t="shared" si="23"/>
        <v>3.3832212660861033E-2</v>
      </c>
      <c r="Q64" s="31" t="s">
        <v>275</v>
      </c>
      <c r="R64" s="32">
        <f t="shared" si="24"/>
        <v>4.4180068870640715E-2</v>
      </c>
      <c r="S64">
        <f t="shared" si="18"/>
        <v>0.8836013774128143</v>
      </c>
      <c r="U64" s="13">
        <v>20</v>
      </c>
      <c r="V64" s="13" t="s">
        <v>309</v>
      </c>
      <c r="W64" s="13" t="s">
        <v>310</v>
      </c>
      <c r="X64" s="13">
        <v>61</v>
      </c>
      <c r="Y64" s="13" t="s">
        <v>42</v>
      </c>
      <c r="Z64" s="13" t="s">
        <v>311</v>
      </c>
      <c r="AA64" s="13">
        <v>1</v>
      </c>
      <c r="AB64" s="13" t="s">
        <v>274</v>
      </c>
      <c r="AC64" s="13" t="s">
        <v>310</v>
      </c>
      <c r="AD64" s="13">
        <v>40</v>
      </c>
      <c r="AE64" s="13" t="s">
        <v>312</v>
      </c>
      <c r="AF64" s="1">
        <f t="shared" si="25"/>
        <v>0.63121922879656078</v>
      </c>
      <c r="AG64" s="1">
        <f t="shared" si="15"/>
        <v>0.4139142483911874</v>
      </c>
      <c r="AH64" s="1"/>
      <c r="AI64" s="1"/>
      <c r="AJ64" s="13">
        <f t="shared" si="26"/>
        <v>20</v>
      </c>
      <c r="AK64" s="13" t="s">
        <v>41</v>
      </c>
      <c r="AL64" s="13" t="str">
        <f t="shared" si="27"/>
        <v>+</v>
      </c>
      <c r="AM64" s="13">
        <f t="shared" si="28"/>
        <v>41</v>
      </c>
      <c r="AN64" s="13" t="str">
        <f t="shared" si="29"/>
        <v>H2</v>
      </c>
      <c r="AO64" s="13" t="str">
        <f t="shared" si="30"/>
        <v>=</v>
      </c>
      <c r="AP64" s="13">
        <f t="shared" si="31"/>
        <v>1</v>
      </c>
      <c r="AQ64" s="13" t="str">
        <f t="shared" si="32"/>
        <v>C20H42</v>
      </c>
      <c r="AR64" s="13" t="str">
        <f t="shared" si="33"/>
        <v>+</v>
      </c>
      <c r="AS64" s="13">
        <f t="shared" si="19"/>
        <v>20</v>
      </c>
      <c r="AT64" s="13" t="str">
        <f t="shared" si="34"/>
        <v>H2O</v>
      </c>
      <c r="AU64" s="1">
        <f t="shared" si="16"/>
        <v>1.3871207190953023</v>
      </c>
      <c r="AV64" s="1">
        <f t="shared" si="17"/>
        <v>0.67664425321722066</v>
      </c>
    </row>
    <row r="65" spans="1:48" x14ac:dyDescent="0.2">
      <c r="A65">
        <v>62</v>
      </c>
      <c r="B65">
        <v>21</v>
      </c>
      <c r="C65" t="s">
        <v>276</v>
      </c>
      <c r="D65" t="s">
        <v>277</v>
      </c>
      <c r="E65" t="s">
        <v>278</v>
      </c>
      <c r="F65">
        <v>-7.1706460150953886E-3</v>
      </c>
      <c r="G65">
        <v>1.5797282791807316E-3</v>
      </c>
      <c r="H65">
        <v>2.0833963471240509E-2</v>
      </c>
      <c r="I65">
        <v>2.2225216278946268E-3</v>
      </c>
      <c r="K65" s="30" t="s">
        <v>278</v>
      </c>
      <c r="L65" s="30"/>
      <c r="M65" s="37">
        <f t="shared" si="20"/>
        <v>8.6266367767119266E-4</v>
      </c>
      <c r="N65" s="37">
        <f t="shared" si="21"/>
        <v>4.305917975018678E-3</v>
      </c>
      <c r="O65" s="34">
        <f t="shared" si="22"/>
        <v>9.4071420088906246E-3</v>
      </c>
      <c r="P65" s="34">
        <f t="shared" si="23"/>
        <v>3.0756556964419129E-2</v>
      </c>
      <c r="Q65" s="31" t="s">
        <v>278</v>
      </c>
      <c r="R65" s="32">
        <f t="shared" si="24"/>
        <v>4.016369897330975E-2</v>
      </c>
      <c r="S65">
        <f t="shared" si="18"/>
        <v>0.84343767843950479</v>
      </c>
      <c r="U65" s="13">
        <v>21</v>
      </c>
      <c r="V65" s="13" t="s">
        <v>309</v>
      </c>
      <c r="W65" s="13" t="s">
        <v>310</v>
      </c>
      <c r="X65" s="13">
        <v>64</v>
      </c>
      <c r="Y65" s="13" t="s">
        <v>42</v>
      </c>
      <c r="Z65" s="13" t="s">
        <v>311</v>
      </c>
      <c r="AA65" s="13">
        <v>1</v>
      </c>
      <c r="AB65" s="13" t="s">
        <v>277</v>
      </c>
      <c r="AC65" s="13" t="s">
        <v>310</v>
      </c>
      <c r="AD65" s="13">
        <v>42</v>
      </c>
      <c r="AE65" s="13" t="s">
        <v>312</v>
      </c>
      <c r="AF65" s="1">
        <f t="shared" si="25"/>
        <v>0.60205708856899998</v>
      </c>
      <c r="AG65" s="1">
        <f t="shared" si="15"/>
        <v>0.39509996437340622</v>
      </c>
      <c r="AH65" s="1"/>
      <c r="AI65" s="1"/>
      <c r="AJ65" s="13">
        <f t="shared" si="26"/>
        <v>21</v>
      </c>
      <c r="AK65" s="13" t="s">
        <v>41</v>
      </c>
      <c r="AL65" s="13" t="str">
        <f t="shared" si="27"/>
        <v>+</v>
      </c>
      <c r="AM65" s="13">
        <f t="shared" si="28"/>
        <v>43</v>
      </c>
      <c r="AN65" s="13" t="str">
        <f t="shared" si="29"/>
        <v>H2</v>
      </c>
      <c r="AO65" s="13" t="str">
        <f t="shared" si="30"/>
        <v>=</v>
      </c>
      <c r="AP65" s="13">
        <f t="shared" si="31"/>
        <v>1</v>
      </c>
      <c r="AQ65" s="13" t="str">
        <f t="shared" si="32"/>
        <v>C21H44</v>
      </c>
      <c r="AR65" s="13" t="str">
        <f t="shared" si="33"/>
        <v>+</v>
      </c>
      <c r="AS65" s="13">
        <f t="shared" si="19"/>
        <v>21</v>
      </c>
      <c r="AT65" s="13" t="str">
        <f t="shared" si="34"/>
        <v>H2O</v>
      </c>
      <c r="AU65" s="1">
        <f t="shared" si="16"/>
        <v>1.3225319494700225</v>
      </c>
      <c r="AV65" s="1">
        <f t="shared" si="17"/>
        <v>0.64588769625280174</v>
      </c>
    </row>
    <row r="66" spans="1:48" x14ac:dyDescent="0.2">
      <c r="A66">
        <v>63</v>
      </c>
      <c r="B66">
        <v>22</v>
      </c>
      <c r="C66" t="s">
        <v>279</v>
      </c>
      <c r="D66" t="s">
        <v>280</v>
      </c>
      <c r="E66" t="s">
        <v>281</v>
      </c>
      <c r="F66">
        <v>-6.7608948142327974E-3</v>
      </c>
      <c r="G66">
        <v>1.4894580917989757E-3</v>
      </c>
      <c r="H66">
        <v>1.9643451272883906E-2</v>
      </c>
      <c r="I66">
        <v>2.0955203920149336E-3</v>
      </c>
      <c r="K66" s="30" t="s">
        <v>281</v>
      </c>
      <c r="L66" s="30"/>
      <c r="M66" s="37">
        <f t="shared" si="20"/>
        <v>8.1336861037569592E-4</v>
      </c>
      <c r="N66" s="37">
        <f t="shared" si="21"/>
        <v>4.0598655193033236E-3</v>
      </c>
      <c r="O66" s="34">
        <f t="shared" si="22"/>
        <v>8.4664278080015618E-3</v>
      </c>
      <c r="P66" s="34">
        <f t="shared" si="23"/>
        <v>2.7680901267977207E-2</v>
      </c>
      <c r="Q66" s="31" t="s">
        <v>281</v>
      </c>
      <c r="R66" s="32">
        <f t="shared" si="24"/>
        <v>3.6147329075978771E-2</v>
      </c>
      <c r="S66">
        <f t="shared" si="18"/>
        <v>0.79524123967153293</v>
      </c>
      <c r="U66" s="13">
        <v>22</v>
      </c>
      <c r="V66" s="13" t="s">
        <v>309</v>
      </c>
      <c r="W66" s="13" t="s">
        <v>310</v>
      </c>
      <c r="X66" s="13">
        <v>67</v>
      </c>
      <c r="Y66" s="13" t="s">
        <v>42</v>
      </c>
      <c r="Z66" s="13" t="s">
        <v>311</v>
      </c>
      <c r="AA66" s="13">
        <v>1</v>
      </c>
      <c r="AB66" s="13" t="s">
        <v>280</v>
      </c>
      <c r="AC66" s="13" t="s">
        <v>310</v>
      </c>
      <c r="AD66" s="13">
        <v>44</v>
      </c>
      <c r="AE66" s="13" t="s">
        <v>312</v>
      </c>
      <c r="AF66" s="1">
        <f t="shared" si="25"/>
        <v>0.56725066313610462</v>
      </c>
      <c r="AG66" s="1">
        <f t="shared" si="15"/>
        <v>0.37252282355206873</v>
      </c>
      <c r="AH66" s="1"/>
      <c r="AI66" s="1"/>
      <c r="AJ66" s="13">
        <f t="shared" si="26"/>
        <v>22</v>
      </c>
      <c r="AK66" s="13" t="s">
        <v>41</v>
      </c>
      <c r="AL66" s="13" t="str">
        <f t="shared" si="27"/>
        <v>+</v>
      </c>
      <c r="AM66" s="13">
        <f t="shared" si="28"/>
        <v>45</v>
      </c>
      <c r="AN66" s="13" t="str">
        <f t="shared" si="29"/>
        <v>H2</v>
      </c>
      <c r="AO66" s="13" t="str">
        <f t="shared" si="30"/>
        <v>=</v>
      </c>
      <c r="AP66" s="13">
        <f t="shared" si="31"/>
        <v>1</v>
      </c>
      <c r="AQ66" s="13" t="str">
        <f t="shared" si="32"/>
        <v>C22H46</v>
      </c>
      <c r="AR66" s="13" t="str">
        <f t="shared" si="33"/>
        <v>+</v>
      </c>
      <c r="AS66" s="13">
        <f t="shared" si="19"/>
        <v>22</v>
      </c>
      <c r="AT66" s="13" t="str">
        <f t="shared" si="34"/>
        <v>H2O</v>
      </c>
      <c r="AU66" s="1">
        <f t="shared" si="16"/>
        <v>1.2456405570589744</v>
      </c>
      <c r="AV66" s="1">
        <f t="shared" si="17"/>
        <v>0.60897982789549854</v>
      </c>
    </row>
    <row r="67" spans="1:48" x14ac:dyDescent="0.2">
      <c r="A67">
        <v>64</v>
      </c>
      <c r="B67">
        <v>23</v>
      </c>
      <c r="C67" t="s">
        <v>282</v>
      </c>
      <c r="D67" t="s">
        <v>283</v>
      </c>
      <c r="E67" t="s">
        <v>284</v>
      </c>
      <c r="F67">
        <v>-6.2828517465597766E-3</v>
      </c>
      <c r="G67">
        <v>1.3841428731869274E-3</v>
      </c>
      <c r="H67">
        <v>1.8254520374801207E-2</v>
      </c>
      <c r="I67">
        <v>1.9473522834886259E-3</v>
      </c>
      <c r="K67" s="30" t="s">
        <v>284</v>
      </c>
      <c r="L67" s="30"/>
      <c r="M67" s="37">
        <f t="shared" si="20"/>
        <v>7.5585769853094963E-4</v>
      </c>
      <c r="N67" s="37">
        <f t="shared" si="21"/>
        <v>3.7728043209687466E-3</v>
      </c>
      <c r="O67" s="34">
        <f t="shared" si="22"/>
        <v>7.5257136071124981E-3</v>
      </c>
      <c r="P67" s="34">
        <f t="shared" si="23"/>
        <v>2.4605245571535303E-2</v>
      </c>
      <c r="Q67" s="31" t="s">
        <v>284</v>
      </c>
      <c r="R67" s="32">
        <f t="shared" si="24"/>
        <v>3.2130959178647799E-2</v>
      </c>
      <c r="S67">
        <f t="shared" si="18"/>
        <v>0.73901206110889939</v>
      </c>
      <c r="U67" s="13">
        <v>23</v>
      </c>
      <c r="V67" s="13" t="s">
        <v>309</v>
      </c>
      <c r="W67" s="13" t="s">
        <v>310</v>
      </c>
      <c r="X67" s="13">
        <v>70</v>
      </c>
      <c r="Y67" s="13" t="s">
        <v>42</v>
      </c>
      <c r="Z67" s="13" t="s">
        <v>311</v>
      </c>
      <c r="AA67" s="13">
        <v>1</v>
      </c>
      <c r="AB67" s="13" t="s">
        <v>283</v>
      </c>
      <c r="AC67" s="13" t="s">
        <v>310</v>
      </c>
      <c r="AD67" s="13">
        <v>46</v>
      </c>
      <c r="AE67" s="13" t="s">
        <v>312</v>
      </c>
      <c r="AF67" s="1">
        <f t="shared" si="25"/>
        <v>0.52679995249787492</v>
      </c>
      <c r="AG67" s="1">
        <f t="shared" si="15"/>
        <v>0.34618282592717492</v>
      </c>
      <c r="AH67" s="1"/>
      <c r="AI67" s="1"/>
      <c r="AJ67" s="13">
        <f t="shared" si="26"/>
        <v>23</v>
      </c>
      <c r="AK67" s="13" t="s">
        <v>41</v>
      </c>
      <c r="AL67" s="13" t="str">
        <f t="shared" si="27"/>
        <v>+</v>
      </c>
      <c r="AM67" s="13">
        <f t="shared" si="28"/>
        <v>47</v>
      </c>
      <c r="AN67" s="13" t="str">
        <f t="shared" si="29"/>
        <v>H2</v>
      </c>
      <c r="AO67" s="13" t="str">
        <f t="shared" si="30"/>
        <v>=</v>
      </c>
      <c r="AP67" s="13">
        <f t="shared" si="31"/>
        <v>1</v>
      </c>
      <c r="AQ67" s="13" t="str">
        <f t="shared" si="32"/>
        <v>C23H48</v>
      </c>
      <c r="AR67" s="13" t="str">
        <f t="shared" si="33"/>
        <v>+</v>
      </c>
      <c r="AS67" s="13">
        <f t="shared" si="19"/>
        <v>23</v>
      </c>
      <c r="AT67" s="13" t="str">
        <f t="shared" si="34"/>
        <v>H2O</v>
      </c>
      <c r="AU67" s="1">
        <f t="shared" si="16"/>
        <v>1.1564465418621592</v>
      </c>
      <c r="AV67" s="1">
        <f t="shared" si="17"/>
        <v>0.56592064814531196</v>
      </c>
    </row>
    <row r="68" spans="1:48" x14ac:dyDescent="0.2">
      <c r="A68">
        <v>65</v>
      </c>
      <c r="B68">
        <v>24</v>
      </c>
      <c r="C68" t="s">
        <v>285</v>
      </c>
      <c r="D68" t="s">
        <v>286</v>
      </c>
      <c r="E68" t="s">
        <v>287</v>
      </c>
      <c r="F68">
        <v>-6.1462680129389059E-3</v>
      </c>
      <c r="G68">
        <v>1.3540528107263414E-3</v>
      </c>
      <c r="H68">
        <v>1.7857682975349006E-2</v>
      </c>
      <c r="I68">
        <v>1.9050185381953946E-3</v>
      </c>
      <c r="K68" s="30" t="s">
        <v>287</v>
      </c>
      <c r="L68" s="30"/>
      <c r="M68" s="37">
        <f t="shared" ref="M68:M75" si="35">IF($L$1,F68*$K$1+G68,0)</f>
        <v>7.3942600943245076E-4</v>
      </c>
      <c r="N68" s="37">
        <f t="shared" ref="N68:N75" si="36">IF($L$1,H68*$K$1+I68,0)</f>
        <v>3.6907868357302955E-3</v>
      </c>
      <c r="O68" s="34">
        <f t="shared" si="22"/>
        <v>7.0553565066679676E-3</v>
      </c>
      <c r="P68" s="34">
        <f t="shared" si="23"/>
        <v>2.3067417723314346E-2</v>
      </c>
      <c r="Q68" s="31" t="s">
        <v>287</v>
      </c>
      <c r="R68" s="32">
        <f t="shared" si="24"/>
        <v>3.0122774229982312E-2</v>
      </c>
      <c r="S68">
        <f t="shared" si="18"/>
        <v>0.72294658151957547</v>
      </c>
      <c r="U68" s="13">
        <v>24</v>
      </c>
      <c r="V68" s="13" t="s">
        <v>309</v>
      </c>
      <c r="W68" s="13" t="s">
        <v>310</v>
      </c>
      <c r="X68" s="13">
        <v>73</v>
      </c>
      <c r="Y68" s="13" t="s">
        <v>42</v>
      </c>
      <c r="Z68" s="13" t="s">
        <v>311</v>
      </c>
      <c r="AA68" s="13">
        <v>1</v>
      </c>
      <c r="AB68" s="13" t="s">
        <v>286</v>
      </c>
      <c r="AC68" s="13" t="s">
        <v>310</v>
      </c>
      <c r="AD68" s="13">
        <v>48</v>
      </c>
      <c r="AE68" s="13" t="s">
        <v>312</v>
      </c>
      <c r="AF68" s="1">
        <f t="shared" si="25"/>
        <v>0.51504102498676163</v>
      </c>
      <c r="AG68" s="1">
        <f t="shared" si="15"/>
        <v>0.33865711232006246</v>
      </c>
      <c r="AH68" s="1"/>
      <c r="AI68" s="1"/>
      <c r="AJ68" s="13">
        <f t="shared" si="26"/>
        <v>24</v>
      </c>
      <c r="AK68" s="13" t="s">
        <v>41</v>
      </c>
      <c r="AL68" s="13" t="str">
        <f t="shared" si="27"/>
        <v>+</v>
      </c>
      <c r="AM68" s="13">
        <f t="shared" si="28"/>
        <v>49</v>
      </c>
      <c r="AN68" s="13" t="str">
        <f t="shared" si="29"/>
        <v>H2</v>
      </c>
      <c r="AO68" s="13" t="str">
        <f t="shared" si="30"/>
        <v>=</v>
      </c>
      <c r="AP68" s="13">
        <f t="shared" si="31"/>
        <v>1</v>
      </c>
      <c r="AQ68" s="13" t="str">
        <f t="shared" si="32"/>
        <v>C24H50</v>
      </c>
      <c r="AR68" s="13" t="str">
        <f t="shared" si="33"/>
        <v>+</v>
      </c>
      <c r="AS68" s="13">
        <f t="shared" si="19"/>
        <v>24</v>
      </c>
      <c r="AT68" s="13" t="str">
        <f t="shared" si="34"/>
        <v>H2O</v>
      </c>
      <c r="AU68" s="1">
        <f t="shared" si="16"/>
        <v>1.1303034684424029</v>
      </c>
      <c r="AV68" s="1">
        <f t="shared" si="17"/>
        <v>0.5536180253595443</v>
      </c>
    </row>
    <row r="69" spans="1:48" x14ac:dyDescent="0.2">
      <c r="A69">
        <v>66</v>
      </c>
      <c r="B69">
        <v>25</v>
      </c>
      <c r="C69" t="s">
        <v>288</v>
      </c>
      <c r="D69" t="s">
        <v>289</v>
      </c>
      <c r="E69" t="s">
        <v>290</v>
      </c>
      <c r="F69">
        <v>-5.548714178347622E-3</v>
      </c>
      <c r="G69">
        <v>1.2224087874612801E-3</v>
      </c>
      <c r="H69">
        <v>1.6121519352745632E-2</v>
      </c>
      <c r="I69">
        <v>1.7198084025375092E-3</v>
      </c>
      <c r="K69" s="30" t="s">
        <v>290</v>
      </c>
      <c r="L69" s="30"/>
      <c r="M69" s="37">
        <f t="shared" si="35"/>
        <v>6.6753736962651793E-4</v>
      </c>
      <c r="N69" s="37">
        <f t="shared" si="36"/>
        <v>3.3319603378120727E-3</v>
      </c>
      <c r="O69" s="34">
        <f t="shared" si="22"/>
        <v>6.1146423057789048E-3</v>
      </c>
      <c r="P69" s="34">
        <f t="shared" si="23"/>
        <v>1.9991762026872438E-2</v>
      </c>
      <c r="Q69" s="31" t="s">
        <v>290</v>
      </c>
      <c r="R69" s="32">
        <f t="shared" si="24"/>
        <v>2.6106404332651344E-2</v>
      </c>
      <c r="S69">
        <f t="shared" si="18"/>
        <v>0.65266010831628363</v>
      </c>
      <c r="U69" s="13">
        <v>25</v>
      </c>
      <c r="V69" s="13" t="s">
        <v>309</v>
      </c>
      <c r="W69" s="13" t="s">
        <v>310</v>
      </c>
      <c r="X69" s="13">
        <v>76</v>
      </c>
      <c r="Y69" s="13" t="s">
        <v>42</v>
      </c>
      <c r="Z69" s="13" t="s">
        <v>311</v>
      </c>
      <c r="AA69" s="13">
        <v>1</v>
      </c>
      <c r="AB69" s="13" t="s">
        <v>289</v>
      </c>
      <c r="AC69" s="13" t="s">
        <v>310</v>
      </c>
      <c r="AD69" s="13">
        <v>50</v>
      </c>
      <c r="AE69" s="13" t="s">
        <v>312</v>
      </c>
      <c r="AF69" s="1">
        <f t="shared" ref="AF69:AF71" si="37">+O69*X69</f>
        <v>0.46471281523919677</v>
      </c>
      <c r="AG69" s="1">
        <f t="shared" ref="AG69:AG71" si="38">+AD69*O69</f>
        <v>0.30573211528894523</v>
      </c>
      <c r="AH69" s="1"/>
      <c r="AI69" s="1"/>
      <c r="AJ69" s="13">
        <f t="shared" si="26"/>
        <v>25</v>
      </c>
      <c r="AK69" s="13" t="s">
        <v>41</v>
      </c>
      <c r="AL69" s="13" t="str">
        <f t="shared" si="27"/>
        <v>+</v>
      </c>
      <c r="AM69" s="13">
        <f t="shared" si="28"/>
        <v>51</v>
      </c>
      <c r="AN69" s="13" t="str">
        <f t="shared" si="29"/>
        <v>H2</v>
      </c>
      <c r="AO69" s="13" t="str">
        <f t="shared" si="30"/>
        <v>=</v>
      </c>
      <c r="AP69" s="13">
        <f t="shared" si="31"/>
        <v>1</v>
      </c>
      <c r="AQ69" s="13" t="str">
        <f t="shared" si="32"/>
        <v>C25H52</v>
      </c>
      <c r="AR69" s="13" t="str">
        <f t="shared" si="33"/>
        <v>+</v>
      </c>
      <c r="AS69" s="13">
        <f t="shared" si="19"/>
        <v>25</v>
      </c>
      <c r="AT69" s="13" t="str">
        <f t="shared" si="34"/>
        <v>H2O</v>
      </c>
      <c r="AU69" s="1">
        <f t="shared" ref="AU69:AU71" si="39">+P69*AM69</f>
        <v>1.0195798633704944</v>
      </c>
      <c r="AV69" s="1">
        <f t="shared" ref="AV69:AV71" si="40">+AS69*P69</f>
        <v>0.49979405067181093</v>
      </c>
    </row>
    <row r="70" spans="1:48" x14ac:dyDescent="0.2">
      <c r="A70">
        <v>67</v>
      </c>
      <c r="B70">
        <v>26</v>
      </c>
      <c r="C70" t="s">
        <v>291</v>
      </c>
      <c r="D70" t="s">
        <v>292</v>
      </c>
      <c r="E70" t="s">
        <v>293</v>
      </c>
      <c r="F70">
        <v>-4.8828684769459093E-3</v>
      </c>
      <c r="G70">
        <v>1.0757197329659268E-3</v>
      </c>
      <c r="H70">
        <v>1.4186937030416154E-2</v>
      </c>
      <c r="I70">
        <v>1.5134313942330082E-3</v>
      </c>
      <c r="K70" s="30" t="s">
        <v>293</v>
      </c>
      <c r="L70" s="30"/>
      <c r="M70" s="37">
        <f t="shared" si="35"/>
        <v>5.8743288527133587E-4</v>
      </c>
      <c r="N70" s="37">
        <f t="shared" si="36"/>
        <v>2.932125097274624E-3</v>
      </c>
      <c r="O70" s="34">
        <f t="shared" si="22"/>
        <v>5.1739281048898429E-3</v>
      </c>
      <c r="P70" s="34">
        <f t="shared" si="23"/>
        <v>1.6916106330430523E-2</v>
      </c>
      <c r="Q70" s="31" t="s">
        <v>293</v>
      </c>
      <c r="R70" s="32">
        <f t="shared" si="24"/>
        <v>2.2090034435320365E-2</v>
      </c>
      <c r="S70">
        <f t="shared" ref="S70:S71" si="41">+R70*U70</f>
        <v>0.57434089531832944</v>
      </c>
      <c r="U70" s="13">
        <v>26</v>
      </c>
      <c r="V70" s="13" t="s">
        <v>309</v>
      </c>
      <c r="W70" s="13" t="s">
        <v>310</v>
      </c>
      <c r="X70" s="13">
        <v>79</v>
      </c>
      <c r="Y70" s="13" t="s">
        <v>42</v>
      </c>
      <c r="Z70" s="13" t="s">
        <v>311</v>
      </c>
      <c r="AA70" s="13">
        <v>1</v>
      </c>
      <c r="AB70" s="13" t="s">
        <v>292</v>
      </c>
      <c r="AC70" s="13" t="s">
        <v>310</v>
      </c>
      <c r="AD70" s="13">
        <v>52</v>
      </c>
      <c r="AE70" s="13" t="s">
        <v>312</v>
      </c>
      <c r="AF70" s="1">
        <f t="shared" si="37"/>
        <v>0.40874032028629759</v>
      </c>
      <c r="AG70" s="1">
        <f t="shared" si="38"/>
        <v>0.26904426145427185</v>
      </c>
      <c r="AH70" s="1"/>
      <c r="AI70" s="1"/>
      <c r="AJ70" s="13">
        <f t="shared" si="26"/>
        <v>26</v>
      </c>
      <c r="AK70" s="13" t="s">
        <v>41</v>
      </c>
      <c r="AL70" s="13" t="str">
        <f t="shared" si="27"/>
        <v>+</v>
      </c>
      <c r="AM70" s="13">
        <f t="shared" si="28"/>
        <v>53</v>
      </c>
      <c r="AN70" s="13" t="str">
        <f t="shared" si="29"/>
        <v>H2</v>
      </c>
      <c r="AO70" s="13" t="str">
        <f t="shared" si="30"/>
        <v>=</v>
      </c>
      <c r="AP70" s="13">
        <f t="shared" si="31"/>
        <v>1</v>
      </c>
      <c r="AQ70" s="13" t="str">
        <f t="shared" si="32"/>
        <v>C26H54</v>
      </c>
      <c r="AR70" s="13" t="str">
        <f t="shared" si="33"/>
        <v>+</v>
      </c>
      <c r="AS70" s="13">
        <f t="shared" ref="AS70:AS71" si="42">+AJ70</f>
        <v>26</v>
      </c>
      <c r="AT70" s="13" t="str">
        <f t="shared" si="34"/>
        <v>H2O</v>
      </c>
      <c r="AU70" s="1">
        <f t="shared" si="39"/>
        <v>0.89655363551281775</v>
      </c>
      <c r="AV70" s="1">
        <f t="shared" si="40"/>
        <v>0.43981876459119362</v>
      </c>
    </row>
    <row r="71" spans="1:48" x14ac:dyDescent="0.2">
      <c r="A71">
        <v>68</v>
      </c>
      <c r="B71">
        <v>27</v>
      </c>
      <c r="C71" t="s">
        <v>294</v>
      </c>
      <c r="D71" t="s">
        <v>295</v>
      </c>
      <c r="E71" t="s">
        <v>296</v>
      </c>
      <c r="F71">
        <v>-4.1487309087337616E-3</v>
      </c>
      <c r="G71">
        <v>9.1398564724028044E-4</v>
      </c>
      <c r="H71">
        <v>1.2053936008360574E-2</v>
      </c>
      <c r="I71">
        <v>1.2858875132818917E-3</v>
      </c>
      <c r="K71" s="30" t="s">
        <v>296</v>
      </c>
      <c r="L71" s="30">
        <v>0</v>
      </c>
      <c r="M71" s="37">
        <f t="shared" si="35"/>
        <v>4.9911255636690428E-4</v>
      </c>
      <c r="N71" s="37">
        <f t="shared" si="36"/>
        <v>2.4912811141179492E-3</v>
      </c>
      <c r="O71" s="34">
        <f t="shared" si="22"/>
        <v>4.2332139040007809E-3</v>
      </c>
      <c r="P71" s="34">
        <f t="shared" si="23"/>
        <v>1.3840450633988607E-2</v>
      </c>
      <c r="Q71" s="31" t="s">
        <v>296</v>
      </c>
      <c r="R71" s="32">
        <f t="shared" si="24"/>
        <v>1.8073664537989389E-2</v>
      </c>
      <c r="S71">
        <f t="shared" si="41"/>
        <v>0.48798894252571351</v>
      </c>
      <c r="U71" s="13">
        <v>27</v>
      </c>
      <c r="V71" s="13" t="s">
        <v>309</v>
      </c>
      <c r="W71" s="13" t="s">
        <v>310</v>
      </c>
      <c r="X71" s="13">
        <v>82</v>
      </c>
      <c r="Y71" s="13" t="s">
        <v>42</v>
      </c>
      <c r="Z71" s="13" t="s">
        <v>311</v>
      </c>
      <c r="AA71" s="13">
        <v>1</v>
      </c>
      <c r="AB71" s="13" t="s">
        <v>295</v>
      </c>
      <c r="AC71" s="13" t="s">
        <v>310</v>
      </c>
      <c r="AD71" s="13">
        <v>54</v>
      </c>
      <c r="AE71" s="13" t="s">
        <v>312</v>
      </c>
      <c r="AF71" s="1">
        <f t="shared" si="37"/>
        <v>0.34712354012806401</v>
      </c>
      <c r="AG71" s="1">
        <f t="shared" si="38"/>
        <v>0.22859355081604216</v>
      </c>
      <c r="AH71" s="1"/>
      <c r="AI71" s="1"/>
      <c r="AJ71" s="13">
        <f t="shared" si="26"/>
        <v>27</v>
      </c>
      <c r="AK71" s="13" t="s">
        <v>41</v>
      </c>
      <c r="AL71" s="13" t="str">
        <f t="shared" si="27"/>
        <v>+</v>
      </c>
      <c r="AM71" s="13">
        <f t="shared" si="28"/>
        <v>55</v>
      </c>
      <c r="AN71" s="13" t="str">
        <f t="shared" si="29"/>
        <v>H2</v>
      </c>
      <c r="AO71" s="13" t="str">
        <f t="shared" si="30"/>
        <v>=</v>
      </c>
      <c r="AP71" s="13">
        <f t="shared" si="31"/>
        <v>1</v>
      </c>
      <c r="AQ71" s="13" t="str">
        <f t="shared" si="32"/>
        <v>C27H56</v>
      </c>
      <c r="AR71" s="13" t="str">
        <f t="shared" si="33"/>
        <v>+</v>
      </c>
      <c r="AS71" s="13">
        <f t="shared" si="42"/>
        <v>27</v>
      </c>
      <c r="AT71" s="13" t="str">
        <f t="shared" si="34"/>
        <v>H2O</v>
      </c>
      <c r="AU71" s="1">
        <f t="shared" si="39"/>
        <v>0.76122478486937339</v>
      </c>
      <c r="AV71" s="1">
        <f t="shared" si="40"/>
        <v>0.37369216711769238</v>
      </c>
    </row>
    <row r="72" spans="1:48" x14ac:dyDescent="0.2">
      <c r="K72" s="30" t="s">
        <v>309</v>
      </c>
      <c r="L72" s="30">
        <v>229</v>
      </c>
      <c r="M72" s="37">
        <f t="shared" si="35"/>
        <v>0</v>
      </c>
      <c r="N72" s="37">
        <f t="shared" si="36"/>
        <v>0</v>
      </c>
      <c r="O72" s="34">
        <f>+L72*(1-M2)</f>
        <v>187.90279309824115</v>
      </c>
      <c r="P72" s="34">
        <v>0</v>
      </c>
      <c r="Q72" s="31" t="s">
        <v>309</v>
      </c>
      <c r="R72" s="32">
        <f>+O72</f>
        <v>187.90279309824115</v>
      </c>
      <c r="S72" s="33">
        <f>+R72</f>
        <v>187.90279309824115</v>
      </c>
      <c r="T72">
        <f>+S72/$S$78</f>
        <v>0.18061088039774612</v>
      </c>
    </row>
    <row r="73" spans="1:48" x14ac:dyDescent="0.2">
      <c r="K73" s="30" t="s">
        <v>386</v>
      </c>
      <c r="L73" s="30">
        <v>150</v>
      </c>
      <c r="M73" s="37">
        <f t="shared" si="35"/>
        <v>0</v>
      </c>
      <c r="N73" s="37">
        <f t="shared" si="36"/>
        <v>0</v>
      </c>
      <c r="O73" s="34">
        <f>+L73*(1-N2)</f>
        <v>15.633091968011204</v>
      </c>
      <c r="P73" s="34">
        <f>+L73*(1-N2)</f>
        <v>15.633091968011204</v>
      </c>
      <c r="Q73" s="31" t="s">
        <v>386</v>
      </c>
      <c r="R73" s="32">
        <f>+O73</f>
        <v>15.633091968011204</v>
      </c>
      <c r="S73" s="33">
        <f t="shared" ref="S73:S75" si="43">+R73</f>
        <v>15.633091968011204</v>
      </c>
      <c r="T73">
        <f t="shared" ref="T73:T75" si="44">+S73/$S$78</f>
        <v>1.5026421146412785E-2</v>
      </c>
      <c r="AF73" s="1">
        <f>+SUM(AF4:AF71)</f>
        <v>129.92651038821995</v>
      </c>
      <c r="AG73" s="1">
        <f>+SUM(AG4:AG71)</f>
        <v>81.815727348960621</v>
      </c>
      <c r="AU73" s="1">
        <f>+SUM(AU4:AU71)</f>
        <v>290.42652170116526</v>
      </c>
      <c r="AV73" s="1">
        <f>+SUM(AV4:AV71)</f>
        <v>133.12879644610757</v>
      </c>
    </row>
    <row r="74" spans="1:48" x14ac:dyDescent="0.2">
      <c r="K74" s="30" t="s">
        <v>42</v>
      </c>
      <c r="L74" s="30">
        <f>L72*3+L73*2</f>
        <v>987</v>
      </c>
      <c r="M74" s="37">
        <f t="shared" si="35"/>
        <v>0</v>
      </c>
      <c r="N74" s="37">
        <f t="shared" si="36"/>
        <v>0</v>
      </c>
      <c r="O74" s="34">
        <f>+AF73</f>
        <v>129.92651038821995</v>
      </c>
      <c r="P74" s="34">
        <f>+AU73</f>
        <v>290.42652170116526</v>
      </c>
      <c r="Q74" s="31" t="s">
        <v>42</v>
      </c>
      <c r="R74" s="32">
        <f>+L74-O74-P74</f>
        <v>566.64696791061476</v>
      </c>
      <c r="S74" s="33">
        <f t="shared" si="43"/>
        <v>566.64696791061476</v>
      </c>
      <c r="T74">
        <f t="shared" si="44"/>
        <v>0.54465719248538147</v>
      </c>
    </row>
    <row r="75" spans="1:48" x14ac:dyDescent="0.2">
      <c r="K75" s="30" t="s">
        <v>312</v>
      </c>
      <c r="L75" s="30"/>
      <c r="M75" s="37">
        <f t="shared" si="35"/>
        <v>0</v>
      </c>
      <c r="N75" s="37">
        <f t="shared" si="36"/>
        <v>0</v>
      </c>
      <c r="O75" s="34">
        <f>+AG73</f>
        <v>81.815727348960621</v>
      </c>
      <c r="P75" s="34">
        <f>+AV73</f>
        <v>133.12879644610757</v>
      </c>
      <c r="Q75" s="31" t="s">
        <v>312</v>
      </c>
      <c r="R75" s="32">
        <f>+L75+O75+P75</f>
        <v>214.94452379506819</v>
      </c>
      <c r="S75" s="33">
        <f t="shared" si="43"/>
        <v>214.94452379506819</v>
      </c>
      <c r="T75">
        <f t="shared" si="44"/>
        <v>0.20660320711148036</v>
      </c>
    </row>
    <row r="77" spans="1:48" x14ac:dyDescent="0.2">
      <c r="K77" t="s">
        <v>48</v>
      </c>
      <c r="L77">
        <f>+SUM(L4:L75)</f>
        <v>1506</v>
      </c>
    </row>
    <row r="78" spans="1:48" x14ac:dyDescent="0.2">
      <c r="S78" s="33">
        <f>+S4+SUM(R5:R75)</f>
        <v>1040.3736069744889</v>
      </c>
    </row>
    <row r="79" spans="1:48" x14ac:dyDescent="0.2">
      <c r="L79">
        <f>+L73/L77</f>
        <v>9.9601593625498003E-2</v>
      </c>
    </row>
    <row r="80" spans="1:48" x14ac:dyDescent="0.2">
      <c r="L80">
        <f>+L72/L77</f>
        <v>0.15205843293492696</v>
      </c>
    </row>
  </sheetData>
  <mergeCells count="2">
    <mergeCell ref="K3:L3"/>
    <mergeCell ref="Q3:R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7BFA-A712-B64F-A124-6FD00C0D7B21}">
  <dimension ref="A3:J90"/>
  <sheetViews>
    <sheetView zoomScale="92" workbookViewId="0">
      <selection activeCell="D4" sqref="D4:D71"/>
    </sheetView>
  </sheetViews>
  <sheetFormatPr baseColWidth="10" defaultRowHeight="16" x14ac:dyDescent="0.2"/>
  <cols>
    <col min="8" max="8" width="17.1640625" bestFit="1" customWidth="1"/>
    <col min="9" max="9" width="12.1640625" bestFit="1" customWidth="1"/>
    <col min="10" max="10" width="13.1640625" bestFit="1" customWidth="1"/>
    <col min="11" max="75" width="20" bestFit="1" customWidth="1"/>
    <col min="76" max="76" width="17.1640625" bestFit="1" customWidth="1"/>
  </cols>
  <sheetData>
    <row r="3" spans="1:10" x14ac:dyDescent="0.2">
      <c r="A3" t="s">
        <v>366</v>
      </c>
      <c r="B3" t="s">
        <v>336</v>
      </c>
      <c r="C3" s="24" t="s">
        <v>396</v>
      </c>
      <c r="D3" s="24" t="s">
        <v>397</v>
      </c>
    </row>
    <row r="4" spans="1:10" x14ac:dyDescent="0.2">
      <c r="A4">
        <v>1</v>
      </c>
      <c r="B4" s="31" t="s">
        <v>114</v>
      </c>
      <c r="C4">
        <v>10.675347629281321</v>
      </c>
      <c r="D4" s="33">
        <v>12.764487853091264</v>
      </c>
    </row>
    <row r="5" spans="1:10" x14ac:dyDescent="0.2">
      <c r="A5">
        <v>1</v>
      </c>
      <c r="B5" s="31" t="s">
        <v>117</v>
      </c>
      <c r="C5">
        <v>0.80481481478060724</v>
      </c>
      <c r="D5">
        <v>0.91088223941800006</v>
      </c>
    </row>
    <row r="6" spans="1:10" x14ac:dyDescent="0.2">
      <c r="A6">
        <v>2</v>
      </c>
      <c r="B6" s="31" t="s">
        <v>120</v>
      </c>
      <c r="C6">
        <v>1.4764743214745784</v>
      </c>
      <c r="D6">
        <v>1.709041167604332</v>
      </c>
    </row>
    <row r="7" spans="1:10" x14ac:dyDescent="0.2">
      <c r="A7">
        <v>2</v>
      </c>
      <c r="B7" s="31" t="s">
        <v>123</v>
      </c>
      <c r="C7">
        <v>6.2719479811499799</v>
      </c>
      <c r="D7">
        <v>7.3588614861819384</v>
      </c>
      <c r="H7" s="14" t="s">
        <v>346</v>
      </c>
      <c r="I7" t="s">
        <v>398</v>
      </c>
      <c r="J7" t="s">
        <v>399</v>
      </c>
    </row>
    <row r="8" spans="1:10" x14ac:dyDescent="0.2">
      <c r="A8">
        <v>3</v>
      </c>
      <c r="B8" s="31" t="s">
        <v>126</v>
      </c>
      <c r="C8">
        <v>1.0343523334498903</v>
      </c>
      <c r="D8">
        <v>1.1719059853281166</v>
      </c>
      <c r="H8" s="15">
        <v>1</v>
      </c>
      <c r="I8" s="26">
        <v>0.12683132217797449</v>
      </c>
      <c r="J8" s="26">
        <v>0.13833890004507071</v>
      </c>
    </row>
    <row r="9" spans="1:10" x14ac:dyDescent="0.2">
      <c r="A9">
        <v>3</v>
      </c>
      <c r="B9" s="31" t="s">
        <v>129</v>
      </c>
      <c r="C9">
        <v>9.4890646906416247</v>
      </c>
      <c r="D9">
        <v>10.979834057357101</v>
      </c>
      <c r="H9" s="15">
        <v>2</v>
      </c>
      <c r="I9" s="26">
        <v>8.5603548749739009E-2</v>
      </c>
      <c r="J9" s="26">
        <v>9.1730144804468325E-2</v>
      </c>
    </row>
    <row r="10" spans="1:10" x14ac:dyDescent="0.2">
      <c r="A10">
        <v>4</v>
      </c>
      <c r="B10" s="31" t="s">
        <v>132</v>
      </c>
      <c r="C10">
        <v>1.0101920404904212</v>
      </c>
      <c r="D10">
        <v>1.0797178215552949</v>
      </c>
      <c r="H10" s="15">
        <v>3</v>
      </c>
      <c r="I10" s="26">
        <v>0.11626132482873537</v>
      </c>
      <c r="J10" s="26">
        <v>0.12292598589777981</v>
      </c>
    </row>
    <row r="11" spans="1:10" x14ac:dyDescent="0.2">
      <c r="A11">
        <v>4</v>
      </c>
      <c r="B11" s="31" t="s">
        <v>135</v>
      </c>
      <c r="C11">
        <v>3.9445339274151864E-2</v>
      </c>
      <c r="D11">
        <v>3.6265007967883504E-2</v>
      </c>
      <c r="H11" s="15">
        <v>4</v>
      </c>
      <c r="I11" s="26">
        <v>9.6717672404365074E-2</v>
      </c>
      <c r="J11" s="26">
        <v>0.10005616765379662</v>
      </c>
    </row>
    <row r="12" spans="1:10" x14ac:dyDescent="0.2">
      <c r="A12">
        <v>4</v>
      </c>
      <c r="B12" s="31" t="s">
        <v>138</v>
      </c>
      <c r="C12">
        <v>7.7047820439769339</v>
      </c>
      <c r="D12">
        <v>8.7749814781157447</v>
      </c>
      <c r="H12" s="15">
        <v>5</v>
      </c>
      <c r="I12" s="26">
        <v>9.0090408351511053E-2</v>
      </c>
      <c r="J12" s="26">
        <v>8.2031363547648284E-2</v>
      </c>
    </row>
    <row r="13" spans="1:10" x14ac:dyDescent="0.2">
      <c r="A13">
        <v>5</v>
      </c>
      <c r="B13" s="31" t="s">
        <v>141</v>
      </c>
      <c r="C13">
        <v>0.1681688423581717</v>
      </c>
      <c r="D13">
        <v>0.15461001274909103</v>
      </c>
      <c r="H13" s="15">
        <v>6</v>
      </c>
      <c r="I13" s="26">
        <v>6.5904807395622142E-2</v>
      </c>
      <c r="J13" s="26">
        <v>6.6568352943604636E-2</v>
      </c>
    </row>
    <row r="14" spans="1:10" x14ac:dyDescent="0.2">
      <c r="A14">
        <v>5</v>
      </c>
      <c r="B14" s="31" t="s">
        <v>142</v>
      </c>
      <c r="C14">
        <v>0.14227984896835599</v>
      </c>
      <c r="D14">
        <v>0.45053268523601969</v>
      </c>
      <c r="H14" s="15">
        <v>7</v>
      </c>
      <c r="I14" s="26">
        <v>4.6200162692909282E-2</v>
      </c>
      <c r="J14" s="26">
        <v>3.96291222963506E-2</v>
      </c>
    </row>
    <row r="15" spans="1:10" x14ac:dyDescent="0.2">
      <c r="A15">
        <v>5</v>
      </c>
      <c r="B15" s="31" t="s">
        <v>145</v>
      </c>
      <c r="C15">
        <v>7.7845917998890393</v>
      </c>
      <c r="D15">
        <v>7.4492828102752009</v>
      </c>
      <c r="H15" s="15">
        <v>8</v>
      </c>
      <c r="I15" s="26">
        <v>6.1410385598339806E-2</v>
      </c>
      <c r="J15" s="26">
        <v>5.280651395200936E-2</v>
      </c>
    </row>
    <row r="16" spans="1:10" x14ac:dyDescent="0.2">
      <c r="A16">
        <v>5</v>
      </c>
      <c r="B16" s="31" t="s">
        <v>350</v>
      </c>
      <c r="C16">
        <v>5.9510803896835815E-2</v>
      </c>
      <c r="D16">
        <v>5.4712668650010163E-2</v>
      </c>
      <c r="H16" s="15">
        <v>9</v>
      </c>
      <c r="I16" s="26">
        <v>6.2743434292970593E-2</v>
      </c>
      <c r="J16" s="26">
        <v>5.1998169398136472E-2</v>
      </c>
    </row>
    <row r="17" spans="1:10" x14ac:dyDescent="0.2">
      <c r="A17">
        <v>6</v>
      </c>
      <c r="B17" s="31" t="s">
        <v>148</v>
      </c>
      <c r="C17">
        <v>3.0084066962282048</v>
      </c>
      <c r="D17">
        <v>2.4578082615235211</v>
      </c>
      <c r="H17" s="15">
        <v>10</v>
      </c>
      <c r="I17" s="26">
        <v>5.5340172479460242E-2</v>
      </c>
      <c r="J17" s="26">
        <v>4.894438634622323E-2</v>
      </c>
    </row>
    <row r="18" spans="1:10" x14ac:dyDescent="0.2">
      <c r="A18">
        <v>6</v>
      </c>
      <c r="B18" s="31" t="s">
        <v>151</v>
      </c>
      <c r="C18">
        <v>3.6329073642742016E-2</v>
      </c>
      <c r="D18">
        <v>3.2533571458387166E-2</v>
      </c>
      <c r="H18" s="15">
        <v>11</v>
      </c>
      <c r="I18" s="26">
        <v>4.1573329598496418E-2</v>
      </c>
      <c r="J18" s="26">
        <v>3.8164806295547971E-2</v>
      </c>
    </row>
    <row r="19" spans="1:10" x14ac:dyDescent="0.2">
      <c r="A19">
        <v>6</v>
      </c>
      <c r="B19" s="31" t="s">
        <v>154</v>
      </c>
      <c r="C19">
        <v>2.6709448098954698</v>
      </c>
      <c r="D19">
        <v>3.8606407214413294</v>
      </c>
      <c r="H19" s="15">
        <v>12</v>
      </c>
      <c r="I19" s="26">
        <v>3.0472483140929072E-2</v>
      </c>
      <c r="J19" s="26">
        <v>2.9639484135991174E-2</v>
      </c>
    </row>
    <row r="20" spans="1:10" x14ac:dyDescent="0.2">
      <c r="A20">
        <v>6</v>
      </c>
      <c r="B20" s="31" t="s">
        <v>353</v>
      </c>
      <c r="C20">
        <v>1.913274338277374E-2</v>
      </c>
      <c r="D20">
        <v>1.7590141294042117E-2</v>
      </c>
      <c r="H20" s="15">
        <v>13</v>
      </c>
      <c r="I20" s="26">
        <v>1.8947525617386007E-2</v>
      </c>
      <c r="J20" s="26">
        <v>2.0434366811655461E-2</v>
      </c>
    </row>
    <row r="21" spans="1:10" x14ac:dyDescent="0.2">
      <c r="A21">
        <v>6</v>
      </c>
      <c r="B21" s="31" t="s">
        <v>351</v>
      </c>
      <c r="C21">
        <v>0.23057347369165204</v>
      </c>
      <c r="D21">
        <v>0.21198319026982509</v>
      </c>
      <c r="H21" s="15">
        <v>14</v>
      </c>
      <c r="I21" s="26">
        <v>1.5864565115364434E-2</v>
      </c>
      <c r="J21" s="26">
        <v>1.8095389094070657E-2</v>
      </c>
    </row>
    <row r="22" spans="1:10" x14ac:dyDescent="0.2">
      <c r="A22">
        <v>7</v>
      </c>
      <c r="B22" s="31" t="s">
        <v>157</v>
      </c>
      <c r="C22">
        <v>3.7961470066785014E-4</v>
      </c>
      <c r="D22">
        <v>9.8472887271422297E-5</v>
      </c>
      <c r="H22" s="15">
        <v>15</v>
      </c>
      <c r="I22" s="26">
        <v>1.4971541183549673E-2</v>
      </c>
      <c r="J22" s="26">
        <v>1.7112622112058409E-2</v>
      </c>
    </row>
    <row r="23" spans="1:10" x14ac:dyDescent="0.2">
      <c r="A23">
        <v>7</v>
      </c>
      <c r="B23" s="31" t="s">
        <v>160</v>
      </c>
      <c r="C23">
        <v>2.2831760437947315</v>
      </c>
      <c r="D23">
        <v>2.1027785797189829</v>
      </c>
      <c r="H23" s="15">
        <v>16</v>
      </c>
      <c r="I23" s="26">
        <v>1.4714999440317358E-2</v>
      </c>
      <c r="J23" s="26">
        <v>1.6285928256435024E-2</v>
      </c>
    </row>
    <row r="24" spans="1:10" x14ac:dyDescent="0.2">
      <c r="A24">
        <v>7</v>
      </c>
      <c r="B24" s="31" t="s">
        <v>163</v>
      </c>
      <c r="C24">
        <v>1.5956649952219988</v>
      </c>
      <c r="D24">
        <v>1.5364258418072099</v>
      </c>
      <c r="H24" s="15">
        <v>17</v>
      </c>
      <c r="I24" s="26">
        <v>1.2225671507531585E-2</v>
      </c>
      <c r="J24" s="26">
        <v>1.3896073624084836E-2</v>
      </c>
    </row>
    <row r="25" spans="1:10" x14ac:dyDescent="0.2">
      <c r="A25">
        <v>7</v>
      </c>
      <c r="B25" s="31" t="s">
        <v>166</v>
      </c>
      <c r="C25">
        <v>5.9682201389639845E-2</v>
      </c>
      <c r="D25">
        <v>5.4870246999102631E-2</v>
      </c>
      <c r="H25" s="15">
        <v>18</v>
      </c>
      <c r="I25" s="26">
        <v>1.097756047571889E-2</v>
      </c>
      <c r="J25" s="26">
        <v>1.2772608254154423E-2</v>
      </c>
    </row>
    <row r="26" spans="1:10" x14ac:dyDescent="0.2">
      <c r="A26">
        <v>7</v>
      </c>
      <c r="B26" s="31" t="s">
        <v>356</v>
      </c>
      <c r="C26">
        <v>0.24291409317354112</v>
      </c>
      <c r="D26">
        <v>0.22332883140448229</v>
      </c>
      <c r="H26" s="15">
        <v>19</v>
      </c>
      <c r="I26" s="26">
        <v>5.2330306210416197E-3</v>
      </c>
      <c r="J26" s="26">
        <v>6.0887344007259413E-3</v>
      </c>
    </row>
    <row r="27" spans="1:10" x14ac:dyDescent="0.2">
      <c r="A27">
        <v>8</v>
      </c>
      <c r="B27" s="31" t="s">
        <v>169</v>
      </c>
      <c r="C27">
        <v>0.18868965424741102</v>
      </c>
      <c r="D27">
        <v>0.23603939880703242</v>
      </c>
      <c r="H27" s="15">
        <v>20</v>
      </c>
      <c r="I27" s="26">
        <v>4.3280704384554749E-3</v>
      </c>
      <c r="J27" s="26">
        <v>5.0357953690214549E-3</v>
      </c>
    </row>
    <row r="28" spans="1:10" x14ac:dyDescent="0.2">
      <c r="A28">
        <v>8</v>
      </c>
      <c r="B28" s="31" t="s">
        <v>172</v>
      </c>
      <c r="C28">
        <v>1.089450296120775</v>
      </c>
      <c r="D28">
        <v>1.0016119621849151</v>
      </c>
      <c r="H28" s="15">
        <v>21</v>
      </c>
      <c r="I28" s="26">
        <v>4.1313399639802259E-3</v>
      </c>
      <c r="J28" s="26">
        <v>4.8068955795204796E-3</v>
      </c>
    </row>
    <row r="29" spans="1:10" x14ac:dyDescent="0.2">
      <c r="A29">
        <v>8</v>
      </c>
      <c r="B29" s="31" t="s">
        <v>175</v>
      </c>
      <c r="C29">
        <v>2.99086233350083</v>
      </c>
      <c r="D29">
        <v>2.7497202039868216</v>
      </c>
      <c r="H29" s="15">
        <v>22</v>
      </c>
      <c r="I29" s="26">
        <v>3.8952633946099276E-3</v>
      </c>
      <c r="J29" s="26">
        <v>4.5322158321193101E-3</v>
      </c>
    </row>
    <row r="30" spans="1:10" x14ac:dyDescent="0.2">
      <c r="A30">
        <v>8</v>
      </c>
      <c r="B30" s="31" t="s">
        <v>178</v>
      </c>
      <c r="C30">
        <v>0.48903292086369682</v>
      </c>
      <c r="D30">
        <v>0.44960401147571655</v>
      </c>
      <c r="H30" s="15">
        <v>23</v>
      </c>
      <c r="I30" s="26">
        <v>3.6198407303445791E-3</v>
      </c>
      <c r="J30" s="26">
        <v>4.2117561268179447E-3</v>
      </c>
    </row>
    <row r="31" spans="1:10" x14ac:dyDescent="0.2">
      <c r="A31">
        <v>8</v>
      </c>
      <c r="B31" s="31" t="s">
        <v>181</v>
      </c>
      <c r="C31">
        <v>0.80053810598416164</v>
      </c>
      <c r="D31">
        <v>0.78316583968881615</v>
      </c>
      <c r="H31" s="15">
        <v>24</v>
      </c>
      <c r="I31" s="26">
        <v>3.5411485405544793E-3</v>
      </c>
      <c r="J31" s="26">
        <v>4.1201962110175537E-3</v>
      </c>
    </row>
    <row r="32" spans="1:10" x14ac:dyDescent="0.2">
      <c r="A32">
        <v>9</v>
      </c>
      <c r="B32" s="31" t="s">
        <v>184</v>
      </c>
      <c r="C32">
        <v>0.5055889643879321</v>
      </c>
      <c r="D32">
        <v>0.55210071469928279</v>
      </c>
      <c r="H32" s="15">
        <v>25</v>
      </c>
      <c r="I32" s="26">
        <v>3.1968702102227937E-3</v>
      </c>
      <c r="J32" s="26">
        <v>3.7196215793908471E-3</v>
      </c>
    </row>
    <row r="33" spans="1:10" x14ac:dyDescent="0.2">
      <c r="A33">
        <v>9</v>
      </c>
      <c r="B33" s="31" t="s">
        <v>187</v>
      </c>
      <c r="C33">
        <v>3.2224801361021234</v>
      </c>
      <c r="D33">
        <v>2.9626635228022784</v>
      </c>
      <c r="H33" s="15">
        <v>26</v>
      </c>
      <c r="I33" s="26">
        <v>2.8132457849960584E-3</v>
      </c>
      <c r="J33" s="26">
        <v>3.273266989863946E-3</v>
      </c>
    </row>
    <row r="34" spans="1:10" x14ac:dyDescent="0.2">
      <c r="A34">
        <v>9</v>
      </c>
      <c r="B34" s="31" t="s">
        <v>190</v>
      </c>
      <c r="C34">
        <v>0.59385643867206861</v>
      </c>
      <c r="D34">
        <v>0.54597599809044994</v>
      </c>
      <c r="H34" s="15">
        <v>27</v>
      </c>
      <c r="I34" s="26">
        <v>2.3902752648742734E-3</v>
      </c>
      <c r="J34" s="26">
        <v>2.7811324424368493E-3</v>
      </c>
    </row>
    <row r="35" spans="1:10" x14ac:dyDescent="0.2">
      <c r="A35">
        <v>9</v>
      </c>
      <c r="B35" s="31" t="s">
        <v>193</v>
      </c>
      <c r="C35">
        <v>0.3347751773400835</v>
      </c>
      <c r="D35">
        <v>0.30778349729250198</v>
      </c>
      <c r="H35" s="15" t="s">
        <v>347</v>
      </c>
      <c r="I35" s="26">
        <v>1</v>
      </c>
      <c r="J35" s="26">
        <v>1</v>
      </c>
    </row>
    <row r="36" spans="1:10" x14ac:dyDescent="0.2">
      <c r="A36">
        <v>9</v>
      </c>
      <c r="B36" s="31" t="s">
        <v>196</v>
      </c>
      <c r="C36">
        <v>1.0225337629024103</v>
      </c>
      <c r="D36">
        <v>0.77170949450729076</v>
      </c>
    </row>
    <row r="37" spans="1:10" x14ac:dyDescent="0.2">
      <c r="A37">
        <v>10</v>
      </c>
      <c r="B37" s="31" t="s">
        <v>199</v>
      </c>
      <c r="C37">
        <v>0.74575363465812128</v>
      </c>
      <c r="D37">
        <v>0.91872102183663884</v>
      </c>
    </row>
    <row r="38" spans="1:10" x14ac:dyDescent="0.2">
      <c r="A38">
        <v>10</v>
      </c>
      <c r="B38" s="31" t="s">
        <v>202</v>
      </c>
      <c r="C38">
        <v>1.2171613582007894</v>
      </c>
      <c r="D38">
        <v>1.1190261553226462</v>
      </c>
    </row>
    <row r="39" spans="1:10" x14ac:dyDescent="0.2">
      <c r="A39">
        <v>10</v>
      </c>
      <c r="B39" s="31" t="s">
        <v>205</v>
      </c>
      <c r="C39">
        <v>1.3279319704106398</v>
      </c>
      <c r="D39">
        <v>1.2208657441896107</v>
      </c>
    </row>
    <row r="40" spans="1:10" x14ac:dyDescent="0.2">
      <c r="A40">
        <v>10</v>
      </c>
      <c r="B40" s="31" t="s">
        <v>208</v>
      </c>
      <c r="C40">
        <v>0.77256423384358452</v>
      </c>
      <c r="D40">
        <v>0.71027524700234224</v>
      </c>
    </row>
    <row r="41" spans="1:10" x14ac:dyDescent="0.2">
      <c r="A41">
        <v>10</v>
      </c>
      <c r="B41" s="31" t="s">
        <v>211</v>
      </c>
      <c r="C41">
        <v>0.9457155614576872</v>
      </c>
      <c r="D41">
        <v>0.86946602571342368</v>
      </c>
    </row>
    <row r="42" spans="1:10" x14ac:dyDescent="0.2">
      <c r="A42">
        <v>11</v>
      </c>
      <c r="B42" s="31" t="s">
        <v>214</v>
      </c>
      <c r="C42">
        <v>0.92728656860550784</v>
      </c>
      <c r="D42">
        <v>1.1656511649587913</v>
      </c>
    </row>
    <row r="43" spans="1:10" x14ac:dyDescent="0.2">
      <c r="A43">
        <v>11</v>
      </c>
      <c r="B43" s="31" t="s">
        <v>217</v>
      </c>
      <c r="C43">
        <v>1.3868887219470165</v>
      </c>
      <c r="D43">
        <v>1.275069031664648</v>
      </c>
    </row>
    <row r="44" spans="1:10" x14ac:dyDescent="0.2">
      <c r="A44">
        <v>11</v>
      </c>
      <c r="B44" s="31" t="s">
        <v>221</v>
      </c>
      <c r="C44">
        <v>0.55592178892751454</v>
      </c>
      <c r="D44">
        <v>0.51109987836224158</v>
      </c>
    </row>
    <row r="45" spans="1:10" x14ac:dyDescent="0.2">
      <c r="A45">
        <v>11</v>
      </c>
      <c r="B45" s="31" t="s">
        <v>357</v>
      </c>
      <c r="C45">
        <v>0.89292114768584585</v>
      </c>
      <c r="D45">
        <v>0.82092822958017608</v>
      </c>
    </row>
    <row r="46" spans="1:10" x14ac:dyDescent="0.2">
      <c r="A46">
        <v>12</v>
      </c>
      <c r="B46" s="31" t="s">
        <v>224</v>
      </c>
      <c r="C46">
        <v>1.0664591161558081</v>
      </c>
      <c r="D46">
        <v>0.98047447572990742</v>
      </c>
    </row>
    <row r="47" spans="1:10" x14ac:dyDescent="0.2">
      <c r="A47">
        <v>12</v>
      </c>
      <c r="B47" s="31" t="s">
        <v>227</v>
      </c>
      <c r="C47">
        <v>1.1218471845208211</v>
      </c>
      <c r="D47">
        <v>1.4255442834496859</v>
      </c>
    </row>
    <row r="48" spans="1:10" x14ac:dyDescent="0.2">
      <c r="A48">
        <v>12</v>
      </c>
      <c r="B48" s="31" t="s">
        <v>230</v>
      </c>
      <c r="C48">
        <v>0.10475177002068625</v>
      </c>
      <c r="D48">
        <v>9.6306023584880607E-2</v>
      </c>
    </row>
    <row r="49" spans="1:4" x14ac:dyDescent="0.2">
      <c r="A49">
        <v>12</v>
      </c>
      <c r="B49" s="31" t="s">
        <v>233</v>
      </c>
      <c r="C49">
        <v>0.36921411542907628</v>
      </c>
      <c r="D49">
        <v>0.33944575162177781</v>
      </c>
    </row>
    <row r="50" spans="1:4" x14ac:dyDescent="0.2">
      <c r="A50">
        <v>12</v>
      </c>
      <c r="B50" s="31" t="s">
        <v>355</v>
      </c>
      <c r="C50">
        <v>9.5950708064610313E-2</v>
      </c>
      <c r="D50">
        <v>8.8214558589621225E-2</v>
      </c>
    </row>
    <row r="51" spans="1:4" x14ac:dyDescent="0.2">
      <c r="A51">
        <v>13</v>
      </c>
      <c r="B51" s="31" t="s">
        <v>236</v>
      </c>
      <c r="C51">
        <v>0.41734093701316177</v>
      </c>
      <c r="D51">
        <v>0.38369228620183293</v>
      </c>
    </row>
    <row r="52" spans="1:4" x14ac:dyDescent="0.2">
      <c r="A52">
        <v>13</v>
      </c>
      <c r="B52" s="31" t="s">
        <v>239</v>
      </c>
      <c r="C52">
        <v>3.6065221276528496E-2</v>
      </c>
      <c r="D52">
        <v>3.3157416339269385E-2</v>
      </c>
    </row>
    <row r="53" spans="1:4" x14ac:dyDescent="0.2">
      <c r="A53">
        <v>13</v>
      </c>
      <c r="B53" s="31" t="s">
        <v>242</v>
      </c>
      <c r="C53">
        <v>1.2616329051317487</v>
      </c>
      <c r="D53">
        <v>1.6031716267049245</v>
      </c>
    </row>
    <row r="54" spans="1:4" x14ac:dyDescent="0.2">
      <c r="A54">
        <v>14</v>
      </c>
      <c r="B54" s="31" t="s">
        <v>245</v>
      </c>
      <c r="C54">
        <v>0.10223262547528765</v>
      </c>
      <c r="D54">
        <v>9.3989988314498354E-2</v>
      </c>
    </row>
    <row r="55" spans="1:4" x14ac:dyDescent="0.2">
      <c r="A55">
        <v>14</v>
      </c>
      <c r="B55" s="31" t="s">
        <v>248</v>
      </c>
      <c r="C55">
        <v>1.3337516527080875</v>
      </c>
      <c r="D55">
        <v>1.6948137592124048</v>
      </c>
    </row>
    <row r="56" spans="1:4" x14ac:dyDescent="0.2">
      <c r="A56">
        <v>15</v>
      </c>
      <c r="B56" s="31" t="s">
        <v>251</v>
      </c>
      <c r="C56">
        <v>8.6396294337837673E-2</v>
      </c>
      <c r="D56">
        <v>7.9430481780908946E-2</v>
      </c>
    </row>
    <row r="57" spans="1:4" x14ac:dyDescent="0.2">
      <c r="A57">
        <v>15</v>
      </c>
      <c r="B57" s="31" t="s">
        <v>254</v>
      </c>
      <c r="C57">
        <v>1.2687557443985478</v>
      </c>
      <c r="D57">
        <v>1.6122227015204782</v>
      </c>
    </row>
    <row r="58" spans="1:4" x14ac:dyDescent="0.2">
      <c r="A58">
        <v>16</v>
      </c>
      <c r="B58" s="31" t="s">
        <v>257</v>
      </c>
      <c r="C58">
        <v>0.23501386455173739</v>
      </c>
      <c r="D58">
        <v>0.21606556889515063</v>
      </c>
    </row>
    <row r="59" spans="1:4" x14ac:dyDescent="0.2">
      <c r="A59">
        <v>16</v>
      </c>
      <c r="B59" s="31" t="s">
        <v>260</v>
      </c>
      <c r="C59">
        <v>1.0969172470870254</v>
      </c>
      <c r="D59">
        <v>1.3938655215952489</v>
      </c>
    </row>
    <row r="60" spans="1:4" x14ac:dyDescent="0.2">
      <c r="A60">
        <v>17</v>
      </c>
      <c r="B60" s="31" t="s">
        <v>263</v>
      </c>
      <c r="C60">
        <v>9.24948562910968E-2</v>
      </c>
      <c r="D60">
        <v>8.5037339318384864E-2</v>
      </c>
    </row>
    <row r="61" spans="1:4" x14ac:dyDescent="0.2">
      <c r="A61">
        <v>17</v>
      </c>
      <c r="B61" s="31" t="s">
        <v>266</v>
      </c>
      <c r="C61">
        <v>1.0141142406104864</v>
      </c>
      <c r="D61">
        <v>1.2886467768644363</v>
      </c>
    </row>
    <row r="62" spans="1:4" x14ac:dyDescent="0.2">
      <c r="A62">
        <v>18</v>
      </c>
      <c r="B62" s="31" t="s">
        <v>269</v>
      </c>
      <c r="C62">
        <v>0.99363607771844198</v>
      </c>
      <c r="D62">
        <v>1.2626249367697224</v>
      </c>
    </row>
    <row r="63" spans="1:4" x14ac:dyDescent="0.2">
      <c r="A63">
        <v>19</v>
      </c>
      <c r="B63" s="31" t="s">
        <v>272</v>
      </c>
      <c r="C63">
        <v>0.47366881124212445</v>
      </c>
      <c r="D63">
        <v>0.60189647523431189</v>
      </c>
    </row>
    <row r="64" spans="1:4" x14ac:dyDescent="0.2">
      <c r="A64">
        <v>20</v>
      </c>
      <c r="B64" s="31" t="s">
        <v>275</v>
      </c>
      <c r="C64">
        <v>0.39175615967393751</v>
      </c>
      <c r="D64">
        <v>0.49780911485544588</v>
      </c>
    </row>
    <row r="65" spans="1:4" x14ac:dyDescent="0.2">
      <c r="A65">
        <v>21</v>
      </c>
      <c r="B65" s="31" t="s">
        <v>278</v>
      </c>
      <c r="C65">
        <v>0.37394906150694035</v>
      </c>
      <c r="D65">
        <v>0.47518142781656203</v>
      </c>
    </row>
    <row r="66" spans="1:4" x14ac:dyDescent="0.2">
      <c r="A66">
        <v>22</v>
      </c>
      <c r="B66" s="31" t="s">
        <v>281</v>
      </c>
      <c r="C66">
        <v>0.35258054370654379</v>
      </c>
      <c r="D66">
        <v>0.44802820336990135</v>
      </c>
    </row>
    <row r="67" spans="1:4" x14ac:dyDescent="0.2">
      <c r="A67">
        <v>23</v>
      </c>
      <c r="B67" s="31" t="s">
        <v>284</v>
      </c>
      <c r="C67">
        <v>0.32765060627274778</v>
      </c>
      <c r="D67">
        <v>0.41634944151546388</v>
      </c>
    </row>
    <row r="68" spans="1:4" x14ac:dyDescent="0.2">
      <c r="A68">
        <v>24</v>
      </c>
      <c r="B68" s="31" t="s">
        <v>287</v>
      </c>
      <c r="C68">
        <v>0.32052776700594887</v>
      </c>
      <c r="D68">
        <v>0.40729836669991026</v>
      </c>
    </row>
    <row r="69" spans="1:4" x14ac:dyDescent="0.2">
      <c r="A69">
        <v>25</v>
      </c>
      <c r="B69" s="31" t="s">
        <v>290</v>
      </c>
      <c r="C69">
        <v>0.28936534521370383</v>
      </c>
      <c r="D69">
        <v>0.36769991438186345</v>
      </c>
    </row>
    <row r="70" spans="1:4" x14ac:dyDescent="0.2">
      <c r="A70">
        <v>26</v>
      </c>
      <c r="B70" s="31" t="s">
        <v>293</v>
      </c>
      <c r="C70">
        <v>0.25464150378805939</v>
      </c>
      <c r="D70">
        <v>0.32357592465603985</v>
      </c>
    </row>
    <row r="71" spans="1:4" x14ac:dyDescent="0.2">
      <c r="A71">
        <v>27</v>
      </c>
      <c r="B71" s="31" t="s">
        <v>296</v>
      </c>
      <c r="C71">
        <v>0.21635624272901549</v>
      </c>
      <c r="D71">
        <v>0.27492639752243947</v>
      </c>
    </row>
    <row r="72" spans="1:4" x14ac:dyDescent="0.2">
      <c r="B72" s="31" t="s">
        <v>309</v>
      </c>
      <c r="C72">
        <v>47.511741715533745</v>
      </c>
      <c r="D72" s="33">
        <v>23.728411731180913</v>
      </c>
    </row>
    <row r="73" spans="1:4" x14ac:dyDescent="0.2">
      <c r="B73" s="31" t="s">
        <v>386</v>
      </c>
      <c r="C73">
        <v>42.969379720010799</v>
      </c>
      <c r="D73" s="33">
        <v>77.124996333025905</v>
      </c>
    </row>
    <row r="74" spans="1:4" x14ac:dyDescent="0.2">
      <c r="B74" s="31" t="s">
        <v>42</v>
      </c>
      <c r="C74">
        <v>360.37400960887692</v>
      </c>
      <c r="D74" s="33">
        <v>327.09126944404454</v>
      </c>
    </row>
    <row r="75" spans="1:4" x14ac:dyDescent="0.2">
      <c r="B75" s="31" t="s">
        <v>312</v>
      </c>
      <c r="C75">
        <v>137.18834143880898</v>
      </c>
      <c r="D75" s="33">
        <v>123.6525233999993</v>
      </c>
    </row>
    <row r="76" spans="1:4" x14ac:dyDescent="0.2">
      <c r="B76" s="36" t="s">
        <v>395</v>
      </c>
      <c r="C76">
        <v>234</v>
      </c>
      <c r="D76" s="33">
        <v>74</v>
      </c>
    </row>
    <row r="78" spans="1:4" x14ac:dyDescent="0.2">
      <c r="B78" s="30" t="s">
        <v>309</v>
      </c>
      <c r="C78" s="30">
        <v>165.62</v>
      </c>
      <c r="D78" s="30">
        <v>132.19999999999999</v>
      </c>
    </row>
    <row r="79" spans="1:4" x14ac:dyDescent="0.2">
      <c r="B79" s="30" t="s">
        <v>386</v>
      </c>
      <c r="C79" s="30">
        <v>52.7</v>
      </c>
      <c r="D79" s="30">
        <v>86.1</v>
      </c>
    </row>
    <row r="80" spans="1:4" x14ac:dyDescent="0.2">
      <c r="B80" s="30" t="s">
        <v>42</v>
      </c>
      <c r="C80" s="30">
        <f>C78*3+C79*2</f>
        <v>602.26</v>
      </c>
      <c r="D80" s="30">
        <f>D78*3+D79*2</f>
        <v>568.79999999999995</v>
      </c>
    </row>
    <row r="83" spans="1:9" x14ac:dyDescent="0.2">
      <c r="A83" s="38">
        <v>5</v>
      </c>
      <c r="B83" s="38"/>
      <c r="C83" s="38">
        <v>10</v>
      </c>
      <c r="D83" s="38"/>
    </row>
    <row r="84" spans="1:9" x14ac:dyDescent="0.2">
      <c r="A84" t="s">
        <v>401</v>
      </c>
      <c r="B84" t="s">
        <v>400</v>
      </c>
      <c r="C84" t="s">
        <v>401</v>
      </c>
      <c r="D84" t="s">
        <v>400</v>
      </c>
    </row>
    <row r="85" spans="1:9" x14ac:dyDescent="0.2">
      <c r="A85">
        <v>250</v>
      </c>
      <c r="B85" s="33">
        <v>71.728710217816285</v>
      </c>
      <c r="C85">
        <v>240</v>
      </c>
      <c r="D85">
        <v>43.071308543328087</v>
      </c>
      <c r="F85" s="9">
        <f>+A85/A$90</f>
        <v>0.15625</v>
      </c>
      <c r="G85" s="9">
        <f>+B85/B$90</f>
        <v>5.5646788376893935E-2</v>
      </c>
      <c r="H85" s="9">
        <f>+C85/C$90</f>
        <v>0.15</v>
      </c>
      <c r="I85" s="9">
        <f t="shared" ref="I85:I88" si="0">+D85/$B$90</f>
        <v>3.3414513997927144E-2</v>
      </c>
    </row>
    <row r="86" spans="1:9" x14ac:dyDescent="0.2">
      <c r="A86">
        <v>80</v>
      </c>
      <c r="B86" s="33">
        <v>65.226094161811318</v>
      </c>
      <c r="C86">
        <v>160</v>
      </c>
      <c r="D86">
        <v>143.32470190078806</v>
      </c>
      <c r="E86" s="1"/>
      <c r="F86" s="9">
        <f t="shared" ref="F86:F88" si="1">+A86/A$90</f>
        <v>0.05</v>
      </c>
      <c r="G86" s="9">
        <f t="shared" ref="G86:G88" si="2">+B86/B$90</f>
        <v>5.0602090117774487E-2</v>
      </c>
      <c r="H86" s="9">
        <f t="shared" ref="H86:H88" si="3">+C86/C$90</f>
        <v>0.1</v>
      </c>
      <c r="I86" s="9">
        <f t="shared" si="0"/>
        <v>0.11119061435282239</v>
      </c>
    </row>
    <row r="87" spans="1:9" x14ac:dyDescent="0.2">
      <c r="A87">
        <v>910</v>
      </c>
      <c r="B87" s="33">
        <v>544.06149651244095</v>
      </c>
      <c r="C87">
        <v>1040</v>
      </c>
      <c r="D87">
        <v>594.0595762159079</v>
      </c>
      <c r="F87" s="9">
        <f t="shared" si="1"/>
        <v>0.56874999999999998</v>
      </c>
      <c r="G87" s="9">
        <f t="shared" si="2"/>
        <v>0.42208029209654069</v>
      </c>
      <c r="H87" s="9">
        <f t="shared" si="3"/>
        <v>0.65</v>
      </c>
      <c r="I87" s="9">
        <f t="shared" si="0"/>
        <v>0.46086856184321789</v>
      </c>
    </row>
    <row r="88" spans="1:9" x14ac:dyDescent="0.2">
      <c r="B88" s="33">
        <v>207.46578259230085</v>
      </c>
      <c r="D88">
        <v>227.74978999557391</v>
      </c>
      <c r="F88" s="9">
        <f t="shared" si="1"/>
        <v>0</v>
      </c>
      <c r="G88" s="9">
        <f t="shared" si="2"/>
        <v>0.16095095623917832</v>
      </c>
      <c r="H88" s="9">
        <f t="shared" si="3"/>
        <v>0</v>
      </c>
      <c r="I88" s="9">
        <f t="shared" si="0"/>
        <v>0.17668719161797822</v>
      </c>
    </row>
    <row r="90" spans="1:9" x14ac:dyDescent="0.2">
      <c r="A90">
        <v>1600</v>
      </c>
      <c r="B90" s="33">
        <v>1289</v>
      </c>
      <c r="C90">
        <v>1600</v>
      </c>
      <c r="D90">
        <v>1226</v>
      </c>
    </row>
  </sheetData>
  <mergeCells count="2">
    <mergeCell ref="A83:B83"/>
    <mergeCell ref="C83:D83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5% CO</vt:lpstr>
      <vt:lpstr>5% CO Elab</vt:lpstr>
      <vt:lpstr>10% CO</vt:lpstr>
      <vt:lpstr>10% CO Elab</vt:lpstr>
      <vt:lpstr>Conv</vt:lpstr>
      <vt:lpstr>Interp</vt:lpstr>
      <vt:lpstr>RSTOIC</vt:lpstr>
      <vt:lpstr>Foglio11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 Tauro</dc:creator>
  <cp:lastModifiedBy>Alessio  Tauro</cp:lastModifiedBy>
  <dcterms:created xsi:type="dcterms:W3CDTF">2025-12-01T13:21:18Z</dcterms:created>
  <dcterms:modified xsi:type="dcterms:W3CDTF">2026-01-07T10:53:35Z</dcterms:modified>
</cp:coreProperties>
</file>