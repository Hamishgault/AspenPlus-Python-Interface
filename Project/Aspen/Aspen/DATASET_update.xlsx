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fabio_salomone_polito_it/Documents/Tesi LM/Gault Hamish/Aspen/"/>
    </mc:Choice>
  </mc:AlternateContent>
  <xr:revisionPtr revIDLastSave="1309" documentId="8_{8DF422F6-C4A5-E74B-B421-987B667A9D0F}" xr6:coauthVersionLast="47" xr6:coauthVersionMax="47" xr10:uidLastSave="{ABB9D232-8F55-1848-BDBF-EF0D2D190648}"/>
  <bookViews>
    <workbookView xWindow="0" yWindow="500" windowWidth="28800" windowHeight="17500" activeTab="6" xr2:uid="{88D7E803-477E-4B4E-AF89-CAE2468782BB}"/>
  </bookViews>
  <sheets>
    <sheet name="5% CO" sheetId="1" r:id="rId1"/>
    <sheet name="5% CO Elab" sheetId="3" r:id="rId2"/>
    <sheet name="10% CO" sheetId="6" r:id="rId3"/>
    <sheet name="10% CO Elab" sheetId="7" r:id="rId4"/>
    <sheet name="Conv" sheetId="4" r:id="rId5"/>
    <sheet name="Interp" sheetId="8" r:id="rId6"/>
    <sheet name="RSTOIC" sheetId="9" r:id="rId7"/>
    <sheet name="Foglio11" sheetId="11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Y4" i="3"/>
  <c r="F6" i="1"/>
  <c r="L79" i="9"/>
  <c r="F6" i="6" l="1"/>
  <c r="G28" i="4" l="1"/>
  <c r="I86" i="11" l="1"/>
  <c r="I87" i="11"/>
  <c r="I88" i="11"/>
  <c r="H86" i="11"/>
  <c r="H87" i="11"/>
  <c r="H88" i="11"/>
  <c r="H85" i="11"/>
  <c r="G86" i="11"/>
  <c r="G87" i="11"/>
  <c r="G88" i="11"/>
  <c r="G85" i="11"/>
  <c r="F86" i="11"/>
  <c r="F87" i="11"/>
  <c r="F88" i="11"/>
  <c r="F85" i="11"/>
  <c r="L74" i="9"/>
  <c r="I85" i="11"/>
  <c r="D80" i="11" l="1"/>
  <c r="C80" i="11"/>
  <c r="L77" i="9" l="1"/>
  <c r="E54" i="1"/>
  <c r="AT71" i="9"/>
  <c r="AR71" i="9"/>
  <c r="AQ71" i="9"/>
  <c r="AP71" i="9"/>
  <c r="AO71" i="9"/>
  <c r="AN71" i="9"/>
  <c r="AL71" i="9"/>
  <c r="AJ71" i="9"/>
  <c r="AS71" i="9" s="1"/>
  <c r="AT70" i="9"/>
  <c r="AR70" i="9"/>
  <c r="AQ70" i="9"/>
  <c r="AP70" i="9"/>
  <c r="AO70" i="9"/>
  <c r="AN70" i="9"/>
  <c r="AL70" i="9"/>
  <c r="AJ70" i="9"/>
  <c r="AM70" i="9" s="1"/>
  <c r="AT69" i="9"/>
  <c r="AR69" i="9"/>
  <c r="AQ69" i="9"/>
  <c r="AP69" i="9"/>
  <c r="AO69" i="9"/>
  <c r="AN69" i="9"/>
  <c r="AL69" i="9"/>
  <c r="AJ69" i="9"/>
  <c r="AS69" i="9" s="1"/>
  <c r="AT68" i="9"/>
  <c r="AR68" i="9"/>
  <c r="AQ68" i="9"/>
  <c r="AP68" i="9"/>
  <c r="AO68" i="9"/>
  <c r="AN68" i="9"/>
  <c r="AL68" i="9"/>
  <c r="AJ68" i="9"/>
  <c r="AM68" i="9" s="1"/>
  <c r="AT67" i="9"/>
  <c r="AR67" i="9"/>
  <c r="AQ67" i="9"/>
  <c r="AP67" i="9"/>
  <c r="AO67" i="9"/>
  <c r="AN67" i="9"/>
  <c r="AM67" i="9"/>
  <c r="AL67" i="9"/>
  <c r="AJ67" i="9"/>
  <c r="AS67" i="9" s="1"/>
  <c r="AT66" i="9"/>
  <c r="AR66" i="9"/>
  <c r="AQ66" i="9"/>
  <c r="AP66" i="9"/>
  <c r="AO66" i="9"/>
  <c r="AN66" i="9"/>
  <c r="AL66" i="9"/>
  <c r="AJ66" i="9"/>
  <c r="AM66" i="9" s="1"/>
  <c r="AT65" i="9"/>
  <c r="AR65" i="9"/>
  <c r="AQ65" i="9"/>
  <c r="AP65" i="9"/>
  <c r="AO65" i="9"/>
  <c r="AN65" i="9"/>
  <c r="AL65" i="9"/>
  <c r="AJ65" i="9"/>
  <c r="AS65" i="9" s="1"/>
  <c r="AT64" i="9"/>
  <c r="AR64" i="9"/>
  <c r="AQ64" i="9"/>
  <c r="AP64" i="9"/>
  <c r="AO64" i="9"/>
  <c r="AN64" i="9"/>
  <c r="AL64" i="9"/>
  <c r="AJ64" i="9"/>
  <c r="AM64" i="9" s="1"/>
  <c r="AT63" i="9"/>
  <c r="AR63" i="9"/>
  <c r="AQ63" i="9"/>
  <c r="AP63" i="9"/>
  <c r="AO63" i="9"/>
  <c r="AN63" i="9"/>
  <c r="AL63" i="9"/>
  <c r="AJ63" i="9"/>
  <c r="AS63" i="9" s="1"/>
  <c r="AT62" i="9"/>
  <c r="AR62" i="9"/>
  <c r="AQ62" i="9"/>
  <c r="AP62" i="9"/>
  <c r="AO62" i="9"/>
  <c r="AN62" i="9"/>
  <c r="AL62" i="9"/>
  <c r="AJ62" i="9"/>
  <c r="AM62" i="9" s="1"/>
  <c r="AT61" i="9"/>
  <c r="AR61" i="9"/>
  <c r="AQ61" i="9"/>
  <c r="AP61" i="9"/>
  <c r="AO61" i="9"/>
  <c r="AN61" i="9"/>
  <c r="AL61" i="9"/>
  <c r="AJ61" i="9"/>
  <c r="AS61" i="9" s="1"/>
  <c r="AT60" i="9"/>
  <c r="AR60" i="9"/>
  <c r="AQ60" i="9"/>
  <c r="AP60" i="9"/>
  <c r="AO60" i="9"/>
  <c r="AN60" i="9"/>
  <c r="AL60" i="9"/>
  <c r="AJ60" i="9"/>
  <c r="AS60" i="9" s="1"/>
  <c r="AT59" i="9"/>
  <c r="AR59" i="9"/>
  <c r="AQ59" i="9"/>
  <c r="AP59" i="9"/>
  <c r="AO59" i="9"/>
  <c r="AN59" i="9"/>
  <c r="AL59" i="9"/>
  <c r="AJ59" i="9"/>
  <c r="AS59" i="9" s="1"/>
  <c r="AT58" i="9"/>
  <c r="AR58" i="9"/>
  <c r="AQ58" i="9"/>
  <c r="AP58" i="9"/>
  <c r="AO58" i="9"/>
  <c r="AN58" i="9"/>
  <c r="AL58" i="9"/>
  <c r="AJ58" i="9"/>
  <c r="AS58" i="9" s="1"/>
  <c r="AT57" i="9"/>
  <c r="AR57" i="9"/>
  <c r="AQ57" i="9"/>
  <c r="AP57" i="9"/>
  <c r="AO57" i="9"/>
  <c r="AN57" i="9"/>
  <c r="AL57" i="9"/>
  <c r="AJ57" i="9"/>
  <c r="AS57" i="9" s="1"/>
  <c r="AT56" i="9"/>
  <c r="AR56" i="9"/>
  <c r="AQ56" i="9"/>
  <c r="AP56" i="9"/>
  <c r="AO56" i="9"/>
  <c r="AN56" i="9"/>
  <c r="AL56" i="9"/>
  <c r="AJ56" i="9"/>
  <c r="AM56" i="9" s="1"/>
  <c r="AT55" i="9"/>
  <c r="AR55" i="9"/>
  <c r="AQ55" i="9"/>
  <c r="AP55" i="9"/>
  <c r="AO55" i="9"/>
  <c r="AN55" i="9"/>
  <c r="AL55" i="9"/>
  <c r="AJ55" i="9"/>
  <c r="AS55" i="9" s="1"/>
  <c r="AT54" i="9"/>
  <c r="AR54" i="9"/>
  <c r="AQ54" i="9"/>
  <c r="AP54" i="9"/>
  <c r="AO54" i="9"/>
  <c r="AN54" i="9"/>
  <c r="AL54" i="9"/>
  <c r="AJ54" i="9"/>
  <c r="AM54" i="9" s="1"/>
  <c r="AT53" i="9"/>
  <c r="AR53" i="9"/>
  <c r="AQ53" i="9"/>
  <c r="AP53" i="9"/>
  <c r="AO53" i="9"/>
  <c r="AN53" i="9"/>
  <c r="AL53" i="9"/>
  <c r="AJ53" i="9"/>
  <c r="AS53" i="9" s="1"/>
  <c r="AT52" i="9"/>
  <c r="AR52" i="9"/>
  <c r="AQ52" i="9"/>
  <c r="AP52" i="9"/>
  <c r="AO52" i="9"/>
  <c r="AN52" i="9"/>
  <c r="AL52" i="9"/>
  <c r="AJ52" i="9"/>
  <c r="AM52" i="9" s="1"/>
  <c r="AT51" i="9"/>
  <c r="AR51" i="9"/>
  <c r="AQ51" i="9"/>
  <c r="AP51" i="9"/>
  <c r="AO51" i="9"/>
  <c r="AN51" i="9"/>
  <c r="AL51" i="9"/>
  <c r="AJ51" i="9"/>
  <c r="AS51" i="9" s="1"/>
  <c r="AT50" i="9"/>
  <c r="AR50" i="9"/>
  <c r="AQ50" i="9"/>
  <c r="AP50" i="9"/>
  <c r="AO50" i="9"/>
  <c r="AN50" i="9"/>
  <c r="AL50" i="9"/>
  <c r="AJ50" i="9"/>
  <c r="AM50" i="9" s="1"/>
  <c r="AT49" i="9"/>
  <c r="AR49" i="9"/>
  <c r="AQ49" i="9"/>
  <c r="AP49" i="9"/>
  <c r="AO49" i="9"/>
  <c r="AN49" i="9"/>
  <c r="AL49" i="9"/>
  <c r="AJ49" i="9"/>
  <c r="AS49" i="9" s="1"/>
  <c r="AT48" i="9"/>
  <c r="AR48" i="9"/>
  <c r="AQ48" i="9"/>
  <c r="AP48" i="9"/>
  <c r="AO48" i="9"/>
  <c r="AN48" i="9"/>
  <c r="AL48" i="9"/>
  <c r="AJ48" i="9"/>
  <c r="AM48" i="9" s="1"/>
  <c r="AT47" i="9"/>
  <c r="AR47" i="9"/>
  <c r="AQ47" i="9"/>
  <c r="AP47" i="9"/>
  <c r="AO47" i="9"/>
  <c r="AN47" i="9"/>
  <c r="AL47" i="9"/>
  <c r="AJ47" i="9"/>
  <c r="AS47" i="9" s="1"/>
  <c r="AT46" i="9"/>
  <c r="AR46" i="9"/>
  <c r="AQ46" i="9"/>
  <c r="AP46" i="9"/>
  <c r="AO46" i="9"/>
  <c r="AN46" i="9"/>
  <c r="AL46" i="9"/>
  <c r="AJ46" i="9"/>
  <c r="AM46" i="9" s="1"/>
  <c r="AT45" i="9"/>
  <c r="AR45" i="9"/>
  <c r="AQ45" i="9"/>
  <c r="AP45" i="9"/>
  <c r="AO45" i="9"/>
  <c r="AN45" i="9"/>
  <c r="AL45" i="9"/>
  <c r="AJ45" i="9"/>
  <c r="AS45" i="9" s="1"/>
  <c r="AT44" i="9"/>
  <c r="AR44" i="9"/>
  <c r="AQ44" i="9"/>
  <c r="AP44" i="9"/>
  <c r="AO44" i="9"/>
  <c r="AN44" i="9"/>
  <c r="AL44" i="9"/>
  <c r="AJ44" i="9"/>
  <c r="AM44" i="9" s="1"/>
  <c r="AT43" i="9"/>
  <c r="AR43" i="9"/>
  <c r="AQ43" i="9"/>
  <c r="AP43" i="9"/>
  <c r="AO43" i="9"/>
  <c r="AN43" i="9"/>
  <c r="AL43" i="9"/>
  <c r="AJ43" i="9"/>
  <c r="AS43" i="9" s="1"/>
  <c r="AT42" i="9"/>
  <c r="AR42" i="9"/>
  <c r="AQ42" i="9"/>
  <c r="AP42" i="9"/>
  <c r="AO42" i="9"/>
  <c r="AN42" i="9"/>
  <c r="AL42" i="9"/>
  <c r="AJ42" i="9"/>
  <c r="AM42" i="9" s="1"/>
  <c r="AT41" i="9"/>
  <c r="AR41" i="9"/>
  <c r="AQ41" i="9"/>
  <c r="AP41" i="9"/>
  <c r="AO41" i="9"/>
  <c r="AN41" i="9"/>
  <c r="AL41" i="9"/>
  <c r="AJ41" i="9"/>
  <c r="AS41" i="9" s="1"/>
  <c r="AT40" i="9"/>
  <c r="AR40" i="9"/>
  <c r="AQ40" i="9"/>
  <c r="AP40" i="9"/>
  <c r="AO40" i="9"/>
  <c r="AN40" i="9"/>
  <c r="AL40" i="9"/>
  <c r="AJ40" i="9"/>
  <c r="AM40" i="9" s="1"/>
  <c r="AT39" i="9"/>
  <c r="AR39" i="9"/>
  <c r="AQ39" i="9"/>
  <c r="AP39" i="9"/>
  <c r="AO39" i="9"/>
  <c r="AN39" i="9"/>
  <c r="AL39" i="9"/>
  <c r="AJ39" i="9"/>
  <c r="AS39" i="9" s="1"/>
  <c r="AT38" i="9"/>
  <c r="AR38" i="9"/>
  <c r="AQ38" i="9"/>
  <c r="AP38" i="9"/>
  <c r="AO38" i="9"/>
  <c r="AN38" i="9"/>
  <c r="AL38" i="9"/>
  <c r="AJ38" i="9"/>
  <c r="AM38" i="9" s="1"/>
  <c r="AT37" i="9"/>
  <c r="AR37" i="9"/>
  <c r="AQ37" i="9"/>
  <c r="AP37" i="9"/>
  <c r="AO37" i="9"/>
  <c r="AN37" i="9"/>
  <c r="AL37" i="9"/>
  <c r="AJ37" i="9"/>
  <c r="AS37" i="9" s="1"/>
  <c r="AT36" i="9"/>
  <c r="AR36" i="9"/>
  <c r="AQ36" i="9"/>
  <c r="AP36" i="9"/>
  <c r="AO36" i="9"/>
  <c r="AN36" i="9"/>
  <c r="AL36" i="9"/>
  <c r="AJ36" i="9"/>
  <c r="AM36" i="9" s="1"/>
  <c r="AT35" i="9"/>
  <c r="AR35" i="9"/>
  <c r="AQ35" i="9"/>
  <c r="AP35" i="9"/>
  <c r="AO35" i="9"/>
  <c r="AN35" i="9"/>
  <c r="AL35" i="9"/>
  <c r="AJ35" i="9"/>
  <c r="AS35" i="9" s="1"/>
  <c r="AT34" i="9"/>
  <c r="AR34" i="9"/>
  <c r="AQ34" i="9"/>
  <c r="AP34" i="9"/>
  <c r="AO34" i="9"/>
  <c r="AN34" i="9"/>
  <c r="AL34" i="9"/>
  <c r="AJ34" i="9"/>
  <c r="AM34" i="9" s="1"/>
  <c r="AT33" i="9"/>
  <c r="AR33" i="9"/>
  <c r="AQ33" i="9"/>
  <c r="AP33" i="9"/>
  <c r="AO33" i="9"/>
  <c r="AN33" i="9"/>
  <c r="AL33" i="9"/>
  <c r="AJ33" i="9"/>
  <c r="AS33" i="9" s="1"/>
  <c r="AT32" i="9"/>
  <c r="AR32" i="9"/>
  <c r="AQ32" i="9"/>
  <c r="AP32" i="9"/>
  <c r="AO32" i="9"/>
  <c r="AN32" i="9"/>
  <c r="AL32" i="9"/>
  <c r="AJ32" i="9"/>
  <c r="AM32" i="9" s="1"/>
  <c r="AT31" i="9"/>
  <c r="AR31" i="9"/>
  <c r="AQ31" i="9"/>
  <c r="AP31" i="9"/>
  <c r="AO31" i="9"/>
  <c r="AN31" i="9"/>
  <c r="AL31" i="9"/>
  <c r="AJ31" i="9"/>
  <c r="AS31" i="9" s="1"/>
  <c r="AT30" i="9"/>
  <c r="AR30" i="9"/>
  <c r="AQ30" i="9"/>
  <c r="AP30" i="9"/>
  <c r="AO30" i="9"/>
  <c r="AN30" i="9"/>
  <c r="AL30" i="9"/>
  <c r="AJ30" i="9"/>
  <c r="AS30" i="9" s="1"/>
  <c r="AT29" i="9"/>
  <c r="AR29" i="9"/>
  <c r="AQ29" i="9"/>
  <c r="AP29" i="9"/>
  <c r="AO29" i="9"/>
  <c r="AN29" i="9"/>
  <c r="AL29" i="9"/>
  <c r="AJ29" i="9"/>
  <c r="AS29" i="9" s="1"/>
  <c r="AT28" i="9"/>
  <c r="AR28" i="9"/>
  <c r="AQ28" i="9"/>
  <c r="AP28" i="9"/>
  <c r="AO28" i="9"/>
  <c r="AN28" i="9"/>
  <c r="AL28" i="9"/>
  <c r="AJ28" i="9"/>
  <c r="AM28" i="9" s="1"/>
  <c r="AT27" i="9"/>
  <c r="AR27" i="9"/>
  <c r="AQ27" i="9"/>
  <c r="AP27" i="9"/>
  <c r="AO27" i="9"/>
  <c r="AN27" i="9"/>
  <c r="AL27" i="9"/>
  <c r="AJ27" i="9"/>
  <c r="AS27" i="9" s="1"/>
  <c r="AT26" i="9"/>
  <c r="AR26" i="9"/>
  <c r="AQ26" i="9"/>
  <c r="AP26" i="9"/>
  <c r="AO26" i="9"/>
  <c r="AN26" i="9"/>
  <c r="AL26" i="9"/>
  <c r="AJ26" i="9"/>
  <c r="AM26" i="9" s="1"/>
  <c r="AT25" i="9"/>
  <c r="AR25" i="9"/>
  <c r="AQ25" i="9"/>
  <c r="AP25" i="9"/>
  <c r="AO25" i="9"/>
  <c r="AN25" i="9"/>
  <c r="AL25" i="9"/>
  <c r="AJ25" i="9"/>
  <c r="AS25" i="9" s="1"/>
  <c r="AT24" i="9"/>
  <c r="AR24" i="9"/>
  <c r="AQ24" i="9"/>
  <c r="AP24" i="9"/>
  <c r="AO24" i="9"/>
  <c r="AN24" i="9"/>
  <c r="AL24" i="9"/>
  <c r="AJ24" i="9"/>
  <c r="AM24" i="9" s="1"/>
  <c r="AT23" i="9"/>
  <c r="AR23" i="9"/>
  <c r="AQ23" i="9"/>
  <c r="AP23" i="9"/>
  <c r="AO23" i="9"/>
  <c r="AN23" i="9"/>
  <c r="AL23" i="9"/>
  <c r="AJ23" i="9"/>
  <c r="AS23" i="9" s="1"/>
  <c r="AT22" i="9"/>
  <c r="AR22" i="9"/>
  <c r="AQ22" i="9"/>
  <c r="AP22" i="9"/>
  <c r="AO22" i="9"/>
  <c r="AN22" i="9"/>
  <c r="AL22" i="9"/>
  <c r="AJ22" i="9"/>
  <c r="AM22" i="9" s="1"/>
  <c r="AT21" i="9"/>
  <c r="AR21" i="9"/>
  <c r="AQ21" i="9"/>
  <c r="AP21" i="9"/>
  <c r="AO21" i="9"/>
  <c r="AN21" i="9"/>
  <c r="AL21" i="9"/>
  <c r="AJ21" i="9"/>
  <c r="AS21" i="9" s="1"/>
  <c r="AT20" i="9"/>
  <c r="AR20" i="9"/>
  <c r="AQ20" i="9"/>
  <c r="AP20" i="9"/>
  <c r="AO20" i="9"/>
  <c r="AN20" i="9"/>
  <c r="AL20" i="9"/>
  <c r="AJ20" i="9"/>
  <c r="AS20" i="9" s="1"/>
  <c r="AT19" i="9"/>
  <c r="AR19" i="9"/>
  <c r="AQ19" i="9"/>
  <c r="AP19" i="9"/>
  <c r="AO19" i="9"/>
  <c r="AN19" i="9"/>
  <c r="AL19" i="9"/>
  <c r="AJ19" i="9"/>
  <c r="AS19" i="9" s="1"/>
  <c r="AT18" i="9"/>
  <c r="AR18" i="9"/>
  <c r="AQ18" i="9"/>
  <c r="AP18" i="9"/>
  <c r="AO18" i="9"/>
  <c r="AN18" i="9"/>
  <c r="AL18" i="9"/>
  <c r="AJ18" i="9"/>
  <c r="AM18" i="9" s="1"/>
  <c r="AT17" i="9"/>
  <c r="AR17" i="9"/>
  <c r="AQ17" i="9"/>
  <c r="AP17" i="9"/>
  <c r="AO17" i="9"/>
  <c r="AN17" i="9"/>
  <c r="AL17" i="9"/>
  <c r="AJ17" i="9"/>
  <c r="AS17" i="9" s="1"/>
  <c r="AT16" i="9"/>
  <c r="AR16" i="9"/>
  <c r="AQ16" i="9"/>
  <c r="AP16" i="9"/>
  <c r="AO16" i="9"/>
  <c r="AN16" i="9"/>
  <c r="AL16" i="9"/>
  <c r="AJ16" i="9"/>
  <c r="AS16" i="9" s="1"/>
  <c r="AT15" i="9"/>
  <c r="AR15" i="9"/>
  <c r="AQ15" i="9"/>
  <c r="AP15" i="9"/>
  <c r="AO15" i="9"/>
  <c r="AN15" i="9"/>
  <c r="AL15" i="9"/>
  <c r="AJ15" i="9"/>
  <c r="AS15" i="9" s="1"/>
  <c r="AT14" i="9"/>
  <c r="AR14" i="9"/>
  <c r="AQ14" i="9"/>
  <c r="AP14" i="9"/>
  <c r="AO14" i="9"/>
  <c r="AN14" i="9"/>
  <c r="AL14" i="9"/>
  <c r="AJ14" i="9"/>
  <c r="AS14" i="9" s="1"/>
  <c r="AT13" i="9"/>
  <c r="AR13" i="9"/>
  <c r="AQ13" i="9"/>
  <c r="AP13" i="9"/>
  <c r="AO13" i="9"/>
  <c r="AN13" i="9"/>
  <c r="AL13" i="9"/>
  <c r="AJ13" i="9"/>
  <c r="AS13" i="9" s="1"/>
  <c r="AT12" i="9"/>
  <c r="AR12" i="9"/>
  <c r="AQ12" i="9"/>
  <c r="AP12" i="9"/>
  <c r="AO12" i="9"/>
  <c r="AN12" i="9"/>
  <c r="AL12" i="9"/>
  <c r="AJ12" i="9"/>
  <c r="AS12" i="9" s="1"/>
  <c r="AT11" i="9"/>
  <c r="AR11" i="9"/>
  <c r="AQ11" i="9"/>
  <c r="AP11" i="9"/>
  <c r="AO11" i="9"/>
  <c r="AN11" i="9"/>
  <c r="AL11" i="9"/>
  <c r="AJ11" i="9"/>
  <c r="AS11" i="9" s="1"/>
  <c r="AT10" i="9"/>
  <c r="AR10" i="9"/>
  <c r="AQ10" i="9"/>
  <c r="AP10" i="9"/>
  <c r="AO10" i="9"/>
  <c r="AN10" i="9"/>
  <c r="AL10" i="9"/>
  <c r="AJ10" i="9"/>
  <c r="AM10" i="9" s="1"/>
  <c r="AT9" i="9"/>
  <c r="AR9" i="9"/>
  <c r="AQ9" i="9"/>
  <c r="AP9" i="9"/>
  <c r="AO9" i="9"/>
  <c r="AN9" i="9"/>
  <c r="AL9" i="9"/>
  <c r="AJ9" i="9"/>
  <c r="AS9" i="9" s="1"/>
  <c r="AT8" i="9"/>
  <c r="AR8" i="9"/>
  <c r="AQ8" i="9"/>
  <c r="AP8" i="9"/>
  <c r="AO8" i="9"/>
  <c r="AN8" i="9"/>
  <c r="AL8" i="9"/>
  <c r="AJ8" i="9"/>
  <c r="AM8" i="9" s="1"/>
  <c r="AT7" i="9"/>
  <c r="AR7" i="9"/>
  <c r="AQ7" i="9"/>
  <c r="AP7" i="9"/>
  <c r="AO7" i="9"/>
  <c r="AN7" i="9"/>
  <c r="AL7" i="9"/>
  <c r="AJ7" i="9"/>
  <c r="AS7" i="9" s="1"/>
  <c r="AT6" i="9"/>
  <c r="AR6" i="9"/>
  <c r="AQ6" i="9"/>
  <c r="AP6" i="9"/>
  <c r="AO6" i="9"/>
  <c r="AN6" i="9"/>
  <c r="AL6" i="9"/>
  <c r="AJ6" i="9"/>
  <c r="AM6" i="9" s="1"/>
  <c r="AT5" i="9"/>
  <c r="AR5" i="9"/>
  <c r="AQ5" i="9"/>
  <c r="AP5" i="9"/>
  <c r="AO5" i="9"/>
  <c r="AN5" i="9"/>
  <c r="AL5" i="9"/>
  <c r="AJ5" i="9"/>
  <c r="AM5" i="9" s="1"/>
  <c r="AT4" i="9"/>
  <c r="AR4" i="9"/>
  <c r="AQ4" i="9"/>
  <c r="AP4" i="9"/>
  <c r="AO4" i="9"/>
  <c r="AN4" i="9"/>
  <c r="AL4" i="9"/>
  <c r="AJ4" i="9"/>
  <c r="AM4" i="9" s="1"/>
  <c r="L80" i="9" l="1"/>
  <c r="L1" i="9"/>
  <c r="AM71" i="9"/>
  <c r="AS26" i="9"/>
  <c r="AM35" i="9"/>
  <c r="AM41" i="9"/>
  <c r="AM45" i="9"/>
  <c r="AM51" i="9"/>
  <c r="AM21" i="9"/>
  <c r="AM57" i="9"/>
  <c r="AM11" i="9"/>
  <c r="AS40" i="9"/>
  <c r="AM61" i="9"/>
  <c r="AM31" i="9"/>
  <c r="AM63" i="9"/>
  <c r="AM15" i="9"/>
  <c r="AS68" i="9"/>
  <c r="AS28" i="9"/>
  <c r="AM27" i="9"/>
  <c r="AM37" i="9"/>
  <c r="AM47" i="9"/>
  <c r="AM53" i="9"/>
  <c r="AM7" i="9"/>
  <c r="AS10" i="9"/>
  <c r="AM13" i="9"/>
  <c r="AM33" i="9"/>
  <c r="AM43" i="9"/>
  <c r="AM59" i="9"/>
  <c r="AM17" i="9"/>
  <c r="AM23" i="9"/>
  <c r="AM9" i="9"/>
  <c r="AM19" i="9"/>
  <c r="AM39" i="9"/>
  <c r="AM49" i="9"/>
  <c r="AM69" i="9"/>
  <c r="AM25" i="9"/>
  <c r="AM29" i="9"/>
  <c r="AM55" i="9"/>
  <c r="AS62" i="9"/>
  <c r="AM65" i="9"/>
  <c r="AS6" i="9"/>
  <c r="AS8" i="9"/>
  <c r="AS22" i="9"/>
  <c r="AS34" i="9"/>
  <c r="AM12" i="9"/>
  <c r="AM16" i="9"/>
  <c r="AM20" i="9"/>
  <c r="AS70" i="9"/>
  <c r="AM14" i="9"/>
  <c r="AM30" i="9"/>
  <c r="AS18" i="9"/>
  <c r="AS24" i="9"/>
  <c r="AS32" i="9"/>
  <c r="AS36" i="9"/>
  <c r="AS38" i="9"/>
  <c r="AS48" i="9"/>
  <c r="AS50" i="9"/>
  <c r="AS52" i="9"/>
  <c r="AS54" i="9"/>
  <c r="AS56" i="9"/>
  <c r="AS66" i="9"/>
  <c r="AS4" i="9"/>
  <c r="AM58" i="9"/>
  <c r="AM60" i="9"/>
  <c r="AS42" i="9"/>
  <c r="AS44" i="9"/>
  <c r="AS46" i="9"/>
  <c r="AS64" i="9"/>
  <c r="AP7" i="4"/>
  <c r="AQ7" i="4"/>
  <c r="AR7" i="4"/>
  <c r="AS7" i="4"/>
  <c r="AP8" i="4"/>
  <c r="AQ8" i="4"/>
  <c r="AR8" i="4"/>
  <c r="AS8" i="4"/>
  <c r="AP9" i="4"/>
  <c r="AQ9" i="4"/>
  <c r="AR9" i="4"/>
  <c r="AS9" i="4"/>
  <c r="AP10" i="4"/>
  <c r="AQ10" i="4"/>
  <c r="AR10" i="4"/>
  <c r="AS10" i="4"/>
  <c r="AP11" i="4"/>
  <c r="AQ11" i="4"/>
  <c r="AR11" i="4"/>
  <c r="AS11" i="4"/>
  <c r="AP12" i="4"/>
  <c r="AQ12" i="4"/>
  <c r="AR12" i="4"/>
  <c r="AS12" i="4"/>
  <c r="AP13" i="4"/>
  <c r="AQ13" i="4"/>
  <c r="AR13" i="4"/>
  <c r="AS13" i="4"/>
  <c r="AP14" i="4"/>
  <c r="AQ14" i="4"/>
  <c r="AR14" i="4"/>
  <c r="AS14" i="4"/>
  <c r="AP15" i="4"/>
  <c r="AQ15" i="4"/>
  <c r="AR15" i="4"/>
  <c r="AS15" i="4"/>
  <c r="AP16" i="4"/>
  <c r="AQ16" i="4"/>
  <c r="AR16" i="4"/>
  <c r="AS16" i="4"/>
  <c r="AP17" i="4"/>
  <c r="AQ17" i="4"/>
  <c r="AR17" i="4"/>
  <c r="AS17" i="4"/>
  <c r="AP18" i="4"/>
  <c r="AQ18" i="4"/>
  <c r="AR18" i="4"/>
  <c r="AS18" i="4"/>
  <c r="AP19" i="4"/>
  <c r="AQ19" i="4"/>
  <c r="AR19" i="4"/>
  <c r="AS19" i="4"/>
  <c r="AP20" i="4"/>
  <c r="AQ20" i="4"/>
  <c r="AR20" i="4"/>
  <c r="AS20" i="4"/>
  <c r="AP21" i="4"/>
  <c r="AQ21" i="4"/>
  <c r="AR21" i="4"/>
  <c r="AS21" i="4"/>
  <c r="AP22" i="4"/>
  <c r="AQ22" i="4"/>
  <c r="AR22" i="4"/>
  <c r="AS22" i="4"/>
  <c r="AP23" i="4"/>
  <c r="AQ23" i="4"/>
  <c r="AR23" i="4"/>
  <c r="AS23" i="4"/>
  <c r="AP24" i="4"/>
  <c r="AQ24" i="4"/>
  <c r="AR24" i="4"/>
  <c r="AS24" i="4"/>
  <c r="AP25" i="4"/>
  <c r="AQ25" i="4"/>
  <c r="AR25" i="4"/>
  <c r="AS25" i="4"/>
  <c r="AP26" i="4"/>
  <c r="AQ26" i="4"/>
  <c r="AR26" i="4"/>
  <c r="AS26" i="4"/>
  <c r="AP27" i="4"/>
  <c r="AQ27" i="4"/>
  <c r="AR27" i="4"/>
  <c r="AS27" i="4"/>
  <c r="AP28" i="4"/>
  <c r="AQ28" i="4"/>
  <c r="AR28" i="4"/>
  <c r="AS28" i="4"/>
  <c r="AP29" i="4"/>
  <c r="AQ29" i="4"/>
  <c r="AR29" i="4"/>
  <c r="AS29" i="4"/>
  <c r="AP30" i="4"/>
  <c r="AQ30" i="4"/>
  <c r="AR30" i="4"/>
  <c r="AS30" i="4"/>
  <c r="AP31" i="4"/>
  <c r="AQ31" i="4"/>
  <c r="AR31" i="4"/>
  <c r="AS31" i="4"/>
  <c r="AP32" i="4"/>
  <c r="AQ32" i="4"/>
  <c r="AR32" i="4"/>
  <c r="AS32" i="4"/>
  <c r="AP33" i="4"/>
  <c r="AQ33" i="4"/>
  <c r="AR33" i="4"/>
  <c r="AS33" i="4"/>
  <c r="AP34" i="4"/>
  <c r="AQ34" i="4"/>
  <c r="AR34" i="4"/>
  <c r="AS34" i="4"/>
  <c r="AP35" i="4"/>
  <c r="AQ35" i="4"/>
  <c r="AR35" i="4"/>
  <c r="AS35" i="4"/>
  <c r="AP36" i="4"/>
  <c r="AQ36" i="4"/>
  <c r="AR36" i="4"/>
  <c r="AS36" i="4"/>
  <c r="AP37" i="4"/>
  <c r="AQ37" i="4"/>
  <c r="AR37" i="4"/>
  <c r="AS37" i="4"/>
  <c r="AP38" i="4"/>
  <c r="AQ38" i="4"/>
  <c r="AR38" i="4"/>
  <c r="AS38" i="4"/>
  <c r="AP39" i="4"/>
  <c r="AQ39" i="4"/>
  <c r="AR39" i="4"/>
  <c r="AS39" i="4"/>
  <c r="AP40" i="4"/>
  <c r="AQ40" i="4"/>
  <c r="AR40" i="4"/>
  <c r="AS40" i="4"/>
  <c r="AP41" i="4"/>
  <c r="AQ41" i="4"/>
  <c r="AR41" i="4"/>
  <c r="AS41" i="4"/>
  <c r="AP42" i="4"/>
  <c r="AQ42" i="4"/>
  <c r="AR42" i="4"/>
  <c r="AS42" i="4"/>
  <c r="AP43" i="4"/>
  <c r="AQ43" i="4"/>
  <c r="AR43" i="4"/>
  <c r="AS43" i="4"/>
  <c r="AP44" i="4"/>
  <c r="AQ44" i="4"/>
  <c r="AR44" i="4"/>
  <c r="AS44" i="4"/>
  <c r="AP45" i="4"/>
  <c r="AQ45" i="4"/>
  <c r="AR45" i="4"/>
  <c r="AS45" i="4"/>
  <c r="AP46" i="4"/>
  <c r="AQ46" i="4"/>
  <c r="AR46" i="4"/>
  <c r="AS46" i="4"/>
  <c r="AP47" i="4"/>
  <c r="AQ47" i="4"/>
  <c r="AR47" i="4"/>
  <c r="AS47" i="4"/>
  <c r="AP48" i="4"/>
  <c r="AQ48" i="4"/>
  <c r="AR48" i="4"/>
  <c r="AS48" i="4"/>
  <c r="AP49" i="4"/>
  <c r="AQ49" i="4"/>
  <c r="AR49" i="4"/>
  <c r="AS49" i="4"/>
  <c r="AP50" i="4"/>
  <c r="AQ50" i="4"/>
  <c r="AR50" i="4"/>
  <c r="AS50" i="4"/>
  <c r="AP51" i="4"/>
  <c r="AQ51" i="4"/>
  <c r="AR51" i="4"/>
  <c r="AS51" i="4"/>
  <c r="AP52" i="4"/>
  <c r="AQ52" i="4"/>
  <c r="AR52" i="4"/>
  <c r="AS52" i="4"/>
  <c r="AP53" i="4"/>
  <c r="AQ53" i="4"/>
  <c r="AR53" i="4"/>
  <c r="AS53" i="4"/>
  <c r="AP54" i="4"/>
  <c r="AQ54" i="4"/>
  <c r="AR54" i="4"/>
  <c r="AS54" i="4"/>
  <c r="AP55" i="4"/>
  <c r="AQ55" i="4"/>
  <c r="AR55" i="4"/>
  <c r="AS55" i="4"/>
  <c r="AP56" i="4"/>
  <c r="AQ56" i="4"/>
  <c r="AR56" i="4"/>
  <c r="AS56" i="4"/>
  <c r="AP57" i="4"/>
  <c r="AQ57" i="4"/>
  <c r="AR57" i="4"/>
  <c r="AS57" i="4"/>
  <c r="AP58" i="4"/>
  <c r="AQ58" i="4"/>
  <c r="AR58" i="4"/>
  <c r="AS58" i="4"/>
  <c r="AP59" i="4"/>
  <c r="AQ59" i="4"/>
  <c r="AR59" i="4"/>
  <c r="AS59" i="4"/>
  <c r="AP60" i="4"/>
  <c r="AQ60" i="4"/>
  <c r="AR60" i="4"/>
  <c r="AS60" i="4"/>
  <c r="AP61" i="4"/>
  <c r="AQ61" i="4"/>
  <c r="AR61" i="4"/>
  <c r="AS61" i="4"/>
  <c r="AP62" i="4"/>
  <c r="AQ62" i="4"/>
  <c r="AR62" i="4"/>
  <c r="AS62" i="4"/>
  <c r="AP63" i="4"/>
  <c r="AQ63" i="4"/>
  <c r="AR63" i="4"/>
  <c r="AS63" i="4"/>
  <c r="AP64" i="4"/>
  <c r="AQ64" i="4"/>
  <c r="AR64" i="4"/>
  <c r="AS64" i="4"/>
  <c r="AP65" i="4"/>
  <c r="AQ65" i="4"/>
  <c r="AR65" i="4"/>
  <c r="AS65" i="4"/>
  <c r="AP66" i="4"/>
  <c r="AQ66" i="4"/>
  <c r="AR66" i="4"/>
  <c r="AS66" i="4"/>
  <c r="AP67" i="4"/>
  <c r="AQ67" i="4"/>
  <c r="AR67" i="4"/>
  <c r="AS67" i="4"/>
  <c r="AP68" i="4"/>
  <c r="AQ68" i="4"/>
  <c r="AR68" i="4"/>
  <c r="AS68" i="4"/>
  <c r="AP69" i="4"/>
  <c r="AQ69" i="4"/>
  <c r="AR69" i="4"/>
  <c r="AS69" i="4"/>
  <c r="AP70" i="4"/>
  <c r="AQ70" i="4"/>
  <c r="AR70" i="4"/>
  <c r="AS70" i="4"/>
  <c r="AP71" i="4"/>
  <c r="AQ71" i="4"/>
  <c r="AR71" i="4"/>
  <c r="AS71" i="4"/>
  <c r="AP72" i="4"/>
  <c r="AQ72" i="4"/>
  <c r="AR72" i="4"/>
  <c r="AS72" i="4"/>
  <c r="AP73" i="4"/>
  <c r="AQ73" i="4"/>
  <c r="AR73" i="4"/>
  <c r="AS73" i="4"/>
  <c r="AQ6" i="4"/>
  <c r="AR6" i="4"/>
  <c r="AS6" i="4"/>
  <c r="AP6" i="4"/>
  <c r="BU73" i="4"/>
  <c r="BS73" i="4"/>
  <c r="BR73" i="4"/>
  <c r="BQ73" i="4"/>
  <c r="BP73" i="4"/>
  <c r="BO73" i="4"/>
  <c r="BM73" i="4"/>
  <c r="BK73" i="4"/>
  <c r="BT73" i="4" s="1"/>
  <c r="BU72" i="4"/>
  <c r="BS72" i="4"/>
  <c r="BR72" i="4"/>
  <c r="BQ72" i="4"/>
  <c r="BP72" i="4"/>
  <c r="BO72" i="4"/>
  <c r="BM72" i="4"/>
  <c r="BK72" i="4"/>
  <c r="BT72" i="4" s="1"/>
  <c r="BU71" i="4"/>
  <c r="BS71" i="4"/>
  <c r="BR71" i="4"/>
  <c r="BQ71" i="4"/>
  <c r="BP71" i="4"/>
  <c r="BO71" i="4"/>
  <c r="BM71" i="4"/>
  <c r="BK71" i="4"/>
  <c r="BT71" i="4" s="1"/>
  <c r="BU70" i="4"/>
  <c r="BS70" i="4"/>
  <c r="BR70" i="4"/>
  <c r="BQ70" i="4"/>
  <c r="BP70" i="4"/>
  <c r="BO70" i="4"/>
  <c r="BM70" i="4"/>
  <c r="BK70" i="4"/>
  <c r="BT70" i="4" s="1"/>
  <c r="BU69" i="4"/>
  <c r="BS69" i="4"/>
  <c r="BR69" i="4"/>
  <c r="BQ69" i="4"/>
  <c r="BP69" i="4"/>
  <c r="BO69" i="4"/>
  <c r="BN69" i="4"/>
  <c r="BM69" i="4"/>
  <c r="BK69" i="4"/>
  <c r="BT69" i="4" s="1"/>
  <c r="BU68" i="4"/>
  <c r="BS68" i="4"/>
  <c r="BR68" i="4"/>
  <c r="BQ68" i="4"/>
  <c r="BP68" i="4"/>
  <c r="BO68" i="4"/>
  <c r="BM68" i="4"/>
  <c r="BK68" i="4"/>
  <c r="BT68" i="4" s="1"/>
  <c r="BU67" i="4"/>
  <c r="BS67" i="4"/>
  <c r="BR67" i="4"/>
  <c r="BQ67" i="4"/>
  <c r="BP67" i="4"/>
  <c r="BO67" i="4"/>
  <c r="BM67" i="4"/>
  <c r="BK67" i="4"/>
  <c r="BT67" i="4" s="1"/>
  <c r="BU66" i="4"/>
  <c r="BS66" i="4"/>
  <c r="BR66" i="4"/>
  <c r="BQ66" i="4"/>
  <c r="BP66" i="4"/>
  <c r="BO66" i="4"/>
  <c r="BM66" i="4"/>
  <c r="BK66" i="4"/>
  <c r="BT66" i="4" s="1"/>
  <c r="BU65" i="4"/>
  <c r="BS65" i="4"/>
  <c r="BR65" i="4"/>
  <c r="BQ65" i="4"/>
  <c r="BP65" i="4"/>
  <c r="BO65" i="4"/>
  <c r="BN65" i="4"/>
  <c r="BM65" i="4"/>
  <c r="BK65" i="4"/>
  <c r="BT65" i="4" s="1"/>
  <c r="BU64" i="4"/>
  <c r="BS64" i="4"/>
  <c r="BR64" i="4"/>
  <c r="BQ64" i="4"/>
  <c r="BP64" i="4"/>
  <c r="BO64" i="4"/>
  <c r="BM64" i="4"/>
  <c r="BK64" i="4"/>
  <c r="BT64" i="4" s="1"/>
  <c r="BU63" i="4"/>
  <c r="BS63" i="4"/>
  <c r="BR63" i="4"/>
  <c r="BQ63" i="4"/>
  <c r="BP63" i="4"/>
  <c r="BO63" i="4"/>
  <c r="BM63" i="4"/>
  <c r="BK63" i="4"/>
  <c r="BT63" i="4" s="1"/>
  <c r="BU62" i="4"/>
  <c r="BS62" i="4"/>
  <c r="BR62" i="4"/>
  <c r="BQ62" i="4"/>
  <c r="BP62" i="4"/>
  <c r="BO62" i="4"/>
  <c r="BM62" i="4"/>
  <c r="BK62" i="4"/>
  <c r="BT62" i="4" s="1"/>
  <c r="BU61" i="4"/>
  <c r="BS61" i="4"/>
  <c r="BR61" i="4"/>
  <c r="BQ61" i="4"/>
  <c r="BP61" i="4"/>
  <c r="BO61" i="4"/>
  <c r="BM61" i="4"/>
  <c r="BK61" i="4"/>
  <c r="BT61" i="4" s="1"/>
  <c r="BU60" i="4"/>
  <c r="BS60" i="4"/>
  <c r="BR60" i="4"/>
  <c r="BQ60" i="4"/>
  <c r="BP60" i="4"/>
  <c r="BO60" i="4"/>
  <c r="BM60" i="4"/>
  <c r="BK60" i="4"/>
  <c r="BT60" i="4" s="1"/>
  <c r="BU59" i="4"/>
  <c r="BS59" i="4"/>
  <c r="BR59" i="4"/>
  <c r="BQ59" i="4"/>
  <c r="BP59" i="4"/>
  <c r="BO59" i="4"/>
  <c r="BM59" i="4"/>
  <c r="BK59" i="4"/>
  <c r="BT59" i="4" s="1"/>
  <c r="BU58" i="4"/>
  <c r="BS58" i="4"/>
  <c r="BR58" i="4"/>
  <c r="BQ58" i="4"/>
  <c r="BP58" i="4"/>
  <c r="BO58" i="4"/>
  <c r="BM58" i="4"/>
  <c r="BK58" i="4"/>
  <c r="BT58" i="4" s="1"/>
  <c r="BU57" i="4"/>
  <c r="BS57" i="4"/>
  <c r="BR57" i="4"/>
  <c r="BQ57" i="4"/>
  <c r="BP57" i="4"/>
  <c r="BO57" i="4"/>
  <c r="BN57" i="4"/>
  <c r="BM57" i="4"/>
  <c r="BK57" i="4"/>
  <c r="BT57" i="4" s="1"/>
  <c r="BU56" i="4"/>
  <c r="BS56" i="4"/>
  <c r="BR56" i="4"/>
  <c r="BQ56" i="4"/>
  <c r="BP56" i="4"/>
  <c r="BO56" i="4"/>
  <c r="BM56" i="4"/>
  <c r="BK56" i="4"/>
  <c r="BT56" i="4" s="1"/>
  <c r="BU55" i="4"/>
  <c r="BS55" i="4"/>
  <c r="BR55" i="4"/>
  <c r="BQ55" i="4"/>
  <c r="BP55" i="4"/>
  <c r="BO55" i="4"/>
  <c r="BM55" i="4"/>
  <c r="BK55" i="4"/>
  <c r="BT55" i="4" s="1"/>
  <c r="BU54" i="4"/>
  <c r="BS54" i="4"/>
  <c r="BR54" i="4"/>
  <c r="BQ54" i="4"/>
  <c r="BP54" i="4"/>
  <c r="BO54" i="4"/>
  <c r="BM54" i="4"/>
  <c r="BK54" i="4"/>
  <c r="BT54" i="4" s="1"/>
  <c r="BU53" i="4"/>
  <c r="BS53" i="4"/>
  <c r="BR53" i="4"/>
  <c r="BQ53" i="4"/>
  <c r="BP53" i="4"/>
  <c r="BO53" i="4"/>
  <c r="BM53" i="4"/>
  <c r="BK53" i="4"/>
  <c r="BT53" i="4" s="1"/>
  <c r="BU52" i="4"/>
  <c r="BS52" i="4"/>
  <c r="BR52" i="4"/>
  <c r="BQ52" i="4"/>
  <c r="BP52" i="4"/>
  <c r="BO52" i="4"/>
  <c r="BN52" i="4"/>
  <c r="BM52" i="4"/>
  <c r="BK52" i="4"/>
  <c r="BT52" i="4" s="1"/>
  <c r="BU51" i="4"/>
  <c r="BS51" i="4"/>
  <c r="BR51" i="4"/>
  <c r="BQ51" i="4"/>
  <c r="BP51" i="4"/>
  <c r="BO51" i="4"/>
  <c r="BM51" i="4"/>
  <c r="BK51" i="4"/>
  <c r="BT51" i="4" s="1"/>
  <c r="BU50" i="4"/>
  <c r="BS50" i="4"/>
  <c r="BR50" i="4"/>
  <c r="BQ50" i="4"/>
  <c r="BP50" i="4"/>
  <c r="BO50" i="4"/>
  <c r="BM50" i="4"/>
  <c r="BK50" i="4"/>
  <c r="BT50" i="4" s="1"/>
  <c r="BU49" i="4"/>
  <c r="BS49" i="4"/>
  <c r="BR49" i="4"/>
  <c r="BQ49" i="4"/>
  <c r="BP49" i="4"/>
  <c r="BO49" i="4"/>
  <c r="BM49" i="4"/>
  <c r="BK49" i="4"/>
  <c r="BT49" i="4" s="1"/>
  <c r="BU48" i="4"/>
  <c r="BS48" i="4"/>
  <c r="BR48" i="4"/>
  <c r="BQ48" i="4"/>
  <c r="BP48" i="4"/>
  <c r="BO48" i="4"/>
  <c r="BM48" i="4"/>
  <c r="BK48" i="4"/>
  <c r="BU47" i="4"/>
  <c r="BS47" i="4"/>
  <c r="BR47" i="4"/>
  <c r="BQ47" i="4"/>
  <c r="BP47" i="4"/>
  <c r="BO47" i="4"/>
  <c r="BM47" i="4"/>
  <c r="BK47" i="4"/>
  <c r="BT47" i="4" s="1"/>
  <c r="BU46" i="4"/>
  <c r="BS46" i="4"/>
  <c r="BR46" i="4"/>
  <c r="BQ46" i="4"/>
  <c r="BP46" i="4"/>
  <c r="BO46" i="4"/>
  <c r="BM46" i="4"/>
  <c r="BK46" i="4"/>
  <c r="BT46" i="4" s="1"/>
  <c r="BU45" i="4"/>
  <c r="BS45" i="4"/>
  <c r="BR45" i="4"/>
  <c r="BQ45" i="4"/>
  <c r="BP45" i="4"/>
  <c r="BO45" i="4"/>
  <c r="BM45" i="4"/>
  <c r="BK45" i="4"/>
  <c r="BT45" i="4" s="1"/>
  <c r="BU44" i="4"/>
  <c r="BS44" i="4"/>
  <c r="BR44" i="4"/>
  <c r="BQ44" i="4"/>
  <c r="BP44" i="4"/>
  <c r="BO44" i="4"/>
  <c r="BM44" i="4"/>
  <c r="BK44" i="4"/>
  <c r="BT44" i="4" s="1"/>
  <c r="BU43" i="4"/>
  <c r="BS43" i="4"/>
  <c r="BR43" i="4"/>
  <c r="BQ43" i="4"/>
  <c r="BP43" i="4"/>
  <c r="BO43" i="4"/>
  <c r="BM43" i="4"/>
  <c r="BK43" i="4"/>
  <c r="BT43" i="4" s="1"/>
  <c r="BU42" i="4"/>
  <c r="BS42" i="4"/>
  <c r="BR42" i="4"/>
  <c r="BQ42" i="4"/>
  <c r="BP42" i="4"/>
  <c r="BO42" i="4"/>
  <c r="BM42" i="4"/>
  <c r="BK42" i="4"/>
  <c r="BT42" i="4" s="1"/>
  <c r="BU41" i="4"/>
  <c r="BS41" i="4"/>
  <c r="BR41" i="4"/>
  <c r="BQ41" i="4"/>
  <c r="BP41" i="4"/>
  <c r="BO41" i="4"/>
  <c r="BM41" i="4"/>
  <c r="BK41" i="4"/>
  <c r="BT41" i="4" s="1"/>
  <c r="BU40" i="4"/>
  <c r="BS40" i="4"/>
  <c r="BR40" i="4"/>
  <c r="BQ40" i="4"/>
  <c r="BP40" i="4"/>
  <c r="BO40" i="4"/>
  <c r="BM40" i="4"/>
  <c r="BK40" i="4"/>
  <c r="BT40" i="4" s="1"/>
  <c r="BU39" i="4"/>
  <c r="BS39" i="4"/>
  <c r="BR39" i="4"/>
  <c r="BQ39" i="4"/>
  <c r="BP39" i="4"/>
  <c r="BO39" i="4"/>
  <c r="BM39" i="4"/>
  <c r="BK39" i="4"/>
  <c r="BT39" i="4" s="1"/>
  <c r="BU38" i="4"/>
  <c r="BS38" i="4"/>
  <c r="BR38" i="4"/>
  <c r="BQ38" i="4"/>
  <c r="BP38" i="4"/>
  <c r="BO38" i="4"/>
  <c r="BM38" i="4"/>
  <c r="BK38" i="4"/>
  <c r="BT38" i="4" s="1"/>
  <c r="BU37" i="4"/>
  <c r="BS37" i="4"/>
  <c r="BR37" i="4"/>
  <c r="BQ37" i="4"/>
  <c r="BP37" i="4"/>
  <c r="BO37" i="4"/>
  <c r="BM37" i="4"/>
  <c r="BK37" i="4"/>
  <c r="BT37" i="4" s="1"/>
  <c r="BU36" i="4"/>
  <c r="BS36" i="4"/>
  <c r="BR36" i="4"/>
  <c r="BQ36" i="4"/>
  <c r="BP36" i="4"/>
  <c r="BO36" i="4"/>
  <c r="BM36" i="4"/>
  <c r="BK36" i="4"/>
  <c r="BT36" i="4" s="1"/>
  <c r="BU35" i="4"/>
  <c r="BS35" i="4"/>
  <c r="BR35" i="4"/>
  <c r="BQ35" i="4"/>
  <c r="BP35" i="4"/>
  <c r="BO35" i="4"/>
  <c r="BN35" i="4"/>
  <c r="BM35" i="4"/>
  <c r="BK35" i="4"/>
  <c r="BT35" i="4" s="1"/>
  <c r="BU34" i="4"/>
  <c r="BS34" i="4"/>
  <c r="BR34" i="4"/>
  <c r="BQ34" i="4"/>
  <c r="BP34" i="4"/>
  <c r="BO34" i="4"/>
  <c r="BM34" i="4"/>
  <c r="BK34" i="4"/>
  <c r="BT34" i="4" s="1"/>
  <c r="BU33" i="4"/>
  <c r="BS33" i="4"/>
  <c r="BR33" i="4"/>
  <c r="BQ33" i="4"/>
  <c r="BP33" i="4"/>
  <c r="BO33" i="4"/>
  <c r="BM33" i="4"/>
  <c r="BK33" i="4"/>
  <c r="BT33" i="4" s="1"/>
  <c r="BU32" i="4"/>
  <c r="BS32" i="4"/>
  <c r="BR32" i="4"/>
  <c r="BQ32" i="4"/>
  <c r="BP32" i="4"/>
  <c r="BO32" i="4"/>
  <c r="BM32" i="4"/>
  <c r="BK32" i="4"/>
  <c r="BT32" i="4" s="1"/>
  <c r="BU31" i="4"/>
  <c r="BS31" i="4"/>
  <c r="BR31" i="4"/>
  <c r="BQ31" i="4"/>
  <c r="BP31" i="4"/>
  <c r="BO31" i="4"/>
  <c r="BM31" i="4"/>
  <c r="BK31" i="4"/>
  <c r="BT31" i="4" s="1"/>
  <c r="BU30" i="4"/>
  <c r="BS30" i="4"/>
  <c r="BR30" i="4"/>
  <c r="BQ30" i="4"/>
  <c r="BP30" i="4"/>
  <c r="BO30" i="4"/>
  <c r="BM30" i="4"/>
  <c r="BK30" i="4"/>
  <c r="BT30" i="4" s="1"/>
  <c r="BU29" i="4"/>
  <c r="BS29" i="4"/>
  <c r="BR29" i="4"/>
  <c r="BQ29" i="4"/>
  <c r="BP29" i="4"/>
  <c r="BO29" i="4"/>
  <c r="BM29" i="4"/>
  <c r="BK29" i="4"/>
  <c r="BT29" i="4" s="1"/>
  <c r="BU28" i="4"/>
  <c r="BS28" i="4"/>
  <c r="BR28" i="4"/>
  <c r="BQ28" i="4"/>
  <c r="BP28" i="4"/>
  <c r="BO28" i="4"/>
  <c r="BM28" i="4"/>
  <c r="BK28" i="4"/>
  <c r="BT28" i="4" s="1"/>
  <c r="BU27" i="4"/>
  <c r="BS27" i="4"/>
  <c r="BR27" i="4"/>
  <c r="BQ27" i="4"/>
  <c r="BP27" i="4"/>
  <c r="BO27" i="4"/>
  <c r="BN27" i="4"/>
  <c r="BM27" i="4"/>
  <c r="BK27" i="4"/>
  <c r="BT27" i="4" s="1"/>
  <c r="BU26" i="4"/>
  <c r="BS26" i="4"/>
  <c r="BR26" i="4"/>
  <c r="BQ26" i="4"/>
  <c r="BP26" i="4"/>
  <c r="BO26" i="4"/>
  <c r="BM26" i="4"/>
  <c r="BK26" i="4"/>
  <c r="BT26" i="4" s="1"/>
  <c r="BU25" i="4"/>
  <c r="BS25" i="4"/>
  <c r="BR25" i="4"/>
  <c r="BQ25" i="4"/>
  <c r="BP25" i="4"/>
  <c r="BO25" i="4"/>
  <c r="BM25" i="4"/>
  <c r="BK25" i="4"/>
  <c r="BT25" i="4" s="1"/>
  <c r="BU24" i="4"/>
  <c r="BS24" i="4"/>
  <c r="BR24" i="4"/>
  <c r="BQ24" i="4"/>
  <c r="BP24" i="4"/>
  <c r="BO24" i="4"/>
  <c r="BM24" i="4"/>
  <c r="BK24" i="4"/>
  <c r="BT24" i="4" s="1"/>
  <c r="BU23" i="4"/>
  <c r="BS23" i="4"/>
  <c r="BR23" i="4"/>
  <c r="BQ23" i="4"/>
  <c r="BP23" i="4"/>
  <c r="BO23" i="4"/>
  <c r="BM23" i="4"/>
  <c r="BK23" i="4"/>
  <c r="BT23" i="4" s="1"/>
  <c r="BU22" i="4"/>
  <c r="BS22" i="4"/>
  <c r="BR22" i="4"/>
  <c r="BQ22" i="4"/>
  <c r="BP22" i="4"/>
  <c r="BO22" i="4"/>
  <c r="BN22" i="4"/>
  <c r="BM22" i="4"/>
  <c r="BK22" i="4"/>
  <c r="BT22" i="4" s="1"/>
  <c r="BU21" i="4"/>
  <c r="BS21" i="4"/>
  <c r="BR21" i="4"/>
  <c r="BQ21" i="4"/>
  <c r="BP21" i="4"/>
  <c r="BO21" i="4"/>
  <c r="BM21" i="4"/>
  <c r="BK21" i="4"/>
  <c r="BT21" i="4" s="1"/>
  <c r="BU20" i="4"/>
  <c r="BS20" i="4"/>
  <c r="BR20" i="4"/>
  <c r="BQ20" i="4"/>
  <c r="BP20" i="4"/>
  <c r="BO20" i="4"/>
  <c r="BM20" i="4"/>
  <c r="BK20" i="4"/>
  <c r="BT20" i="4" s="1"/>
  <c r="BU19" i="4"/>
  <c r="BS19" i="4"/>
  <c r="BR19" i="4"/>
  <c r="BQ19" i="4"/>
  <c r="BP19" i="4"/>
  <c r="BO19" i="4"/>
  <c r="BM19" i="4"/>
  <c r="BK19" i="4"/>
  <c r="BT19" i="4" s="1"/>
  <c r="BU18" i="4"/>
  <c r="BS18" i="4"/>
  <c r="BR18" i="4"/>
  <c r="BQ18" i="4"/>
  <c r="BP18" i="4"/>
  <c r="BO18" i="4"/>
  <c r="BM18" i="4"/>
  <c r="BK18" i="4"/>
  <c r="BU17" i="4"/>
  <c r="BS17" i="4"/>
  <c r="BR17" i="4"/>
  <c r="BQ17" i="4"/>
  <c r="BP17" i="4"/>
  <c r="BO17" i="4"/>
  <c r="BM17" i="4"/>
  <c r="BK17" i="4"/>
  <c r="BT17" i="4" s="1"/>
  <c r="BU16" i="4"/>
  <c r="BS16" i="4"/>
  <c r="BR16" i="4"/>
  <c r="BQ16" i="4"/>
  <c r="BP16" i="4"/>
  <c r="BO16" i="4"/>
  <c r="BM16" i="4"/>
  <c r="BK16" i="4"/>
  <c r="BT16" i="4" s="1"/>
  <c r="BU15" i="4"/>
  <c r="BS15" i="4"/>
  <c r="BR15" i="4"/>
  <c r="BQ15" i="4"/>
  <c r="BP15" i="4"/>
  <c r="BO15" i="4"/>
  <c r="BM15" i="4"/>
  <c r="BK15" i="4"/>
  <c r="BT15" i="4" s="1"/>
  <c r="BU14" i="4"/>
  <c r="BS14" i="4"/>
  <c r="BR14" i="4"/>
  <c r="BQ14" i="4"/>
  <c r="BP14" i="4"/>
  <c r="BO14" i="4"/>
  <c r="BN14" i="4"/>
  <c r="BM14" i="4"/>
  <c r="BK14" i="4"/>
  <c r="BT14" i="4" s="1"/>
  <c r="BU13" i="4"/>
  <c r="BS13" i="4"/>
  <c r="BR13" i="4"/>
  <c r="BQ13" i="4"/>
  <c r="BP13" i="4"/>
  <c r="BO13" i="4"/>
  <c r="BM13" i="4"/>
  <c r="BK13" i="4"/>
  <c r="BT13" i="4" s="1"/>
  <c r="BU12" i="4"/>
  <c r="BS12" i="4"/>
  <c r="BR12" i="4"/>
  <c r="BQ12" i="4"/>
  <c r="BP12" i="4"/>
  <c r="BO12" i="4"/>
  <c r="BM12" i="4"/>
  <c r="BK12" i="4"/>
  <c r="BT12" i="4" s="1"/>
  <c r="BU11" i="4"/>
  <c r="BS11" i="4"/>
  <c r="BR11" i="4"/>
  <c r="BQ11" i="4"/>
  <c r="BP11" i="4"/>
  <c r="BO11" i="4"/>
  <c r="BM11" i="4"/>
  <c r="BK11" i="4"/>
  <c r="BT11" i="4" s="1"/>
  <c r="BU10" i="4"/>
  <c r="BS10" i="4"/>
  <c r="BR10" i="4"/>
  <c r="BQ10" i="4"/>
  <c r="BP10" i="4"/>
  <c r="BO10" i="4"/>
  <c r="BM10" i="4"/>
  <c r="BK10" i="4"/>
  <c r="BT10" i="4" s="1"/>
  <c r="BU9" i="4"/>
  <c r="BS9" i="4"/>
  <c r="BR9" i="4"/>
  <c r="BQ9" i="4"/>
  <c r="BP9" i="4"/>
  <c r="BO9" i="4"/>
  <c r="BM9" i="4"/>
  <c r="BK9" i="4"/>
  <c r="BT9" i="4" s="1"/>
  <c r="BU8" i="4"/>
  <c r="BS8" i="4"/>
  <c r="BR8" i="4"/>
  <c r="BQ8" i="4"/>
  <c r="BP8" i="4"/>
  <c r="BO8" i="4"/>
  <c r="BM8" i="4"/>
  <c r="BK8" i="4"/>
  <c r="BT8" i="4" s="1"/>
  <c r="BU7" i="4"/>
  <c r="BS7" i="4"/>
  <c r="BR7" i="4"/>
  <c r="BQ7" i="4"/>
  <c r="BP7" i="4"/>
  <c r="BO7" i="4"/>
  <c r="BM7" i="4"/>
  <c r="BK7" i="4"/>
  <c r="BN7" i="4" s="1"/>
  <c r="BU6" i="4"/>
  <c r="BS6" i="4"/>
  <c r="BR6" i="4"/>
  <c r="BQ6" i="4"/>
  <c r="BP6" i="4"/>
  <c r="BO6" i="4"/>
  <c r="BM6" i="4"/>
  <c r="BK6" i="4"/>
  <c r="BN6" i="4" s="1"/>
  <c r="D32" i="8"/>
  <c r="D31" i="8"/>
  <c r="C32" i="8"/>
  <c r="C31" i="8"/>
  <c r="BN31" i="4" l="1"/>
  <c r="BT48" i="4"/>
  <c r="BN48" i="4"/>
  <c r="BT18" i="4"/>
  <c r="BN18" i="4"/>
  <c r="BN23" i="4"/>
  <c r="BN61" i="4"/>
  <c r="BN60" i="4"/>
  <c r="BN26" i="4"/>
  <c r="BN56" i="4"/>
  <c r="BN68" i="4"/>
  <c r="N29" i="9"/>
  <c r="P29" i="9" s="1"/>
  <c r="AU29" i="9" s="1"/>
  <c r="N22" i="9"/>
  <c r="P22" i="9" s="1"/>
  <c r="AV22" i="9" s="1"/>
  <c r="N7" i="9"/>
  <c r="P7" i="9" s="1"/>
  <c r="AV7" i="9" s="1"/>
  <c r="N71" i="9"/>
  <c r="P71" i="9" s="1"/>
  <c r="AU71" i="9" s="1"/>
  <c r="N64" i="9"/>
  <c r="P64" i="9" s="1"/>
  <c r="AV64" i="9" s="1"/>
  <c r="N41" i="9"/>
  <c r="P41" i="9" s="1"/>
  <c r="AU41" i="9" s="1"/>
  <c r="N26" i="9"/>
  <c r="P26" i="9" s="1"/>
  <c r="AU26" i="9" s="1"/>
  <c r="N19" i="9"/>
  <c r="P19" i="9" s="1"/>
  <c r="AV19" i="9" s="1"/>
  <c r="N12" i="9"/>
  <c r="P12" i="9" s="1"/>
  <c r="AV12" i="9" s="1"/>
  <c r="N4" i="9"/>
  <c r="P4" i="9" s="1"/>
  <c r="AV4" i="9" s="1"/>
  <c r="M27" i="9"/>
  <c r="O27" i="9" s="1"/>
  <c r="AF27" i="9" s="1"/>
  <c r="M31" i="9"/>
  <c r="O31" i="9" s="1"/>
  <c r="AG31" i="9" s="1"/>
  <c r="M67" i="9"/>
  <c r="O67" i="9" s="1"/>
  <c r="AG67" i="9" s="1"/>
  <c r="M55" i="9"/>
  <c r="O55" i="9" s="1"/>
  <c r="AG55" i="9" s="1"/>
  <c r="M66" i="9"/>
  <c r="O66" i="9" s="1"/>
  <c r="M20" i="9"/>
  <c r="O20" i="9" s="1"/>
  <c r="M46" i="9"/>
  <c r="O46" i="9" s="1"/>
  <c r="AG46" i="9" s="1"/>
  <c r="M53" i="9"/>
  <c r="O53" i="9" s="1"/>
  <c r="AG53" i="9" s="1"/>
  <c r="N39" i="9"/>
  <c r="P39" i="9" s="1"/>
  <c r="AU39" i="9" s="1"/>
  <c r="N73" i="9"/>
  <c r="N44" i="9"/>
  <c r="P44" i="9" s="1"/>
  <c r="AV44" i="9" s="1"/>
  <c r="M34" i="9"/>
  <c r="O34" i="9" s="1"/>
  <c r="M14" i="9"/>
  <c r="O14" i="9" s="1"/>
  <c r="AG14" i="9" s="1"/>
  <c r="N47" i="9"/>
  <c r="P47" i="9" s="1"/>
  <c r="AV47" i="9" s="1"/>
  <c r="N17" i="9"/>
  <c r="P17" i="9" s="1"/>
  <c r="AV17" i="9" s="1"/>
  <c r="N52" i="9"/>
  <c r="P52" i="9" s="1"/>
  <c r="AU52" i="9" s="1"/>
  <c r="M24" i="9"/>
  <c r="O24" i="9" s="1"/>
  <c r="AG24" i="9" s="1"/>
  <c r="M6" i="9"/>
  <c r="O6" i="9" s="1"/>
  <c r="AG6" i="9" s="1"/>
  <c r="N48" i="9"/>
  <c r="P48" i="9" s="1"/>
  <c r="AV48" i="9" s="1"/>
  <c r="N67" i="9"/>
  <c r="P67" i="9" s="1"/>
  <c r="AV67" i="9" s="1"/>
  <c r="M51" i="9"/>
  <c r="O51" i="9" s="1"/>
  <c r="M47" i="9"/>
  <c r="O47" i="9" s="1"/>
  <c r="AG47" i="9" s="1"/>
  <c r="N37" i="9"/>
  <c r="P37" i="9" s="1"/>
  <c r="AU37" i="9" s="1"/>
  <c r="N30" i="9"/>
  <c r="P30" i="9" s="1"/>
  <c r="AU30" i="9" s="1"/>
  <c r="N15" i="9"/>
  <c r="P15" i="9" s="1"/>
  <c r="AV15" i="9" s="1"/>
  <c r="M48" i="9"/>
  <c r="O48" i="9" s="1"/>
  <c r="N72" i="9"/>
  <c r="N49" i="9"/>
  <c r="P49" i="9" s="1"/>
  <c r="AU49" i="9" s="1"/>
  <c r="N34" i="9"/>
  <c r="P34" i="9" s="1"/>
  <c r="AU34" i="9" s="1"/>
  <c r="N27" i="9"/>
  <c r="P27" i="9" s="1"/>
  <c r="AV27" i="9" s="1"/>
  <c r="N20" i="9"/>
  <c r="P20" i="9" s="1"/>
  <c r="AU20" i="9" s="1"/>
  <c r="M16" i="9"/>
  <c r="O16" i="9" s="1"/>
  <c r="AG16" i="9" s="1"/>
  <c r="M19" i="9"/>
  <c r="O19" i="9" s="1"/>
  <c r="AF19" i="9" s="1"/>
  <c r="M35" i="9"/>
  <c r="O35" i="9" s="1"/>
  <c r="M43" i="9"/>
  <c r="O43" i="9" s="1"/>
  <c r="M44" i="9"/>
  <c r="O44" i="9" s="1"/>
  <c r="AF44" i="9" s="1"/>
  <c r="M8" i="9"/>
  <c r="O8" i="9" s="1"/>
  <c r="M38" i="9"/>
  <c r="O38" i="9" s="1"/>
  <c r="AF38" i="9" s="1"/>
  <c r="M45" i="9"/>
  <c r="O45" i="9" s="1"/>
  <c r="AG45" i="9" s="1"/>
  <c r="M5" i="9"/>
  <c r="O5" i="9" s="1"/>
  <c r="AG5" i="9" s="1"/>
  <c r="M73" i="9"/>
  <c r="M7" i="9"/>
  <c r="O7" i="9" s="1"/>
  <c r="AF7" i="9" s="1"/>
  <c r="N69" i="9"/>
  <c r="P69" i="9" s="1"/>
  <c r="AU69" i="9" s="1"/>
  <c r="N66" i="9"/>
  <c r="P66" i="9" s="1"/>
  <c r="AU66" i="9" s="1"/>
  <c r="M40" i="9"/>
  <c r="O40" i="9" s="1"/>
  <c r="M52" i="9"/>
  <c r="O52" i="9" s="1"/>
  <c r="N70" i="9"/>
  <c r="P70" i="9" s="1"/>
  <c r="AV70" i="9" s="1"/>
  <c r="N25" i="9"/>
  <c r="P25" i="9" s="1"/>
  <c r="AV25" i="9" s="1"/>
  <c r="N60" i="9"/>
  <c r="P60" i="9" s="1"/>
  <c r="AU60" i="9" s="1"/>
  <c r="M75" i="9"/>
  <c r="M69" i="9"/>
  <c r="O69" i="9" s="1"/>
  <c r="AG69" i="9" s="1"/>
  <c r="N45" i="9"/>
  <c r="P45" i="9" s="1"/>
  <c r="N38" i="9"/>
  <c r="P38" i="9" s="1"/>
  <c r="AV38" i="9" s="1"/>
  <c r="N23" i="9"/>
  <c r="P23" i="9" s="1"/>
  <c r="AV23" i="9" s="1"/>
  <c r="N16" i="9"/>
  <c r="P16" i="9" s="1"/>
  <c r="AU16" i="9" s="1"/>
  <c r="M59" i="9"/>
  <c r="O59" i="9" s="1"/>
  <c r="AF59" i="9" s="1"/>
  <c r="N57" i="9"/>
  <c r="P57" i="9" s="1"/>
  <c r="AV57" i="9" s="1"/>
  <c r="N42" i="9"/>
  <c r="P42" i="9" s="1"/>
  <c r="AU42" i="9" s="1"/>
  <c r="N35" i="9"/>
  <c r="P35" i="9" s="1"/>
  <c r="AV35" i="9" s="1"/>
  <c r="N28" i="9"/>
  <c r="P28" i="9" s="1"/>
  <c r="AV28" i="9" s="1"/>
  <c r="M49" i="9"/>
  <c r="O49" i="9" s="1"/>
  <c r="AF49" i="9" s="1"/>
  <c r="M72" i="9"/>
  <c r="M4" i="9"/>
  <c r="O4" i="9" s="1"/>
  <c r="M33" i="9"/>
  <c r="O33" i="9" s="1"/>
  <c r="AF33" i="9" s="1"/>
  <c r="M10" i="9"/>
  <c r="O10" i="9" s="1"/>
  <c r="AF10" i="9" s="1"/>
  <c r="M12" i="9"/>
  <c r="O12" i="9" s="1"/>
  <c r="AF12" i="9" s="1"/>
  <c r="M30" i="9"/>
  <c r="O30" i="9" s="1"/>
  <c r="M37" i="9"/>
  <c r="O37" i="9" s="1"/>
  <c r="AG37" i="9" s="1"/>
  <c r="N61" i="9"/>
  <c r="P61" i="9" s="1"/>
  <c r="AU61" i="9" s="1"/>
  <c r="N51" i="9"/>
  <c r="P51" i="9" s="1"/>
  <c r="AU51" i="9" s="1"/>
  <c r="M50" i="9"/>
  <c r="O50" i="9" s="1"/>
  <c r="AF50" i="9" s="1"/>
  <c r="M64" i="9"/>
  <c r="O64" i="9" s="1"/>
  <c r="AF64" i="9" s="1"/>
  <c r="N5" i="9"/>
  <c r="P5" i="9" s="1"/>
  <c r="N59" i="9"/>
  <c r="P59" i="9" s="1"/>
  <c r="M63" i="9"/>
  <c r="O63" i="9" s="1"/>
  <c r="AG63" i="9" s="1"/>
  <c r="M70" i="9"/>
  <c r="O70" i="9" s="1"/>
  <c r="AG70" i="9" s="1"/>
  <c r="N6" i="9"/>
  <c r="P6" i="9" s="1"/>
  <c r="AU6" i="9" s="1"/>
  <c r="N10" i="9"/>
  <c r="P10" i="9" s="1"/>
  <c r="AU10" i="9" s="1"/>
  <c r="M36" i="9"/>
  <c r="O36" i="9" s="1"/>
  <c r="AG36" i="9" s="1"/>
  <c r="M42" i="9"/>
  <c r="O42" i="9" s="1"/>
  <c r="AG42" i="9" s="1"/>
  <c r="N53" i="9"/>
  <c r="P53" i="9" s="1"/>
  <c r="AV53" i="9" s="1"/>
  <c r="N46" i="9"/>
  <c r="P46" i="9" s="1"/>
  <c r="N31" i="9"/>
  <c r="P31" i="9" s="1"/>
  <c r="AU31" i="9" s="1"/>
  <c r="N24" i="9"/>
  <c r="P24" i="9" s="1"/>
  <c r="AV24" i="9" s="1"/>
  <c r="N8" i="9"/>
  <c r="P8" i="9" s="1"/>
  <c r="AU8" i="9" s="1"/>
  <c r="N65" i="9"/>
  <c r="P65" i="9" s="1"/>
  <c r="AV65" i="9" s="1"/>
  <c r="N50" i="9"/>
  <c r="P50" i="9" s="1"/>
  <c r="AU50" i="9" s="1"/>
  <c r="N43" i="9"/>
  <c r="P43" i="9" s="1"/>
  <c r="AV43" i="9" s="1"/>
  <c r="N36" i="9"/>
  <c r="P36" i="9" s="1"/>
  <c r="M58" i="9"/>
  <c r="O58" i="9" s="1"/>
  <c r="M11" i="9"/>
  <c r="O11" i="9" s="1"/>
  <c r="AG11" i="9" s="1"/>
  <c r="M60" i="9"/>
  <c r="O60" i="9" s="1"/>
  <c r="M56" i="9"/>
  <c r="O56" i="9" s="1"/>
  <c r="AF56" i="9" s="1"/>
  <c r="M23" i="9"/>
  <c r="O23" i="9" s="1"/>
  <c r="R23" i="9" s="1"/>
  <c r="S23" i="9" s="1"/>
  <c r="M74" i="9"/>
  <c r="M15" i="9"/>
  <c r="O15" i="9" s="1"/>
  <c r="AG15" i="9" s="1"/>
  <c r="M22" i="9"/>
  <c r="O22" i="9" s="1"/>
  <c r="AG22" i="9" s="1"/>
  <c r="M29" i="9"/>
  <c r="O29" i="9" s="1"/>
  <c r="AF29" i="9" s="1"/>
  <c r="N32" i="9"/>
  <c r="P32" i="9" s="1"/>
  <c r="AU32" i="9" s="1"/>
  <c r="N9" i="9"/>
  <c r="P9" i="9" s="1"/>
  <c r="AV9" i="9" s="1"/>
  <c r="N40" i="9"/>
  <c r="P40" i="9" s="1"/>
  <c r="AV40" i="9" s="1"/>
  <c r="N13" i="9"/>
  <c r="P13" i="9" s="1"/>
  <c r="AV13" i="9" s="1"/>
  <c r="N21" i="9"/>
  <c r="P21" i="9" s="1"/>
  <c r="AU21" i="9" s="1"/>
  <c r="N14" i="9"/>
  <c r="P14" i="9" s="1"/>
  <c r="AU14" i="9" s="1"/>
  <c r="M39" i="9"/>
  <c r="O39" i="9" s="1"/>
  <c r="AG39" i="9" s="1"/>
  <c r="N63" i="9"/>
  <c r="P63" i="9" s="1"/>
  <c r="AV63" i="9" s="1"/>
  <c r="N56" i="9"/>
  <c r="P56" i="9" s="1"/>
  <c r="AV56" i="9" s="1"/>
  <c r="N33" i="9"/>
  <c r="P33" i="9" s="1"/>
  <c r="AV33" i="9" s="1"/>
  <c r="N18" i="9"/>
  <c r="P18" i="9" s="1"/>
  <c r="AV18" i="9" s="1"/>
  <c r="N11" i="9"/>
  <c r="P11" i="9" s="1"/>
  <c r="AU11" i="9" s="1"/>
  <c r="N75" i="9"/>
  <c r="N68" i="9"/>
  <c r="P68" i="9" s="1"/>
  <c r="AU68" i="9" s="1"/>
  <c r="M71" i="9"/>
  <c r="O71" i="9" s="1"/>
  <c r="AG71" i="9" s="1"/>
  <c r="M41" i="9"/>
  <c r="O41" i="9" s="1"/>
  <c r="AG41" i="9" s="1"/>
  <c r="M18" i="9"/>
  <c r="O18" i="9" s="1"/>
  <c r="AG18" i="9" s="1"/>
  <c r="M65" i="9"/>
  <c r="O65" i="9" s="1"/>
  <c r="AF65" i="9" s="1"/>
  <c r="M25" i="9"/>
  <c r="O25" i="9" s="1"/>
  <c r="M32" i="9"/>
  <c r="O32" i="9" s="1"/>
  <c r="AG32" i="9" s="1"/>
  <c r="M54" i="9"/>
  <c r="O54" i="9" s="1"/>
  <c r="M61" i="9"/>
  <c r="O61" i="9" s="1"/>
  <c r="N54" i="9"/>
  <c r="P54" i="9" s="1"/>
  <c r="AV54" i="9" s="1"/>
  <c r="N58" i="9"/>
  <c r="P58" i="9" s="1"/>
  <c r="AU58" i="9" s="1"/>
  <c r="M26" i="9"/>
  <c r="O26" i="9" s="1"/>
  <c r="AG26" i="9" s="1"/>
  <c r="M9" i="9"/>
  <c r="O9" i="9" s="1"/>
  <c r="R9" i="9" s="1"/>
  <c r="M21" i="9"/>
  <c r="O21" i="9" s="1"/>
  <c r="AF21" i="9" s="1"/>
  <c r="N62" i="9"/>
  <c r="P62" i="9" s="1"/>
  <c r="AV62" i="9" s="1"/>
  <c r="M68" i="9"/>
  <c r="O68" i="9" s="1"/>
  <c r="AF68" i="9" s="1"/>
  <c r="M17" i="9"/>
  <c r="O17" i="9" s="1"/>
  <c r="AF17" i="9" s="1"/>
  <c r="M57" i="9"/>
  <c r="O57" i="9" s="1"/>
  <c r="R57" i="9" s="1"/>
  <c r="S57" i="9" s="1"/>
  <c r="M13" i="9"/>
  <c r="O13" i="9" s="1"/>
  <c r="AF13" i="9" s="1"/>
  <c r="N55" i="9"/>
  <c r="P55" i="9" s="1"/>
  <c r="AU55" i="9" s="1"/>
  <c r="N74" i="9"/>
  <c r="M28" i="9"/>
  <c r="O28" i="9" s="1"/>
  <c r="AF28" i="9" s="1"/>
  <c r="M62" i="9"/>
  <c r="O62" i="9" s="1"/>
  <c r="BN10" i="4"/>
  <c r="BN19" i="4"/>
  <c r="BN49" i="4"/>
  <c r="BN11" i="4"/>
  <c r="BN66" i="4"/>
  <c r="BN9" i="4"/>
  <c r="BN13" i="4"/>
  <c r="BN30" i="4"/>
  <c r="BN34" i="4"/>
  <c r="BN39" i="4"/>
  <c r="BN43" i="4"/>
  <c r="BN64" i="4"/>
  <c r="BN73" i="4"/>
  <c r="BN15" i="4"/>
  <c r="BN44" i="4"/>
  <c r="BN53" i="4"/>
  <c r="BN24" i="4"/>
  <c r="BN28" i="4"/>
  <c r="BN33" i="4"/>
  <c r="BN37" i="4"/>
  <c r="BN54" i="4"/>
  <c r="BN58" i="4"/>
  <c r="BN63" i="4"/>
  <c r="BN67" i="4"/>
  <c r="BN40" i="4"/>
  <c r="BN71" i="4"/>
  <c r="BN16" i="4"/>
  <c r="BN20" i="4"/>
  <c r="BN25" i="4"/>
  <c r="BN29" i="4"/>
  <c r="BN46" i="4"/>
  <c r="BN50" i="4"/>
  <c r="BN55" i="4"/>
  <c r="BN59" i="4"/>
  <c r="BN70" i="4"/>
  <c r="BN32" i="4"/>
  <c r="BN36" i="4"/>
  <c r="BN41" i="4"/>
  <c r="BN45" i="4"/>
  <c r="BN62" i="4"/>
  <c r="BN8" i="4"/>
  <c r="BN12" i="4"/>
  <c r="BN17" i="4"/>
  <c r="BN21" i="4"/>
  <c r="BN38" i="4"/>
  <c r="BN42" i="4"/>
  <c r="BN47" i="4"/>
  <c r="BN51" i="4"/>
  <c r="BN72" i="4"/>
  <c r="BT6" i="4"/>
  <c r="E5" i="1"/>
  <c r="R4" i="9" l="1"/>
  <c r="AV21" i="9"/>
  <c r="AF46" i="9"/>
  <c r="R50" i="9"/>
  <c r="S50" i="9" s="1"/>
  <c r="AV50" i="9"/>
  <c r="AG50" i="9"/>
  <c r="AF36" i="9"/>
  <c r="AU12" i="9"/>
  <c r="AU70" i="9"/>
  <c r="AV16" i="9"/>
  <c r="R16" i="9"/>
  <c r="S16" i="9" s="1"/>
  <c r="AV37" i="9"/>
  <c r="AU17" i="9"/>
  <c r="AV20" i="9"/>
  <c r="AF45" i="9"/>
  <c r="AG68" i="9"/>
  <c r="R46" i="9"/>
  <c r="S46" i="9" s="1"/>
  <c r="AV29" i="9"/>
  <c r="R45" i="9"/>
  <c r="S45" i="9" s="1"/>
  <c r="R36" i="9"/>
  <c r="S36" i="9" s="1"/>
  <c r="AG33" i="9"/>
  <c r="AV30" i="9"/>
  <c r="R20" i="9"/>
  <c r="S20" i="9" s="1"/>
  <c r="R62" i="9"/>
  <c r="S62" i="9" s="1"/>
  <c r="AF5" i="9"/>
  <c r="AV68" i="9"/>
  <c r="AF42" i="9"/>
  <c r="AV52" i="9"/>
  <c r="R52" i="9"/>
  <c r="S52" i="9" s="1"/>
  <c r="AU22" i="9"/>
  <c r="R25" i="9"/>
  <c r="S25" i="9" s="1"/>
  <c r="AF53" i="9"/>
  <c r="R30" i="9"/>
  <c r="S30" i="9" s="1"/>
  <c r="AU43" i="9"/>
  <c r="AF15" i="9"/>
  <c r="AG59" i="9"/>
  <c r="R59" i="9"/>
  <c r="S59" i="9" s="1"/>
  <c r="R68" i="9"/>
  <c r="S68" i="9" s="1"/>
  <c r="AU25" i="9"/>
  <c r="AF16" i="9"/>
  <c r="AV39" i="9"/>
  <c r="R60" i="9"/>
  <c r="S60" i="9" s="1"/>
  <c r="AG64" i="9"/>
  <c r="AG27" i="9"/>
  <c r="R53" i="9"/>
  <c r="S53" i="9" s="1"/>
  <c r="AU36" i="9"/>
  <c r="AU57" i="9"/>
  <c r="R12" i="9"/>
  <c r="S12" i="9" s="1"/>
  <c r="AF22" i="9"/>
  <c r="R54" i="9"/>
  <c r="S54" i="9" s="1"/>
  <c r="S4" i="9"/>
  <c r="R5" i="9"/>
  <c r="S5" i="9" s="1"/>
  <c r="AV14" i="9"/>
  <c r="AU7" i="9"/>
  <c r="AU54" i="9"/>
  <c r="AF24" i="9"/>
  <c r="AV5" i="9"/>
  <c r="AU5" i="9"/>
  <c r="AG10" i="9"/>
  <c r="AU53" i="9"/>
  <c r="R43" i="9"/>
  <c r="S43" i="9" s="1"/>
  <c r="AF18" i="9"/>
  <c r="AF57" i="9"/>
  <c r="AV58" i="9"/>
  <c r="R10" i="9"/>
  <c r="S10" i="9" s="1"/>
  <c r="AF31" i="9"/>
  <c r="AV60" i="9"/>
  <c r="AV46" i="9"/>
  <c r="R34" i="9"/>
  <c r="S34" i="9" s="1"/>
  <c r="S9" i="9"/>
  <c r="AU47" i="9"/>
  <c r="AF71" i="9"/>
  <c r="AG57" i="9"/>
  <c r="AF41" i="9"/>
  <c r="AU35" i="9"/>
  <c r="AV32" i="9"/>
  <c r="R29" i="9"/>
  <c r="S29" i="9" s="1"/>
  <c r="R58" i="9"/>
  <c r="S58" i="9" s="1"/>
  <c r="AV66" i="9"/>
  <c r="AU63" i="9"/>
  <c r="R7" i="9"/>
  <c r="S7" i="9" s="1"/>
  <c r="AV59" i="9"/>
  <c r="AF6" i="9"/>
  <c r="AF69" i="9"/>
  <c r="AG12" i="9"/>
  <c r="AG58" i="9"/>
  <c r="AG7" i="9"/>
  <c r="AV69" i="9"/>
  <c r="AU59" i="9"/>
  <c r="R11" i="9"/>
  <c r="S11" i="9" s="1"/>
  <c r="AV45" i="9"/>
  <c r="AG62" i="9"/>
  <c r="AV31" i="9"/>
  <c r="AF23" i="9"/>
  <c r="R6" i="9"/>
  <c r="S6" i="9" s="1"/>
  <c r="AU67" i="9"/>
  <c r="R35" i="9"/>
  <c r="S35" i="9" s="1"/>
  <c r="AU56" i="9"/>
  <c r="R47" i="9"/>
  <c r="S47" i="9" s="1"/>
  <c r="AF70" i="9"/>
  <c r="AV41" i="9"/>
  <c r="R48" i="9"/>
  <c r="S48" i="9" s="1"/>
  <c r="AF20" i="9"/>
  <c r="AU44" i="9"/>
  <c r="AV55" i="9"/>
  <c r="AG20" i="9"/>
  <c r="AF48" i="9"/>
  <c r="AF30" i="9"/>
  <c r="R69" i="9"/>
  <c r="S69" i="9" s="1"/>
  <c r="R31" i="9"/>
  <c r="S31" i="9" s="1"/>
  <c r="AF35" i="9"/>
  <c r="AU48" i="9"/>
  <c r="AG48" i="9"/>
  <c r="AV42" i="9"/>
  <c r="AF58" i="9"/>
  <c r="AV71" i="9"/>
  <c r="AF62" i="9"/>
  <c r="AG23" i="9"/>
  <c r="R64" i="9"/>
  <c r="S64" i="9" s="1"/>
  <c r="R41" i="9"/>
  <c r="S41" i="9" s="1"/>
  <c r="R37" i="9"/>
  <c r="S37" i="9" s="1"/>
  <c r="R70" i="9"/>
  <c r="S70" i="9" s="1"/>
  <c r="R8" i="9"/>
  <c r="S8" i="9" s="1"/>
  <c r="R14" i="9"/>
  <c r="S14" i="9" s="1"/>
  <c r="R71" i="9"/>
  <c r="S71" i="9" s="1"/>
  <c r="R13" i="9"/>
  <c r="S13" i="9" s="1"/>
  <c r="AG34" i="9"/>
  <c r="AU65" i="9"/>
  <c r="AV51" i="9"/>
  <c r="AU64" i="9"/>
  <c r="AV11" i="9"/>
  <c r="AG65" i="9"/>
  <c r="AV49" i="9"/>
  <c r="AG35" i="9"/>
  <c r="AU28" i="9"/>
  <c r="AF37" i="9"/>
  <c r="AF11" i="9"/>
  <c r="AG29" i="9"/>
  <c r="R24" i="9"/>
  <c r="S24" i="9" s="1"/>
  <c r="R65" i="9"/>
  <c r="S65" i="9" s="1"/>
  <c r="R19" i="9"/>
  <c r="S19" i="9" s="1"/>
  <c r="R15" i="9"/>
  <c r="S15" i="9" s="1"/>
  <c r="AF34" i="9"/>
  <c r="AG30" i="9"/>
  <c r="AG13" i="9"/>
  <c r="AF47" i="9"/>
  <c r="AU27" i="9"/>
  <c r="AF43" i="9"/>
  <c r="R42" i="9"/>
  <c r="S42" i="9" s="1"/>
  <c r="R33" i="9"/>
  <c r="S33" i="9" s="1"/>
  <c r="AU45" i="9"/>
  <c r="AU24" i="9"/>
  <c r="AU33" i="9"/>
  <c r="R63" i="9"/>
  <c r="S63" i="9" s="1"/>
  <c r="AV10" i="9"/>
  <c r="AU19" i="9"/>
  <c r="AG43" i="9"/>
  <c r="AU46" i="9"/>
  <c r="AF60" i="9"/>
  <c r="R27" i="9"/>
  <c r="S27" i="9" s="1"/>
  <c r="R22" i="9"/>
  <c r="S22" i="9" s="1"/>
  <c r="R40" i="9"/>
  <c r="S40" i="9" s="1"/>
  <c r="AG40" i="9"/>
  <c r="R51" i="9"/>
  <c r="S51" i="9" s="1"/>
  <c r="AF51" i="9"/>
  <c r="AG51" i="9"/>
  <c r="R66" i="9"/>
  <c r="S66" i="9" s="1"/>
  <c r="AF66" i="9"/>
  <c r="AG66" i="9"/>
  <c r="AF14" i="9"/>
  <c r="AV6" i="9"/>
  <c r="AU18" i="9"/>
  <c r="AV8" i="9"/>
  <c r="AG56" i="9"/>
  <c r="R28" i="9"/>
  <c r="S28" i="9" s="1"/>
  <c r="N2" i="9"/>
  <c r="R18" i="9"/>
  <c r="S18" i="9" s="1"/>
  <c r="AG21" i="9"/>
  <c r="AF8" i="9"/>
  <c r="R38" i="9"/>
  <c r="S38" i="9" s="1"/>
  <c r="R49" i="9"/>
  <c r="S49" i="9" s="1"/>
  <c r="R61" i="9"/>
  <c r="S61" i="9" s="1"/>
  <c r="R21" i="9"/>
  <c r="S21" i="9" s="1"/>
  <c r="AU40" i="9"/>
  <c r="AG49" i="9"/>
  <c r="AG28" i="9"/>
  <c r="AV34" i="9"/>
  <c r="AU38" i="9"/>
  <c r="AU23" i="9"/>
  <c r="R56" i="9"/>
  <c r="S56" i="9" s="1"/>
  <c r="AV61" i="9"/>
  <c r="AU9" i="9"/>
  <c r="AF26" i="9"/>
  <c r="AV26" i="9"/>
  <c r="AU62" i="9"/>
  <c r="AF63" i="9"/>
  <c r="AU13" i="9"/>
  <c r="AG19" i="9"/>
  <c r="AG38" i="9"/>
  <c r="AG60" i="9"/>
  <c r="M2" i="9"/>
  <c r="O72" i="9" s="1"/>
  <c r="R72" i="9" s="1"/>
  <c r="S72" i="9" s="1"/>
  <c r="AG8" i="9"/>
  <c r="R26" i="9"/>
  <c r="S26" i="9" s="1"/>
  <c r="AU15" i="9"/>
  <c r="AV36" i="9"/>
  <c r="AF61" i="9"/>
  <c r="AF52" i="9"/>
  <c r="AF40" i="9"/>
  <c r="AG52" i="9"/>
  <c r="AF54" i="9"/>
  <c r="AG54" i="9"/>
  <c r="AG9" i="9"/>
  <c r="AF9" i="9"/>
  <c r="AF32" i="9"/>
  <c r="AG61" i="9"/>
  <c r="R44" i="9"/>
  <c r="S44" i="9" s="1"/>
  <c r="AF25" i="9"/>
  <c r="R32" i="9"/>
  <c r="S32" i="9" s="1"/>
  <c r="R55" i="9"/>
  <c r="S55" i="9" s="1"/>
  <c r="R39" i="9"/>
  <c r="S39" i="9" s="1"/>
  <c r="AG25" i="9"/>
  <c r="R17" i="9"/>
  <c r="S17" i="9" s="1"/>
  <c r="R67" i="9"/>
  <c r="S67" i="9" s="1"/>
  <c r="AF67" i="9"/>
  <c r="AF39" i="9"/>
  <c r="AG44" i="9"/>
  <c r="AF55" i="9"/>
  <c r="AG17" i="9"/>
  <c r="AU4" i="9"/>
  <c r="AG4" i="9"/>
  <c r="AF4" i="9"/>
  <c r="P73" i="9" l="1"/>
  <c r="O73" i="9"/>
  <c r="R73" i="9" s="1"/>
  <c r="AV73" i="9"/>
  <c r="P75" i="9" s="1"/>
  <c r="AU73" i="9"/>
  <c r="P74" i="9" s="1"/>
  <c r="AG73" i="9"/>
  <c r="O75" i="9" s="1"/>
  <c r="AF73" i="9"/>
  <c r="O74" i="9" s="1"/>
  <c r="R74" i="9" s="1"/>
  <c r="E5" i="6"/>
  <c r="L3" i="6" s="1"/>
  <c r="Y3" i="7"/>
  <c r="L6" i="6"/>
  <c r="AB3" i="7"/>
  <c r="AA3" i="7"/>
  <c r="Z3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D88" i="7"/>
  <c r="G88" i="7" s="1"/>
  <c r="C88" i="7"/>
  <c r="B88" i="7"/>
  <c r="D87" i="7"/>
  <c r="G87" i="7" s="1"/>
  <c r="C87" i="7"/>
  <c r="B87" i="7"/>
  <c r="D86" i="7"/>
  <c r="G86" i="7" s="1"/>
  <c r="C86" i="7"/>
  <c r="B86" i="7"/>
  <c r="D85" i="7"/>
  <c r="G85" i="7" s="1"/>
  <c r="C85" i="7"/>
  <c r="B85" i="7"/>
  <c r="D84" i="7"/>
  <c r="G84" i="7" s="1"/>
  <c r="C84" i="7"/>
  <c r="B84" i="7"/>
  <c r="D83" i="7"/>
  <c r="G83" i="7" s="1"/>
  <c r="C83" i="7"/>
  <c r="B83" i="7"/>
  <c r="D80" i="7"/>
  <c r="G80" i="7" s="1"/>
  <c r="C80" i="7"/>
  <c r="B80" i="7"/>
  <c r="D81" i="7"/>
  <c r="G81" i="7" s="1"/>
  <c r="C81" i="7"/>
  <c r="B81" i="7"/>
  <c r="D79" i="7"/>
  <c r="G79" i="7" s="1"/>
  <c r="C79" i="7"/>
  <c r="B79" i="7"/>
  <c r="D82" i="7"/>
  <c r="G82" i="7" s="1"/>
  <c r="C82" i="7"/>
  <c r="B82" i="7"/>
  <c r="D78" i="7"/>
  <c r="G78" i="7" s="1"/>
  <c r="C78" i="7"/>
  <c r="B78" i="7"/>
  <c r="D75" i="7"/>
  <c r="G75" i="7" s="1"/>
  <c r="C75" i="7"/>
  <c r="B75" i="7"/>
  <c r="D76" i="7"/>
  <c r="G76" i="7" s="1"/>
  <c r="C76" i="7"/>
  <c r="B76" i="7"/>
  <c r="D77" i="7"/>
  <c r="G77" i="7" s="1"/>
  <c r="C77" i="7"/>
  <c r="B77" i="7"/>
  <c r="D71" i="7"/>
  <c r="G71" i="7" s="1"/>
  <c r="C71" i="7"/>
  <c r="B71" i="7"/>
  <c r="D74" i="7"/>
  <c r="G74" i="7" s="1"/>
  <c r="C74" i="7"/>
  <c r="B74" i="7"/>
  <c r="D72" i="7"/>
  <c r="G72" i="7" s="1"/>
  <c r="C72" i="7"/>
  <c r="B72" i="7"/>
  <c r="D73" i="7"/>
  <c r="G73" i="7" s="1"/>
  <c r="C73" i="7"/>
  <c r="B73" i="7"/>
  <c r="D69" i="7"/>
  <c r="G69" i="7" s="1"/>
  <c r="C69" i="7"/>
  <c r="B69" i="7"/>
  <c r="D67" i="7"/>
  <c r="G67" i="7" s="1"/>
  <c r="C67" i="7"/>
  <c r="B67" i="7"/>
  <c r="D70" i="7"/>
  <c r="G70" i="7" s="1"/>
  <c r="C70" i="7"/>
  <c r="B70" i="7"/>
  <c r="D66" i="7"/>
  <c r="G66" i="7" s="1"/>
  <c r="C66" i="7"/>
  <c r="B66" i="7"/>
  <c r="D68" i="7"/>
  <c r="G68" i="7" s="1"/>
  <c r="C68" i="7"/>
  <c r="B68" i="7"/>
  <c r="D65" i="7"/>
  <c r="G65" i="7" s="1"/>
  <c r="C65" i="7"/>
  <c r="B65" i="7"/>
  <c r="D61" i="7"/>
  <c r="G61" i="7" s="1"/>
  <c r="C61" i="7"/>
  <c r="B61" i="7"/>
  <c r="D64" i="7"/>
  <c r="G64" i="7" s="1"/>
  <c r="C64" i="7"/>
  <c r="B64" i="7"/>
  <c r="D63" i="7"/>
  <c r="G63" i="7" s="1"/>
  <c r="C63" i="7"/>
  <c r="B63" i="7"/>
  <c r="D62" i="7"/>
  <c r="G62" i="7" s="1"/>
  <c r="C62" i="7"/>
  <c r="B62" i="7"/>
  <c r="D58" i="7"/>
  <c r="G58" i="7" s="1"/>
  <c r="C58" i="7"/>
  <c r="B58" i="7"/>
  <c r="D59" i="7"/>
  <c r="G59" i="7" s="1"/>
  <c r="C59" i="7"/>
  <c r="B59" i="7"/>
  <c r="D57" i="7"/>
  <c r="G57" i="7" s="1"/>
  <c r="C57" i="7"/>
  <c r="B57" i="7"/>
  <c r="D60" i="7"/>
  <c r="G60" i="7" s="1"/>
  <c r="C60" i="7"/>
  <c r="B60" i="7"/>
  <c r="D55" i="7"/>
  <c r="G55" i="7" s="1"/>
  <c r="C55" i="7"/>
  <c r="B55" i="7"/>
  <c r="D53" i="7"/>
  <c r="G53" i="7" s="1"/>
  <c r="C53" i="7"/>
  <c r="B53" i="7"/>
  <c r="D54" i="7"/>
  <c r="G54" i="7" s="1"/>
  <c r="C54" i="7"/>
  <c r="B54" i="7"/>
  <c r="D52" i="7"/>
  <c r="G52" i="7" s="1"/>
  <c r="C52" i="7"/>
  <c r="B52" i="7"/>
  <c r="D56" i="7"/>
  <c r="G56" i="7" s="1"/>
  <c r="C56" i="7"/>
  <c r="B56" i="7"/>
  <c r="D49" i="7"/>
  <c r="G49" i="7" s="1"/>
  <c r="C49" i="7"/>
  <c r="B49" i="7"/>
  <c r="D48" i="7"/>
  <c r="G48" i="7" s="1"/>
  <c r="C48" i="7"/>
  <c r="B48" i="7"/>
  <c r="D51" i="7"/>
  <c r="G51" i="7" s="1"/>
  <c r="C51" i="7"/>
  <c r="B51" i="7"/>
  <c r="D50" i="7"/>
  <c r="G50" i="7" s="1"/>
  <c r="C50" i="7"/>
  <c r="B50" i="7"/>
  <c r="D46" i="7"/>
  <c r="G46" i="7" s="1"/>
  <c r="C46" i="7"/>
  <c r="B46" i="7"/>
  <c r="D45" i="7"/>
  <c r="G45" i="7" s="1"/>
  <c r="C45" i="7"/>
  <c r="B45" i="7"/>
  <c r="D47" i="7"/>
  <c r="G47" i="7" s="1"/>
  <c r="C47" i="7"/>
  <c r="B47" i="7"/>
  <c r="D44" i="7"/>
  <c r="G44" i="7" s="1"/>
  <c r="C44" i="7"/>
  <c r="B44" i="7"/>
  <c r="D13" i="7"/>
  <c r="G13" i="7" s="1"/>
  <c r="C13" i="7"/>
  <c r="B13" i="7"/>
  <c r="D12" i="7"/>
  <c r="G12" i="7" s="1"/>
  <c r="C12" i="7"/>
  <c r="B12" i="7"/>
  <c r="D11" i="7"/>
  <c r="G11" i="7" s="1"/>
  <c r="C11" i="7"/>
  <c r="B11" i="7"/>
  <c r="D6" i="7"/>
  <c r="G6" i="7" s="1"/>
  <c r="C6" i="7"/>
  <c r="B6" i="7"/>
  <c r="D4" i="7"/>
  <c r="G4" i="7" s="1"/>
  <c r="C4" i="7"/>
  <c r="B4" i="7"/>
  <c r="D7" i="7"/>
  <c r="G7" i="7" s="1"/>
  <c r="C7" i="7"/>
  <c r="B7" i="7"/>
  <c r="D10" i="7"/>
  <c r="G10" i="7" s="1"/>
  <c r="C10" i="7"/>
  <c r="B10" i="7"/>
  <c r="D8" i="7"/>
  <c r="G8" i="7" s="1"/>
  <c r="C8" i="7"/>
  <c r="B8" i="7"/>
  <c r="D9" i="7"/>
  <c r="G9" i="7" s="1"/>
  <c r="C9" i="7"/>
  <c r="B9" i="7"/>
  <c r="D42" i="7"/>
  <c r="G42" i="7" s="1"/>
  <c r="C42" i="7"/>
  <c r="B42" i="7"/>
  <c r="D40" i="7"/>
  <c r="G40" i="7" s="1"/>
  <c r="C40" i="7"/>
  <c r="B40" i="7"/>
  <c r="D43" i="7"/>
  <c r="G43" i="7" s="1"/>
  <c r="C43" i="7"/>
  <c r="B43" i="7"/>
  <c r="D41" i="7"/>
  <c r="G41" i="7" s="1"/>
  <c r="C41" i="7"/>
  <c r="B41" i="7"/>
  <c r="D39" i="7"/>
  <c r="G39" i="7" s="1"/>
  <c r="C39" i="7"/>
  <c r="B39" i="7"/>
  <c r="D5" i="7"/>
  <c r="G5" i="7" s="1"/>
  <c r="C5" i="7"/>
  <c r="B5" i="7"/>
  <c r="D37" i="7"/>
  <c r="G37" i="7" s="1"/>
  <c r="C37" i="7"/>
  <c r="B37" i="7"/>
  <c r="D35" i="7"/>
  <c r="G35" i="7" s="1"/>
  <c r="C35" i="7"/>
  <c r="B35" i="7"/>
  <c r="D34" i="7"/>
  <c r="G34" i="7" s="1"/>
  <c r="C34" i="7"/>
  <c r="B34" i="7"/>
  <c r="D38" i="7"/>
  <c r="G38" i="7" s="1"/>
  <c r="C38" i="7"/>
  <c r="B38" i="7"/>
  <c r="D32" i="7"/>
  <c r="G32" i="7" s="1"/>
  <c r="C32" i="7"/>
  <c r="B32" i="7"/>
  <c r="D36" i="7"/>
  <c r="G36" i="7" s="1"/>
  <c r="C36" i="7"/>
  <c r="B36" i="7"/>
  <c r="D33" i="7"/>
  <c r="G33" i="7" s="1"/>
  <c r="C33" i="7"/>
  <c r="B33" i="7"/>
  <c r="D31" i="7"/>
  <c r="G31" i="7" s="1"/>
  <c r="C31" i="7"/>
  <c r="B31" i="7"/>
  <c r="D26" i="7"/>
  <c r="G26" i="7" s="1"/>
  <c r="C26" i="7"/>
  <c r="B26" i="7"/>
  <c r="D30" i="7"/>
  <c r="G30" i="7" s="1"/>
  <c r="C30" i="7"/>
  <c r="B30" i="7"/>
  <c r="D28" i="7"/>
  <c r="G28" i="7" s="1"/>
  <c r="C28" i="7"/>
  <c r="B28" i="7"/>
  <c r="D29" i="7"/>
  <c r="G29" i="7" s="1"/>
  <c r="C29" i="7"/>
  <c r="B29" i="7"/>
  <c r="D27" i="7"/>
  <c r="G27" i="7" s="1"/>
  <c r="C27" i="7"/>
  <c r="B27" i="7"/>
  <c r="D24" i="7"/>
  <c r="G24" i="7" s="1"/>
  <c r="C24" i="7"/>
  <c r="B24" i="7"/>
  <c r="D22" i="7"/>
  <c r="G22" i="7" s="1"/>
  <c r="C22" i="7"/>
  <c r="B22" i="7"/>
  <c r="D25" i="7"/>
  <c r="G25" i="7" s="1"/>
  <c r="C25" i="7"/>
  <c r="B25" i="7"/>
  <c r="D23" i="7"/>
  <c r="G23" i="7" s="1"/>
  <c r="C23" i="7"/>
  <c r="B23" i="7"/>
  <c r="D19" i="7"/>
  <c r="G19" i="7" s="1"/>
  <c r="C19" i="7"/>
  <c r="B19" i="7"/>
  <c r="D18" i="7"/>
  <c r="G18" i="7" s="1"/>
  <c r="C18" i="7"/>
  <c r="B18" i="7"/>
  <c r="D17" i="7"/>
  <c r="G17" i="7" s="1"/>
  <c r="C17" i="7"/>
  <c r="B17" i="7"/>
  <c r="D20" i="7"/>
  <c r="G20" i="7" s="1"/>
  <c r="C20" i="7"/>
  <c r="B20" i="7"/>
  <c r="D15" i="7"/>
  <c r="G15" i="7" s="1"/>
  <c r="C15" i="7"/>
  <c r="B15" i="7"/>
  <c r="D16" i="7"/>
  <c r="G16" i="7" s="1"/>
  <c r="C16" i="7"/>
  <c r="B16" i="7"/>
  <c r="D14" i="7"/>
  <c r="G14" i="7" s="1"/>
  <c r="C14" i="7"/>
  <c r="B14" i="7"/>
  <c r="D21" i="7"/>
  <c r="G21" i="7" s="1"/>
  <c r="C21" i="7"/>
  <c r="B21" i="7"/>
  <c r="D5" i="6"/>
  <c r="W19" i="7"/>
  <c r="W34" i="7"/>
  <c r="W29" i="7"/>
  <c r="W6" i="7"/>
  <c r="W37" i="7"/>
  <c r="W44" i="7"/>
  <c r="W69" i="7"/>
  <c r="W65" i="7"/>
  <c r="W67" i="7"/>
  <c r="W47" i="7"/>
  <c r="W22" i="7"/>
  <c r="W60" i="7"/>
  <c r="W64" i="7"/>
  <c r="W62" i="7"/>
  <c r="W68" i="7"/>
  <c r="W30" i="7"/>
  <c r="W57" i="7"/>
  <c r="W45" i="7"/>
  <c r="W25" i="7"/>
  <c r="W73" i="7"/>
  <c r="W12" i="7"/>
  <c r="W9" i="7"/>
  <c r="W20" i="7"/>
  <c r="W16" i="7"/>
  <c r="W35" i="7"/>
  <c r="W41" i="7"/>
  <c r="W50" i="7"/>
  <c r="W46" i="7"/>
  <c r="W26" i="7"/>
  <c r="W43" i="7"/>
  <c r="W38" i="7"/>
  <c r="W13" i="7"/>
  <c r="W49" i="7"/>
  <c r="W54" i="7"/>
  <c r="W8" i="7"/>
  <c r="W66" i="7"/>
  <c r="W11" i="7"/>
  <c r="W70" i="7"/>
  <c r="W18" i="7"/>
  <c r="W33" i="7"/>
  <c r="W61" i="7"/>
  <c r="W24" i="7"/>
  <c r="W58" i="7"/>
  <c r="W52" i="7"/>
  <c r="W36" i="7"/>
  <c r="W59" i="7"/>
  <c r="W7" i="7"/>
  <c r="W40" i="7"/>
  <c r="W32" i="7"/>
  <c r="W71" i="7"/>
  <c r="W63" i="7"/>
  <c r="W56" i="7"/>
  <c r="W14" i="7"/>
  <c r="W53" i="7"/>
  <c r="W10" i="7"/>
  <c r="W42" i="7"/>
  <c r="W51" i="7"/>
  <c r="W21" i="7"/>
  <c r="W15" i="7"/>
  <c r="W55" i="7"/>
  <c r="W72" i="7"/>
  <c r="W28" i="7"/>
  <c r="W48" i="7"/>
  <c r="W17" i="7"/>
  <c r="W31" i="7"/>
  <c r="W39" i="7"/>
  <c r="W27" i="7"/>
  <c r="W23" i="7"/>
  <c r="S74" i="9" l="1"/>
  <c r="L10" i="6"/>
  <c r="S73" i="9"/>
  <c r="AT53" i="4"/>
  <c r="AT46" i="4"/>
  <c r="AT73" i="4"/>
  <c r="AT60" i="4"/>
  <c r="AT27" i="4"/>
  <c r="AT17" i="4"/>
  <c r="AT72" i="4"/>
  <c r="AT13" i="4"/>
  <c r="AT14" i="4"/>
  <c r="AT50" i="4"/>
  <c r="AT25" i="4"/>
  <c r="AT22" i="4"/>
  <c r="AT61" i="4"/>
  <c r="AT70" i="4"/>
  <c r="AT8" i="4"/>
  <c r="AT51" i="4"/>
  <c r="AT56" i="4"/>
  <c r="AT41" i="4"/>
  <c r="AT45" i="4"/>
  <c r="AT47" i="4"/>
  <c r="AT52" i="4"/>
  <c r="AT58" i="4"/>
  <c r="AT55" i="4"/>
  <c r="AT38" i="4"/>
  <c r="AT63" i="4"/>
  <c r="AT35" i="4"/>
  <c r="AT57" i="4"/>
  <c r="AT67" i="4"/>
  <c r="AT39" i="4"/>
  <c r="AT48" i="4"/>
  <c r="AT54" i="4"/>
  <c r="AT42" i="4"/>
  <c r="AT71" i="4"/>
  <c r="AT16" i="4"/>
  <c r="AT30" i="4"/>
  <c r="AT65" i="4"/>
  <c r="AT33" i="4"/>
  <c r="AT11" i="4"/>
  <c r="AT15" i="4"/>
  <c r="AT43" i="4"/>
  <c r="AT32" i="4"/>
  <c r="AT20" i="4"/>
  <c r="AT68" i="4"/>
  <c r="AT69" i="4"/>
  <c r="AT31" i="4"/>
  <c r="AT28" i="4"/>
  <c r="AT49" i="4"/>
  <c r="AT10" i="4"/>
  <c r="AT40" i="4"/>
  <c r="AT9" i="4"/>
  <c r="AT62" i="4"/>
  <c r="AT44" i="4"/>
  <c r="AT18" i="4"/>
  <c r="AT66" i="4"/>
  <c r="AT21" i="4"/>
  <c r="AT26" i="4"/>
  <c r="AT7" i="4"/>
  <c r="AT12" i="4"/>
  <c r="AT64" i="4"/>
  <c r="AT37" i="4"/>
  <c r="AT29" i="4"/>
  <c r="AT34" i="4"/>
  <c r="AT19" i="4"/>
  <c r="AT23" i="4"/>
  <c r="AT59" i="4"/>
  <c r="AT36" i="4"/>
  <c r="AT24" i="4"/>
  <c r="AT6" i="4"/>
  <c r="K54" i="6"/>
  <c r="R75" i="9"/>
  <c r="S75" i="9" s="1"/>
  <c r="L24" i="6"/>
  <c r="J18" i="6" s="1"/>
  <c r="Y4" i="7"/>
  <c r="Z4" i="7" s="1"/>
  <c r="X14" i="7"/>
  <c r="AU14" i="4" s="1"/>
  <c r="X6" i="7"/>
  <c r="AU6" i="4" s="1"/>
  <c r="X21" i="7"/>
  <c r="AU21" i="4" s="1"/>
  <c r="X30" i="7"/>
  <c r="AU30" i="4" s="1"/>
  <c r="X37" i="7"/>
  <c r="AU37" i="4" s="1"/>
  <c r="X41" i="7"/>
  <c r="AU41" i="4" s="1"/>
  <c r="X46" i="7"/>
  <c r="AU46" i="4" s="1"/>
  <c r="X27" i="7"/>
  <c r="AU27" i="4" s="1"/>
  <c r="X35" i="7"/>
  <c r="AU35" i="4" s="1"/>
  <c r="X50" i="7"/>
  <c r="AU50" i="4" s="1"/>
  <c r="X54" i="7"/>
  <c r="AU54" i="4" s="1"/>
  <c r="X65" i="7"/>
  <c r="AU65" i="4" s="1"/>
  <c r="X29" i="7"/>
  <c r="AU29" i="4" s="1"/>
  <c r="X69" i="7"/>
  <c r="AU69" i="4" s="1"/>
  <c r="X49" i="7"/>
  <c r="AU49" i="4" s="1"/>
  <c r="X9" i="7"/>
  <c r="AU9" i="4" s="1"/>
  <c r="X18" i="7"/>
  <c r="AU18" i="4" s="1"/>
  <c r="X25" i="7"/>
  <c r="AU25" i="4" s="1"/>
  <c r="X26" i="7"/>
  <c r="AU26" i="4" s="1"/>
  <c r="X33" i="7"/>
  <c r="AU33" i="4" s="1"/>
  <c r="X34" i="7"/>
  <c r="AU34" i="4" s="1"/>
  <c r="X53" i="7"/>
  <c r="AU53" i="4" s="1"/>
  <c r="X58" i="7"/>
  <c r="AU58" i="4" s="1"/>
  <c r="X38" i="7"/>
  <c r="AU38" i="4" s="1"/>
  <c r="X13" i="7"/>
  <c r="AU13" i="4" s="1"/>
  <c r="X22" i="7"/>
  <c r="AU22" i="4" s="1"/>
  <c r="X42" i="7"/>
  <c r="AU42" i="4" s="1"/>
  <c r="X11" i="7"/>
  <c r="AU11" i="4" s="1"/>
  <c r="X19" i="7"/>
  <c r="AU19" i="4" s="1"/>
  <c r="X45" i="7"/>
  <c r="AU45" i="4" s="1"/>
  <c r="X10" i="7"/>
  <c r="AU10" i="4" s="1"/>
  <c r="X17" i="7"/>
  <c r="AU17" i="4" s="1"/>
  <c r="X57" i="7"/>
  <c r="AU57" i="4" s="1"/>
  <c r="X61" i="7"/>
  <c r="AU61" i="4" s="1"/>
  <c r="X7" i="7"/>
  <c r="AU7" i="4" s="1"/>
  <c r="X15" i="7"/>
  <c r="AU15" i="4" s="1"/>
  <c r="X23" i="7"/>
  <c r="AU23" i="4" s="1"/>
  <c r="X31" i="7"/>
  <c r="AU31" i="4" s="1"/>
  <c r="X73" i="7"/>
  <c r="AU73" i="4" s="1"/>
  <c r="X62" i="7"/>
  <c r="AU62" i="4" s="1"/>
  <c r="X66" i="7"/>
  <c r="AU66" i="4" s="1"/>
  <c r="X70" i="7"/>
  <c r="AU70" i="4" s="1"/>
  <c r="X71" i="7"/>
  <c r="AU71" i="4" s="1"/>
  <c r="X43" i="7"/>
  <c r="AU43" i="4" s="1"/>
  <c r="X59" i="7"/>
  <c r="AU59" i="4" s="1"/>
  <c r="X47" i="7"/>
  <c r="AU47" i="4" s="1"/>
  <c r="X55" i="7"/>
  <c r="AU55" i="4" s="1"/>
  <c r="X63" i="7"/>
  <c r="AU63" i="4" s="1"/>
  <c r="X67" i="7"/>
  <c r="AU67" i="4" s="1"/>
  <c r="X8" i="7"/>
  <c r="AU8" i="4" s="1"/>
  <c r="X12" i="7"/>
  <c r="AU12" i="4" s="1"/>
  <c r="X32" i="7"/>
  <c r="AU32" i="4" s="1"/>
  <c r="X36" i="7"/>
  <c r="AU36" i="4" s="1"/>
  <c r="X52" i="7"/>
  <c r="AU52" i="4" s="1"/>
  <c r="X60" i="7"/>
  <c r="AU60" i="4" s="1"/>
  <c r="X72" i="7"/>
  <c r="AU72" i="4" s="1"/>
  <c r="X39" i="7"/>
  <c r="AU39" i="4" s="1"/>
  <c r="X51" i="7"/>
  <c r="AU51" i="4" s="1"/>
  <c r="X16" i="7"/>
  <c r="AU16" i="4" s="1"/>
  <c r="X20" i="7"/>
  <c r="AU20" i="4" s="1"/>
  <c r="X24" i="7"/>
  <c r="AU24" i="4" s="1"/>
  <c r="X28" i="7"/>
  <c r="AU28" i="4" s="1"/>
  <c r="X40" i="7"/>
  <c r="AU40" i="4" s="1"/>
  <c r="X44" i="7"/>
  <c r="AU44" i="4" s="1"/>
  <c r="X48" i="7"/>
  <c r="AU48" i="4" s="1"/>
  <c r="X56" i="7"/>
  <c r="AU56" i="4" s="1"/>
  <c r="X64" i="7"/>
  <c r="AU64" i="4" s="1"/>
  <c r="X68" i="7"/>
  <c r="AU68" i="4" s="1"/>
  <c r="S78" i="9" l="1"/>
  <c r="T72" i="9" s="1"/>
  <c r="J7" i="6"/>
  <c r="J15" i="6"/>
  <c r="J23" i="6"/>
  <c r="J31" i="6"/>
  <c r="J39" i="6"/>
  <c r="J47" i="6"/>
  <c r="J26" i="6"/>
  <c r="J34" i="6"/>
  <c r="J27" i="6"/>
  <c r="J28" i="6"/>
  <c r="J8" i="6"/>
  <c r="J16" i="6"/>
  <c r="J24" i="6"/>
  <c r="J32" i="6"/>
  <c r="J40" i="6"/>
  <c r="J6" i="6"/>
  <c r="J20" i="6"/>
  <c r="J9" i="6"/>
  <c r="J17" i="6"/>
  <c r="J25" i="6"/>
  <c r="J33" i="6"/>
  <c r="J41" i="6"/>
  <c r="J42" i="6"/>
  <c r="J19" i="6"/>
  <c r="J35" i="6"/>
  <c r="J43" i="6"/>
  <c r="J36" i="6"/>
  <c r="J44" i="6"/>
  <c r="J10" i="6"/>
  <c r="J11" i="6"/>
  <c r="J12" i="6"/>
  <c r="J13" i="6"/>
  <c r="J21" i="6"/>
  <c r="J29" i="6"/>
  <c r="J37" i="6"/>
  <c r="J45" i="6"/>
  <c r="J22" i="6"/>
  <c r="J14" i="6"/>
  <c r="J30" i="6"/>
  <c r="J38" i="6"/>
  <c r="J46" i="6"/>
  <c r="Z6" i="7"/>
  <c r="AB6" i="7" s="1"/>
  <c r="AW6" i="4" s="1"/>
  <c r="Y6" i="7"/>
  <c r="AA6" i="7" s="1"/>
  <c r="BJ6" i="4" s="1"/>
  <c r="Z44" i="7"/>
  <c r="AB44" i="7" s="1"/>
  <c r="AW44" i="4" s="1"/>
  <c r="Y44" i="7"/>
  <c r="AA44" i="7" s="1"/>
  <c r="BJ44" i="4" s="1"/>
  <c r="Z72" i="7"/>
  <c r="AB72" i="7" s="1"/>
  <c r="AW72" i="4" s="1"/>
  <c r="Y72" i="7"/>
  <c r="AA72" i="7" s="1"/>
  <c r="BJ72" i="4" s="1"/>
  <c r="Z63" i="7"/>
  <c r="AB63" i="7" s="1"/>
  <c r="AW63" i="4" s="1"/>
  <c r="Y63" i="7"/>
  <c r="AA63" i="7" s="1"/>
  <c r="BJ63" i="4" s="1"/>
  <c r="Z62" i="7"/>
  <c r="AB62" i="7" s="1"/>
  <c r="AW62" i="4" s="1"/>
  <c r="Y62" i="7"/>
  <c r="AA62" i="7" s="1"/>
  <c r="BJ62" i="4" s="1"/>
  <c r="Z17" i="7"/>
  <c r="AB17" i="7" s="1"/>
  <c r="AW17" i="4" s="1"/>
  <c r="Y17" i="7"/>
  <c r="AA17" i="7" s="1"/>
  <c r="BJ17" i="4" s="1"/>
  <c r="Y38" i="7"/>
  <c r="AA38" i="7" s="1"/>
  <c r="BJ38" i="4" s="1"/>
  <c r="Z38" i="7"/>
  <c r="AB38" i="7" s="1"/>
  <c r="AW38" i="4" s="1"/>
  <c r="Z9" i="7"/>
  <c r="AB9" i="7" s="1"/>
  <c r="AW9" i="4" s="1"/>
  <c r="Y9" i="7"/>
  <c r="AA9" i="7" s="1"/>
  <c r="BJ9" i="4" s="1"/>
  <c r="Z27" i="7"/>
  <c r="AB27" i="7" s="1"/>
  <c r="AW27" i="4" s="1"/>
  <c r="Y27" i="7"/>
  <c r="AA27" i="7" s="1"/>
  <c r="BJ27" i="4" s="1"/>
  <c r="Y40" i="7"/>
  <c r="AA40" i="7" s="1"/>
  <c r="BJ40" i="4" s="1"/>
  <c r="Z40" i="7"/>
  <c r="AB40" i="7" s="1"/>
  <c r="AW40" i="4" s="1"/>
  <c r="Z55" i="7"/>
  <c r="AB55" i="7" s="1"/>
  <c r="AW55" i="4" s="1"/>
  <c r="Y55" i="7"/>
  <c r="AA55" i="7" s="1"/>
  <c r="BJ55" i="4" s="1"/>
  <c r="Z10" i="7"/>
  <c r="AB10" i="7" s="1"/>
  <c r="AW10" i="4" s="1"/>
  <c r="Y10" i="7"/>
  <c r="AA10" i="7" s="1"/>
  <c r="BJ10" i="4" s="1"/>
  <c r="Z49" i="7"/>
  <c r="AB49" i="7" s="1"/>
  <c r="AW49" i="4" s="1"/>
  <c r="Y49" i="7"/>
  <c r="AA49" i="7" s="1"/>
  <c r="BJ49" i="4" s="1"/>
  <c r="Z28" i="7"/>
  <c r="AB28" i="7" s="1"/>
  <c r="AW28" i="4" s="1"/>
  <c r="Y28" i="7"/>
  <c r="AA28" i="7" s="1"/>
  <c r="BJ28" i="4" s="1"/>
  <c r="Z47" i="7"/>
  <c r="AB47" i="7" s="1"/>
  <c r="AW47" i="4" s="1"/>
  <c r="Y47" i="7"/>
  <c r="AA47" i="7" s="1"/>
  <c r="BJ47" i="4" s="1"/>
  <c r="Z45" i="7"/>
  <c r="AB45" i="7" s="1"/>
  <c r="AW45" i="4" s="1"/>
  <c r="Y45" i="7"/>
  <c r="AA45" i="7" s="1"/>
  <c r="BJ45" i="4" s="1"/>
  <c r="Z69" i="7"/>
  <c r="AB69" i="7" s="1"/>
  <c r="AW69" i="4" s="1"/>
  <c r="Y69" i="7"/>
  <c r="AA69" i="7" s="1"/>
  <c r="BJ69" i="4" s="1"/>
  <c r="Z36" i="7"/>
  <c r="AB36" i="7" s="1"/>
  <c r="AW36" i="4" s="1"/>
  <c r="Y36" i="7"/>
  <c r="AA36" i="7" s="1"/>
  <c r="BJ36" i="4" s="1"/>
  <c r="Z23" i="7"/>
  <c r="AB23" i="7" s="1"/>
  <c r="AW23" i="4" s="1"/>
  <c r="Y23" i="7"/>
  <c r="AA23" i="7" s="1"/>
  <c r="BJ23" i="4" s="1"/>
  <c r="Z34" i="7"/>
  <c r="AB34" i="7" s="1"/>
  <c r="AW34" i="4" s="1"/>
  <c r="Y34" i="7"/>
  <c r="AA34" i="7" s="1"/>
  <c r="BJ34" i="4" s="1"/>
  <c r="Z37" i="7"/>
  <c r="AB37" i="7" s="1"/>
  <c r="AW37" i="4" s="1"/>
  <c r="Y37" i="7"/>
  <c r="AA37" i="7" s="1"/>
  <c r="BJ37" i="4" s="1"/>
  <c r="Z20" i="7"/>
  <c r="AB20" i="7" s="1"/>
  <c r="AW20" i="4" s="1"/>
  <c r="Y20" i="7"/>
  <c r="AA20" i="7" s="1"/>
  <c r="BJ20" i="4" s="1"/>
  <c r="Z43" i="7"/>
  <c r="AB43" i="7" s="1"/>
  <c r="AW43" i="4" s="1"/>
  <c r="Y43" i="7"/>
  <c r="AA43" i="7" s="1"/>
  <c r="BJ43" i="4" s="1"/>
  <c r="Z11" i="7"/>
  <c r="AB11" i="7" s="1"/>
  <c r="AW11" i="4" s="1"/>
  <c r="Y11" i="7"/>
  <c r="AA11" i="7" s="1"/>
  <c r="BJ11" i="4" s="1"/>
  <c r="Z65" i="7"/>
  <c r="AB65" i="7" s="1"/>
  <c r="AW65" i="4" s="1"/>
  <c r="Y65" i="7"/>
  <c r="AA65" i="7" s="1"/>
  <c r="BJ65" i="4" s="1"/>
  <c r="Z16" i="7"/>
  <c r="AB16" i="7" s="1"/>
  <c r="AW16" i="4" s="1"/>
  <c r="Y16" i="7"/>
  <c r="AA16" i="7" s="1"/>
  <c r="BJ16" i="4" s="1"/>
  <c r="Z71" i="7"/>
  <c r="AB71" i="7" s="1"/>
  <c r="AW71" i="4" s="1"/>
  <c r="Y71" i="7"/>
  <c r="AA71" i="7" s="1"/>
  <c r="BJ71" i="4" s="1"/>
  <c r="Y42" i="7"/>
  <c r="AA42" i="7" s="1"/>
  <c r="BJ42" i="4" s="1"/>
  <c r="Z42" i="7"/>
  <c r="AB42" i="7" s="1"/>
  <c r="AW42" i="4" s="1"/>
  <c r="Z54" i="7"/>
  <c r="AB54" i="7" s="1"/>
  <c r="AW54" i="4" s="1"/>
  <c r="Y54" i="7"/>
  <c r="AA54" i="7" s="1"/>
  <c r="BJ54" i="4" s="1"/>
  <c r="Y56" i="7"/>
  <c r="AA56" i="7" s="1"/>
  <c r="BJ56" i="4" s="1"/>
  <c r="Z56" i="7"/>
  <c r="AB56" i="7" s="1"/>
  <c r="AW56" i="4" s="1"/>
  <c r="Z51" i="7"/>
  <c r="AB51" i="7" s="1"/>
  <c r="AW51" i="4" s="1"/>
  <c r="Y51" i="7"/>
  <c r="AA51" i="7" s="1"/>
  <c r="BJ51" i="4" s="1"/>
  <c r="Z8" i="7"/>
  <c r="AB8" i="7" s="1"/>
  <c r="AW8" i="4" s="1"/>
  <c r="Y8" i="7"/>
  <c r="AA8" i="7" s="1"/>
  <c r="BJ8" i="4" s="1"/>
  <c r="Z70" i="7"/>
  <c r="AB70" i="7" s="1"/>
  <c r="AW70" i="4" s="1"/>
  <c r="Y70" i="7"/>
  <c r="AA70" i="7" s="1"/>
  <c r="BJ70" i="4" s="1"/>
  <c r="Z61" i="7"/>
  <c r="AB61" i="7" s="1"/>
  <c r="AW61" i="4" s="1"/>
  <c r="Y61" i="7"/>
  <c r="AA61" i="7" s="1"/>
  <c r="BJ61" i="4" s="1"/>
  <c r="Z22" i="7"/>
  <c r="AB22" i="7" s="1"/>
  <c r="AW22" i="4" s="1"/>
  <c r="Y22" i="7"/>
  <c r="AA22" i="7" s="1"/>
  <c r="BJ22" i="4" s="1"/>
  <c r="Z25" i="7"/>
  <c r="AB25" i="7" s="1"/>
  <c r="AW25" i="4" s="1"/>
  <c r="Y25" i="7"/>
  <c r="AA25" i="7" s="1"/>
  <c r="BJ25" i="4" s="1"/>
  <c r="Z50" i="7"/>
  <c r="AB50" i="7" s="1"/>
  <c r="AW50" i="4" s="1"/>
  <c r="Y50" i="7"/>
  <c r="AA50" i="7" s="1"/>
  <c r="BJ50" i="4" s="1"/>
  <c r="Z60" i="7"/>
  <c r="AB60" i="7" s="1"/>
  <c r="AW60" i="4" s="1"/>
  <c r="Y60" i="7"/>
  <c r="AA60" i="7" s="1"/>
  <c r="BJ60" i="4" s="1"/>
  <c r="Z73" i="7"/>
  <c r="AB73" i="7" s="1"/>
  <c r="AW73" i="4" s="1"/>
  <c r="Y73" i="7"/>
  <c r="AA73" i="7" s="1"/>
  <c r="BJ73" i="4" s="1"/>
  <c r="Y58" i="7"/>
  <c r="AA58" i="7" s="1"/>
  <c r="BJ58" i="4" s="1"/>
  <c r="Z58" i="7"/>
  <c r="AB58" i="7" s="1"/>
  <c r="AW58" i="4" s="1"/>
  <c r="Z46" i="7"/>
  <c r="AB46" i="7" s="1"/>
  <c r="AW46" i="4" s="1"/>
  <c r="Y46" i="7"/>
  <c r="AA46" i="7" s="1"/>
  <c r="BJ46" i="4" s="1"/>
  <c r="Z52" i="7"/>
  <c r="AB52" i="7" s="1"/>
  <c r="AW52" i="4" s="1"/>
  <c r="Y52" i="7"/>
  <c r="AA52" i="7" s="1"/>
  <c r="BJ52" i="4" s="1"/>
  <c r="Z31" i="7"/>
  <c r="AB31" i="7" s="1"/>
  <c r="AW31" i="4" s="1"/>
  <c r="Y31" i="7"/>
  <c r="AA31" i="7" s="1"/>
  <c r="BJ31" i="4" s="1"/>
  <c r="Z53" i="7"/>
  <c r="AB53" i="7" s="1"/>
  <c r="AW53" i="4" s="1"/>
  <c r="Y53" i="7"/>
  <c r="AA53" i="7" s="1"/>
  <c r="BJ53" i="4" s="1"/>
  <c r="Z41" i="7"/>
  <c r="AB41" i="7" s="1"/>
  <c r="AW41" i="4" s="1"/>
  <c r="Y41" i="7"/>
  <c r="AA41" i="7" s="1"/>
  <c r="BJ41" i="4" s="1"/>
  <c r="Z24" i="7"/>
  <c r="AB24" i="7" s="1"/>
  <c r="AW24" i="4" s="1"/>
  <c r="Y24" i="7"/>
  <c r="AA24" i="7" s="1"/>
  <c r="BJ24" i="4" s="1"/>
  <c r="Z59" i="7"/>
  <c r="AB59" i="7" s="1"/>
  <c r="AW59" i="4" s="1"/>
  <c r="Y59" i="7"/>
  <c r="AA59" i="7" s="1"/>
  <c r="BJ59" i="4" s="1"/>
  <c r="Z19" i="7"/>
  <c r="AB19" i="7" s="1"/>
  <c r="AW19" i="4" s="1"/>
  <c r="Y19" i="7"/>
  <c r="AA19" i="7" s="1"/>
  <c r="BJ19" i="4" s="1"/>
  <c r="Z29" i="7"/>
  <c r="AB29" i="7" s="1"/>
  <c r="AW29" i="4" s="1"/>
  <c r="Y29" i="7"/>
  <c r="AA29" i="7" s="1"/>
  <c r="BJ29" i="4" s="1"/>
  <c r="Z68" i="7"/>
  <c r="AB68" i="7" s="1"/>
  <c r="AW68" i="4" s="1"/>
  <c r="Y68" i="7"/>
  <c r="AA68" i="7" s="1"/>
  <c r="BJ68" i="4" s="1"/>
  <c r="Z32" i="7"/>
  <c r="AB32" i="7" s="1"/>
  <c r="AW32" i="4" s="1"/>
  <c r="Y32" i="7"/>
  <c r="AA32" i="7" s="1"/>
  <c r="BJ32" i="4" s="1"/>
  <c r="Z15" i="7"/>
  <c r="AB15" i="7" s="1"/>
  <c r="AW15" i="4" s="1"/>
  <c r="Y15" i="7"/>
  <c r="AA15" i="7" s="1"/>
  <c r="BJ15" i="4" s="1"/>
  <c r="Z33" i="7"/>
  <c r="AB33" i="7" s="1"/>
  <c r="AW33" i="4" s="1"/>
  <c r="Y33" i="7"/>
  <c r="AA33" i="7" s="1"/>
  <c r="BJ33" i="4" s="1"/>
  <c r="Z30" i="7"/>
  <c r="AB30" i="7" s="1"/>
  <c r="AW30" i="4" s="1"/>
  <c r="Y30" i="7"/>
  <c r="AA30" i="7" s="1"/>
  <c r="BJ30" i="4" s="1"/>
  <c r="Z64" i="7"/>
  <c r="AB64" i="7" s="1"/>
  <c r="AW64" i="4" s="1"/>
  <c r="Y64" i="7"/>
  <c r="AA64" i="7" s="1"/>
  <c r="BJ64" i="4" s="1"/>
  <c r="Z12" i="7"/>
  <c r="AB12" i="7" s="1"/>
  <c r="AW12" i="4" s="1"/>
  <c r="Y12" i="7"/>
  <c r="AA12" i="7" s="1"/>
  <c r="BJ12" i="4" s="1"/>
  <c r="Z7" i="7"/>
  <c r="AB7" i="7" s="1"/>
  <c r="AW7" i="4" s="1"/>
  <c r="Y7" i="7"/>
  <c r="AA7" i="7" s="1"/>
  <c r="BJ7" i="4" s="1"/>
  <c r="Z26" i="7"/>
  <c r="AB26" i="7" s="1"/>
  <c r="AW26" i="4" s="1"/>
  <c r="Y26" i="7"/>
  <c r="AA26" i="7" s="1"/>
  <c r="BJ26" i="4" s="1"/>
  <c r="Z21" i="7"/>
  <c r="AB21" i="7" s="1"/>
  <c r="AW21" i="4" s="1"/>
  <c r="Y21" i="7"/>
  <c r="AA21" i="7" s="1"/>
  <c r="BJ21" i="4" s="1"/>
  <c r="Z48" i="7"/>
  <c r="AB48" i="7" s="1"/>
  <c r="AW48" i="4" s="1"/>
  <c r="Y48" i="7"/>
  <c r="AA48" i="7" s="1"/>
  <c r="BJ48" i="4" s="1"/>
  <c r="Z39" i="7"/>
  <c r="AB39" i="7" s="1"/>
  <c r="AW39" i="4" s="1"/>
  <c r="Y39" i="7"/>
  <c r="AA39" i="7" s="1"/>
  <c r="BJ39" i="4" s="1"/>
  <c r="Z67" i="7"/>
  <c r="AB67" i="7" s="1"/>
  <c r="AW67" i="4" s="1"/>
  <c r="Y67" i="7"/>
  <c r="AA67" i="7" s="1"/>
  <c r="BJ67" i="4" s="1"/>
  <c r="Z66" i="7"/>
  <c r="AB66" i="7" s="1"/>
  <c r="AW66" i="4" s="1"/>
  <c r="Y66" i="7"/>
  <c r="AA66" i="7" s="1"/>
  <c r="BJ66" i="4" s="1"/>
  <c r="Z57" i="7"/>
  <c r="AB57" i="7" s="1"/>
  <c r="AW57" i="4" s="1"/>
  <c r="Y57" i="7"/>
  <c r="AA57" i="7" s="1"/>
  <c r="BJ57" i="4" s="1"/>
  <c r="Z13" i="7"/>
  <c r="AB13" i="7" s="1"/>
  <c r="AW13" i="4" s="1"/>
  <c r="Y13" i="7"/>
  <c r="AA13" i="7" s="1"/>
  <c r="BJ13" i="4" s="1"/>
  <c r="Z18" i="7"/>
  <c r="AB18" i="7" s="1"/>
  <c r="AW18" i="4" s="1"/>
  <c r="Y18" i="7"/>
  <c r="AA18" i="7" s="1"/>
  <c r="BJ18" i="4" s="1"/>
  <c r="Z35" i="7"/>
  <c r="AB35" i="7" s="1"/>
  <c r="AW35" i="4" s="1"/>
  <c r="Y35" i="7"/>
  <c r="AA35" i="7" s="1"/>
  <c r="BJ35" i="4" s="1"/>
  <c r="Z14" i="7"/>
  <c r="AB14" i="7" s="1"/>
  <c r="AW14" i="4" s="1"/>
  <c r="Y14" i="7"/>
  <c r="AA14" i="7" s="1"/>
  <c r="BJ14" i="4" s="1"/>
  <c r="T75" i="9" l="1"/>
  <c r="T74" i="9"/>
  <c r="T73" i="9"/>
  <c r="L72" i="8"/>
  <c r="BX73" i="4"/>
  <c r="J24" i="8"/>
  <c r="BW25" i="4"/>
  <c r="J7" i="8"/>
  <c r="BW8" i="4"/>
  <c r="L41" i="8"/>
  <c r="BX42" i="4"/>
  <c r="J10" i="8"/>
  <c r="BW11" i="4"/>
  <c r="J33" i="8"/>
  <c r="BW34" i="4"/>
  <c r="BW45" i="4"/>
  <c r="J44" i="8"/>
  <c r="AW3" i="4"/>
  <c r="J9" i="8"/>
  <c r="BW10" i="4"/>
  <c r="J8" i="8"/>
  <c r="BW9" i="4"/>
  <c r="J62" i="8"/>
  <c r="BW63" i="4"/>
  <c r="L20" i="8"/>
  <c r="BX21" i="4"/>
  <c r="L63" i="8"/>
  <c r="BX64" i="4"/>
  <c r="L31" i="8"/>
  <c r="BX32" i="4"/>
  <c r="L58" i="8"/>
  <c r="BX59" i="4"/>
  <c r="L30" i="8"/>
  <c r="BX31" i="4"/>
  <c r="J34" i="8"/>
  <c r="BW35" i="4"/>
  <c r="J65" i="8"/>
  <c r="BW66" i="4"/>
  <c r="BW21" i="4"/>
  <c r="J20" i="8"/>
  <c r="J63" i="8"/>
  <c r="BW64" i="4"/>
  <c r="J31" i="8"/>
  <c r="BW32" i="4"/>
  <c r="J58" i="8"/>
  <c r="BW59" i="4"/>
  <c r="J30" i="8"/>
  <c r="BW31" i="4"/>
  <c r="J72" i="8"/>
  <c r="BW73" i="4"/>
  <c r="L21" i="8"/>
  <c r="BX22" i="4"/>
  <c r="L50" i="8"/>
  <c r="BX51" i="4"/>
  <c r="L70" i="8"/>
  <c r="BX71" i="4"/>
  <c r="L42" i="8"/>
  <c r="BX43" i="4"/>
  <c r="L22" i="8"/>
  <c r="BX23" i="4"/>
  <c r="L46" i="8"/>
  <c r="BX47" i="4"/>
  <c r="L54" i="8"/>
  <c r="BX55" i="4"/>
  <c r="J37" i="8"/>
  <c r="BW38" i="4"/>
  <c r="L71" i="8"/>
  <c r="BX72" i="4"/>
  <c r="L67" i="8"/>
  <c r="BX68" i="4"/>
  <c r="J22" i="8"/>
  <c r="BW23" i="4"/>
  <c r="J46" i="8"/>
  <c r="BW47" i="4"/>
  <c r="J54" i="8"/>
  <c r="BW55" i="4"/>
  <c r="L37" i="8"/>
  <c r="BX38" i="4"/>
  <c r="J71" i="8"/>
  <c r="BW72" i="4"/>
  <c r="J21" i="8"/>
  <c r="BW22" i="4"/>
  <c r="J70" i="8"/>
  <c r="BW71" i="4"/>
  <c r="J66" i="8"/>
  <c r="BW67" i="4"/>
  <c r="J25" i="8"/>
  <c r="BW26" i="4"/>
  <c r="J29" i="8"/>
  <c r="BW30" i="4"/>
  <c r="J67" i="8"/>
  <c r="BW68" i="4"/>
  <c r="J23" i="8"/>
  <c r="BW24" i="4"/>
  <c r="J51" i="8"/>
  <c r="BW52" i="4"/>
  <c r="J59" i="8"/>
  <c r="BW60" i="4"/>
  <c r="L60" i="8"/>
  <c r="BX61" i="4"/>
  <c r="J55" i="8"/>
  <c r="BW56" i="4"/>
  <c r="L15" i="8"/>
  <c r="BX16" i="4"/>
  <c r="L19" i="8"/>
  <c r="BX20" i="4"/>
  <c r="L35" i="8"/>
  <c r="BX36" i="4"/>
  <c r="L27" i="8"/>
  <c r="BX28" i="4"/>
  <c r="J39" i="8"/>
  <c r="BW40" i="4"/>
  <c r="L16" i="8"/>
  <c r="BX17" i="4"/>
  <c r="L43" i="8"/>
  <c r="BX44" i="4"/>
  <c r="L66" i="8"/>
  <c r="BX67" i="4"/>
  <c r="L23" i="8"/>
  <c r="BX24" i="4"/>
  <c r="L51" i="8"/>
  <c r="BX52" i="4"/>
  <c r="L59" i="8"/>
  <c r="BX60" i="4"/>
  <c r="J50" i="8"/>
  <c r="BW51" i="4"/>
  <c r="J42" i="8"/>
  <c r="BW43" i="4"/>
  <c r="J17" i="8"/>
  <c r="BW18" i="4"/>
  <c r="L12" i="8"/>
  <c r="BX13" i="4"/>
  <c r="L39" i="8"/>
  <c r="BX40" i="4"/>
  <c r="J16" i="8"/>
  <c r="BW17" i="4"/>
  <c r="J43" i="8"/>
  <c r="BW44" i="4"/>
  <c r="L17" i="8"/>
  <c r="BX18" i="4"/>
  <c r="BW29" i="4"/>
  <c r="J28" i="8"/>
  <c r="J45" i="8"/>
  <c r="BW46" i="4"/>
  <c r="L48" i="8"/>
  <c r="BX49" i="4"/>
  <c r="L26" i="8"/>
  <c r="BX27" i="4"/>
  <c r="L61" i="8"/>
  <c r="BX62" i="4"/>
  <c r="L5" i="8"/>
  <c r="BX6" i="4"/>
  <c r="L65" i="8"/>
  <c r="BX66" i="4"/>
  <c r="L25" i="8"/>
  <c r="BX26" i="4"/>
  <c r="L38" i="8"/>
  <c r="BX39" i="4"/>
  <c r="L6" i="8"/>
  <c r="BX7" i="4"/>
  <c r="L32" i="8"/>
  <c r="BX33" i="4"/>
  <c r="L28" i="8"/>
  <c r="BX29" i="4"/>
  <c r="L40" i="8"/>
  <c r="BX41" i="4"/>
  <c r="L45" i="8"/>
  <c r="BX46" i="4"/>
  <c r="J5" i="8"/>
  <c r="BW6" i="4"/>
  <c r="BW61" i="4"/>
  <c r="J60" i="8"/>
  <c r="L55" i="8"/>
  <c r="BX56" i="4"/>
  <c r="J15" i="8"/>
  <c r="BW16" i="4"/>
  <c r="J19" i="8"/>
  <c r="BW20" i="4"/>
  <c r="J35" i="8"/>
  <c r="BW36" i="4"/>
  <c r="J27" i="8"/>
  <c r="BW28" i="4"/>
  <c r="BW13" i="4"/>
  <c r="J12" i="8"/>
  <c r="J38" i="8"/>
  <c r="BW39" i="4"/>
  <c r="J6" i="8"/>
  <c r="BW7" i="4"/>
  <c r="J32" i="8"/>
  <c r="BW33" i="4"/>
  <c r="J40" i="8"/>
  <c r="BW41" i="4"/>
  <c r="L11" i="8"/>
  <c r="BX12" i="4"/>
  <c r="L14" i="8"/>
  <c r="BX15" i="4"/>
  <c r="L18" i="8"/>
  <c r="BX19" i="4"/>
  <c r="L52" i="8"/>
  <c r="BX53" i="4"/>
  <c r="J69" i="8"/>
  <c r="BW70" i="4"/>
  <c r="J53" i="8"/>
  <c r="BW54" i="4"/>
  <c r="J64" i="8"/>
  <c r="BW65" i="4"/>
  <c r="BW37" i="4"/>
  <c r="J36" i="8"/>
  <c r="BW69" i="4"/>
  <c r="J68" i="8"/>
  <c r="J48" i="8"/>
  <c r="BW49" i="4"/>
  <c r="J26" i="8"/>
  <c r="BW27" i="4"/>
  <c r="J61" i="8"/>
  <c r="BW62" i="4"/>
  <c r="L34" i="8"/>
  <c r="BX35" i="4"/>
  <c r="L29" i="8"/>
  <c r="BX30" i="4"/>
  <c r="L49" i="8"/>
  <c r="BX50" i="4"/>
  <c r="L69" i="8"/>
  <c r="BX70" i="4"/>
  <c r="L53" i="8"/>
  <c r="BX54" i="4"/>
  <c r="L64" i="8"/>
  <c r="BX65" i="4"/>
  <c r="L36" i="8"/>
  <c r="BX37" i="4"/>
  <c r="L68" i="8"/>
  <c r="BX69" i="4"/>
  <c r="L13" i="8"/>
  <c r="BX14" i="4"/>
  <c r="L56" i="8"/>
  <c r="BX57" i="4"/>
  <c r="L47" i="8"/>
  <c r="BX48" i="4"/>
  <c r="J57" i="8"/>
  <c r="BW58" i="4"/>
  <c r="J49" i="8"/>
  <c r="BW50" i="4"/>
  <c r="J13" i="8"/>
  <c r="BW14" i="4"/>
  <c r="J56" i="8"/>
  <c r="BW57" i="4"/>
  <c r="J47" i="8"/>
  <c r="BW48" i="4"/>
  <c r="J11" i="8"/>
  <c r="BW12" i="4"/>
  <c r="J14" i="8"/>
  <c r="BW15" i="4"/>
  <c r="J18" i="8"/>
  <c r="BW19" i="4"/>
  <c r="BW53" i="4"/>
  <c r="J52" i="8"/>
  <c r="L57" i="8"/>
  <c r="BX58" i="4"/>
  <c r="L24" i="8"/>
  <c r="BX25" i="4"/>
  <c r="L7" i="8"/>
  <c r="BX8" i="4"/>
  <c r="J41" i="8"/>
  <c r="BW42" i="4"/>
  <c r="L10" i="8"/>
  <c r="BX11" i="4"/>
  <c r="L33" i="8"/>
  <c r="BX34" i="4"/>
  <c r="L44" i="8"/>
  <c r="BX45" i="4"/>
  <c r="BJ3" i="4"/>
  <c r="L9" i="8"/>
  <c r="BX10" i="4"/>
  <c r="L8" i="8"/>
  <c r="BX9" i="4"/>
  <c r="L62" i="8"/>
  <c r="BX63" i="4"/>
  <c r="E54" i="6"/>
  <c r="AH51" i="6"/>
  <c r="AH50" i="6"/>
  <c r="AH49" i="6"/>
  <c r="AH48" i="6"/>
  <c r="AH47" i="6"/>
  <c r="G47" i="6"/>
  <c r="E43" i="7" s="1"/>
  <c r="AH46" i="6"/>
  <c r="W46" i="6"/>
  <c r="G46" i="6"/>
  <c r="E42" i="7" s="1"/>
  <c r="AH45" i="6"/>
  <c r="W45" i="6"/>
  <c r="G45" i="6"/>
  <c r="E41" i="7" s="1"/>
  <c r="AH44" i="6"/>
  <c r="W44" i="6"/>
  <c r="G44" i="6"/>
  <c r="E40" i="7" s="1"/>
  <c r="AH43" i="6"/>
  <c r="W43" i="6"/>
  <c r="G43" i="6"/>
  <c r="E39" i="7" s="1"/>
  <c r="AH42" i="6"/>
  <c r="W42" i="6"/>
  <c r="G42" i="6"/>
  <c r="E38" i="7" s="1"/>
  <c r="AH41" i="6"/>
  <c r="W41" i="6"/>
  <c r="G41" i="6"/>
  <c r="E37" i="7" s="1"/>
  <c r="AH40" i="6"/>
  <c r="W40" i="6"/>
  <c r="G40" i="6"/>
  <c r="E36" i="7" s="1"/>
  <c r="AH39" i="6"/>
  <c r="W39" i="6"/>
  <c r="G39" i="6"/>
  <c r="E35" i="7" s="1"/>
  <c r="AH38" i="6"/>
  <c r="W38" i="6"/>
  <c r="G38" i="6"/>
  <c r="E34" i="7" s="1"/>
  <c r="AH37" i="6"/>
  <c r="W37" i="6"/>
  <c r="G37" i="6"/>
  <c r="E33" i="7" s="1"/>
  <c r="AH36" i="6"/>
  <c r="W36" i="6"/>
  <c r="G36" i="6"/>
  <c r="E32" i="7" s="1"/>
  <c r="AH35" i="6"/>
  <c r="W35" i="6"/>
  <c r="G35" i="6"/>
  <c r="E31" i="7" s="1"/>
  <c r="AH34" i="6"/>
  <c r="W34" i="6"/>
  <c r="G34" i="6"/>
  <c r="E30" i="7" s="1"/>
  <c r="AH33" i="6"/>
  <c r="W33" i="6"/>
  <c r="G33" i="6"/>
  <c r="E29" i="7" s="1"/>
  <c r="AH32" i="6"/>
  <c r="W32" i="6"/>
  <c r="G32" i="6"/>
  <c r="E28" i="7" s="1"/>
  <c r="AH31" i="6"/>
  <c r="W31" i="6"/>
  <c r="G31" i="6"/>
  <c r="E27" i="7" s="1"/>
  <c r="AH30" i="6"/>
  <c r="W30" i="6"/>
  <c r="G30" i="6"/>
  <c r="E26" i="7" s="1"/>
  <c r="AH29" i="6"/>
  <c r="W29" i="6"/>
  <c r="G29" i="6"/>
  <c r="E25" i="7" s="1"/>
  <c r="AH28" i="6"/>
  <c r="W28" i="6"/>
  <c r="G28" i="6"/>
  <c r="E24" i="7" s="1"/>
  <c r="AH27" i="6"/>
  <c r="W27" i="6"/>
  <c r="G27" i="6"/>
  <c r="E23" i="7" s="1"/>
  <c r="AH26" i="6"/>
  <c r="W26" i="6"/>
  <c r="G26" i="6"/>
  <c r="E22" i="7" s="1"/>
  <c r="AH25" i="6"/>
  <c r="W25" i="6"/>
  <c r="G25" i="6"/>
  <c r="E21" i="7" s="1"/>
  <c r="AH24" i="6"/>
  <c r="W24" i="6"/>
  <c r="G24" i="6"/>
  <c r="E20" i="7" s="1"/>
  <c r="AH23" i="6"/>
  <c r="W23" i="6"/>
  <c r="G23" i="6"/>
  <c r="E19" i="7" s="1"/>
  <c r="AH22" i="6"/>
  <c r="W22" i="6"/>
  <c r="G22" i="6"/>
  <c r="E18" i="7" s="1"/>
  <c r="AH21" i="6"/>
  <c r="W21" i="6"/>
  <c r="G21" i="6"/>
  <c r="E17" i="7" s="1"/>
  <c r="AH20" i="6"/>
  <c r="W20" i="6"/>
  <c r="G20" i="6"/>
  <c r="E16" i="7" s="1"/>
  <c r="AH19" i="6"/>
  <c r="W19" i="6"/>
  <c r="G19" i="6"/>
  <c r="E15" i="7" s="1"/>
  <c r="AH18" i="6"/>
  <c r="W18" i="6"/>
  <c r="G18" i="6"/>
  <c r="E14" i="7" s="1"/>
  <c r="AH17" i="6"/>
  <c r="W17" i="6"/>
  <c r="G17" i="6"/>
  <c r="E13" i="7" s="1"/>
  <c r="AH16" i="6"/>
  <c r="W16" i="6"/>
  <c r="G16" i="6"/>
  <c r="E12" i="7" s="1"/>
  <c r="AH15" i="6"/>
  <c r="W15" i="6"/>
  <c r="G15" i="6"/>
  <c r="E11" i="7" s="1"/>
  <c r="AH14" i="6"/>
  <c r="W14" i="6"/>
  <c r="G14" i="6"/>
  <c r="E10" i="7" s="1"/>
  <c r="AH13" i="6"/>
  <c r="W13" i="6"/>
  <c r="G13" i="6"/>
  <c r="E9" i="7" s="1"/>
  <c r="AH12" i="6"/>
  <c r="W12" i="6"/>
  <c r="G12" i="6"/>
  <c r="E8" i="7" s="1"/>
  <c r="AH11" i="6"/>
  <c r="W11" i="6"/>
  <c r="G11" i="6"/>
  <c r="E7" i="7" s="1"/>
  <c r="AH10" i="6"/>
  <c r="W10" i="6"/>
  <c r="G10" i="6"/>
  <c r="E6" i="7" s="1"/>
  <c r="AH9" i="6"/>
  <c r="W9" i="6"/>
  <c r="G9" i="6"/>
  <c r="E5" i="7" s="1"/>
  <c r="AH8" i="6"/>
  <c r="W8" i="6"/>
  <c r="G8" i="6"/>
  <c r="E4" i="7" s="1"/>
  <c r="AH7" i="6"/>
  <c r="W7" i="6"/>
  <c r="F7" i="6"/>
  <c r="D45" i="8" s="1"/>
  <c r="AH6" i="6"/>
  <c r="W6" i="6"/>
  <c r="C45" i="8"/>
  <c r="AH5" i="6"/>
  <c r="W5" i="6"/>
  <c r="AH4" i="6"/>
  <c r="W4" i="6"/>
  <c r="N4" i="6"/>
  <c r="W3" i="6"/>
  <c r="W2" i="6"/>
  <c r="W2" i="1"/>
  <c r="W6" i="3"/>
  <c r="W10" i="3"/>
  <c r="BW75" i="4" l="1"/>
  <c r="BX75" i="4"/>
  <c r="G54" i="6"/>
  <c r="N5" i="6"/>
  <c r="W48" i="6"/>
  <c r="X2" i="6" s="1"/>
  <c r="O4" i="6"/>
  <c r="O5" i="6" s="1"/>
  <c r="AH54" i="6"/>
  <c r="AI47" i="6" s="1"/>
  <c r="X40" i="6" l="1"/>
  <c r="X13" i="6"/>
  <c r="X29" i="6"/>
  <c r="X21" i="6"/>
  <c r="Y21" i="6" s="1"/>
  <c r="Z21" i="6" s="1"/>
  <c r="E63" i="7" s="1"/>
  <c r="X23" i="6"/>
  <c r="X30" i="6"/>
  <c r="X22" i="6"/>
  <c r="X15" i="6"/>
  <c r="X28" i="6"/>
  <c r="Y28" i="6" s="1"/>
  <c r="Z28" i="6" s="1"/>
  <c r="E70" i="7" s="1"/>
  <c r="X39" i="6"/>
  <c r="Y39" i="6" s="1"/>
  <c r="Z39" i="6" s="1"/>
  <c r="E81" i="7" s="1"/>
  <c r="Y30" i="6"/>
  <c r="Z30" i="6" s="1"/>
  <c r="E72" i="7" s="1"/>
  <c r="AJ47" i="6"/>
  <c r="AK47" i="6" s="1"/>
  <c r="AI44" i="6"/>
  <c r="AJ44" i="6" s="1"/>
  <c r="AK44" i="6" s="1"/>
  <c r="AI28" i="6"/>
  <c r="AJ28" i="6" s="1"/>
  <c r="AK28" i="6" s="1"/>
  <c r="E113" i="7" s="1"/>
  <c r="AI33" i="6"/>
  <c r="AJ33" i="6" s="1"/>
  <c r="AK33" i="6" s="1"/>
  <c r="E118" i="7" s="1"/>
  <c r="AI26" i="6"/>
  <c r="AJ26" i="6" s="1"/>
  <c r="AK26" i="6" s="1"/>
  <c r="E111" i="7" s="1"/>
  <c r="AI51" i="6"/>
  <c r="AJ51" i="6" s="1"/>
  <c r="AK51" i="6" s="1"/>
  <c r="AI32" i="6"/>
  <c r="AJ32" i="6" s="1"/>
  <c r="AK32" i="6" s="1"/>
  <c r="E117" i="7" s="1"/>
  <c r="AI12" i="6"/>
  <c r="AJ12" i="6" s="1"/>
  <c r="AK12" i="6" s="1"/>
  <c r="E97" i="7" s="1"/>
  <c r="AI5" i="6"/>
  <c r="AJ5" i="6" s="1"/>
  <c r="AK5" i="6" s="1"/>
  <c r="E90" i="7" s="1"/>
  <c r="Y2" i="6"/>
  <c r="X41" i="6"/>
  <c r="Y41" i="6" s="1"/>
  <c r="Z41" i="6" s="1"/>
  <c r="E83" i="7" s="1"/>
  <c r="X33" i="6"/>
  <c r="Y33" i="6" s="1"/>
  <c r="Z33" i="6" s="1"/>
  <c r="E75" i="7" s="1"/>
  <c r="X25" i="6"/>
  <c r="Y25" i="6" s="1"/>
  <c r="Z25" i="6" s="1"/>
  <c r="E67" i="7" s="1"/>
  <c r="X17" i="6"/>
  <c r="Y17" i="6" s="1"/>
  <c r="Z17" i="6" s="1"/>
  <c r="E59" i="7" s="1"/>
  <c r="X9" i="6"/>
  <c r="Y9" i="6" s="1"/>
  <c r="Z9" i="6" s="1"/>
  <c r="E51" i="7" s="1"/>
  <c r="X11" i="6"/>
  <c r="Y11" i="6" s="1"/>
  <c r="Z11" i="6" s="1"/>
  <c r="E53" i="7" s="1"/>
  <c r="X43" i="6"/>
  <c r="Y43" i="6" s="1"/>
  <c r="Z43" i="6" s="1"/>
  <c r="E85" i="7" s="1"/>
  <c r="X35" i="6"/>
  <c r="Y35" i="6" s="1"/>
  <c r="Z35" i="6" s="1"/>
  <c r="E77" i="7" s="1"/>
  <c r="X27" i="6"/>
  <c r="Y27" i="6" s="1"/>
  <c r="Z27" i="6" s="1"/>
  <c r="E69" i="7" s="1"/>
  <c r="X19" i="6"/>
  <c r="Y19" i="6" s="1"/>
  <c r="Z19" i="6" s="1"/>
  <c r="E61" i="7" s="1"/>
  <c r="X42" i="6"/>
  <c r="Y42" i="6" s="1"/>
  <c r="Z42" i="6" s="1"/>
  <c r="E84" i="7" s="1"/>
  <c r="X34" i="6"/>
  <c r="Y34" i="6" s="1"/>
  <c r="Z34" i="6" s="1"/>
  <c r="E76" i="7" s="1"/>
  <c r="X26" i="6"/>
  <c r="Y26" i="6" s="1"/>
  <c r="Z26" i="6" s="1"/>
  <c r="E68" i="7" s="1"/>
  <c r="X18" i="6"/>
  <c r="Y18" i="6" s="1"/>
  <c r="Z18" i="6" s="1"/>
  <c r="E60" i="7" s="1"/>
  <c r="X10" i="6"/>
  <c r="Y10" i="6" s="1"/>
  <c r="Z10" i="6" s="1"/>
  <c r="E52" i="7" s="1"/>
  <c r="X3" i="6"/>
  <c r="Y3" i="6" s="1"/>
  <c r="Z3" i="6" s="1"/>
  <c r="E45" i="7" s="1"/>
  <c r="AI40" i="6"/>
  <c r="AJ40" i="6" s="1"/>
  <c r="AK40" i="6" s="1"/>
  <c r="E125" i="7" s="1"/>
  <c r="AI10" i="6"/>
  <c r="AJ10" i="6" s="1"/>
  <c r="AK10" i="6" s="1"/>
  <c r="E95" i="7" s="1"/>
  <c r="X14" i="6"/>
  <c r="Y14" i="6" s="1"/>
  <c r="Z14" i="6" s="1"/>
  <c r="E56" i="7" s="1"/>
  <c r="X45" i="6"/>
  <c r="Y45" i="6" s="1"/>
  <c r="Z45" i="6" s="1"/>
  <c r="E87" i="7" s="1"/>
  <c r="AI20" i="6"/>
  <c r="AJ20" i="6" s="1"/>
  <c r="AK20" i="6" s="1"/>
  <c r="E105" i="7" s="1"/>
  <c r="AI43" i="6"/>
  <c r="AJ43" i="6" s="1"/>
  <c r="AK43" i="6" s="1"/>
  <c r="AI11" i="6"/>
  <c r="AJ11" i="6" s="1"/>
  <c r="AK11" i="6" s="1"/>
  <c r="E96" i="7" s="1"/>
  <c r="AI24" i="6"/>
  <c r="AJ24" i="6" s="1"/>
  <c r="AK24" i="6" s="1"/>
  <c r="E109" i="7" s="1"/>
  <c r="X16" i="6"/>
  <c r="Y16" i="6" s="1"/>
  <c r="Z16" i="6" s="1"/>
  <c r="E58" i="7" s="1"/>
  <c r="AI42" i="6"/>
  <c r="AJ42" i="6" s="1"/>
  <c r="AK42" i="6" s="1"/>
  <c r="E127" i="7" s="1"/>
  <c r="X44" i="6"/>
  <c r="Y44" i="6" s="1"/>
  <c r="Z44" i="6" s="1"/>
  <c r="E86" i="7" s="1"/>
  <c r="X12" i="6"/>
  <c r="Y12" i="6" s="1"/>
  <c r="Z12" i="6" s="1"/>
  <c r="E54" i="7" s="1"/>
  <c r="Y13" i="6"/>
  <c r="Z13" i="6" s="1"/>
  <c r="E55" i="7" s="1"/>
  <c r="AI45" i="6"/>
  <c r="AJ45" i="6" s="1"/>
  <c r="AK45" i="6" s="1"/>
  <c r="AI37" i="6"/>
  <c r="AJ37" i="6" s="1"/>
  <c r="AK37" i="6" s="1"/>
  <c r="E122" i="7" s="1"/>
  <c r="AI29" i="6"/>
  <c r="AJ29" i="6" s="1"/>
  <c r="AK29" i="6" s="1"/>
  <c r="E114" i="7" s="1"/>
  <c r="AI21" i="6"/>
  <c r="AJ21" i="6" s="1"/>
  <c r="AK21" i="6" s="1"/>
  <c r="E106" i="7" s="1"/>
  <c r="AI13" i="6"/>
  <c r="AJ13" i="6" s="1"/>
  <c r="AK13" i="6" s="1"/>
  <c r="E98" i="7" s="1"/>
  <c r="AI50" i="6"/>
  <c r="AJ50" i="6" s="1"/>
  <c r="AK50" i="6" s="1"/>
  <c r="AI23" i="6"/>
  <c r="AJ23" i="6" s="1"/>
  <c r="AK23" i="6" s="1"/>
  <c r="E108" i="7" s="1"/>
  <c r="AI48" i="6"/>
  <c r="AJ48" i="6" s="1"/>
  <c r="AK48" i="6" s="1"/>
  <c r="AI7" i="6"/>
  <c r="AJ7" i="6" s="1"/>
  <c r="AK7" i="6" s="1"/>
  <c r="E92" i="7" s="1"/>
  <c r="AI39" i="6"/>
  <c r="AJ39" i="6" s="1"/>
  <c r="AK39" i="6" s="1"/>
  <c r="E124" i="7" s="1"/>
  <c r="AI31" i="6"/>
  <c r="AJ31" i="6" s="1"/>
  <c r="AK31" i="6" s="1"/>
  <c r="E116" i="7" s="1"/>
  <c r="AI15" i="6"/>
  <c r="AJ15" i="6" s="1"/>
  <c r="AK15" i="6" s="1"/>
  <c r="E100" i="7" s="1"/>
  <c r="AI46" i="6"/>
  <c r="AJ46" i="6" s="1"/>
  <c r="AK46" i="6" s="1"/>
  <c r="AI38" i="6"/>
  <c r="AJ38" i="6" s="1"/>
  <c r="AK38" i="6" s="1"/>
  <c r="E123" i="7" s="1"/>
  <c r="AI30" i="6"/>
  <c r="AJ30" i="6" s="1"/>
  <c r="AK30" i="6" s="1"/>
  <c r="E115" i="7" s="1"/>
  <c r="AI22" i="6"/>
  <c r="AJ22" i="6" s="1"/>
  <c r="AK22" i="6" s="1"/>
  <c r="E107" i="7" s="1"/>
  <c r="AI14" i="6"/>
  <c r="AJ14" i="6" s="1"/>
  <c r="AK14" i="6" s="1"/>
  <c r="E99" i="7" s="1"/>
  <c r="AI6" i="6"/>
  <c r="AJ6" i="6" s="1"/>
  <c r="AK6" i="6" s="1"/>
  <c r="E91" i="7" s="1"/>
  <c r="Y40" i="6"/>
  <c r="Z40" i="6" s="1"/>
  <c r="E82" i="7" s="1"/>
  <c r="AI25" i="6"/>
  <c r="AJ25" i="6" s="1"/>
  <c r="AK25" i="6" s="1"/>
  <c r="E110" i="7" s="1"/>
  <c r="AI19" i="6"/>
  <c r="AJ19" i="6" s="1"/>
  <c r="AK19" i="6" s="1"/>
  <c r="E104" i="7" s="1"/>
  <c r="AI49" i="6"/>
  <c r="AJ49" i="6" s="1"/>
  <c r="AK49" i="6" s="1"/>
  <c r="X20" i="6"/>
  <c r="Y20" i="6" s="1"/>
  <c r="Z20" i="6" s="1"/>
  <c r="E62" i="7" s="1"/>
  <c r="X24" i="6"/>
  <c r="Y24" i="6" s="1"/>
  <c r="Z24" i="6" s="1"/>
  <c r="E66" i="7" s="1"/>
  <c r="X5" i="6"/>
  <c r="Y5" i="6" s="1"/>
  <c r="Z5" i="6" s="1"/>
  <c r="E47" i="7" s="1"/>
  <c r="X38" i="6"/>
  <c r="Y38" i="6" s="1"/>
  <c r="Z38" i="6" s="1"/>
  <c r="E80" i="7" s="1"/>
  <c r="X6" i="6"/>
  <c r="Y6" i="6" s="1"/>
  <c r="Z6" i="6" s="1"/>
  <c r="E48" i="7" s="1"/>
  <c r="AI16" i="6"/>
  <c r="AJ16" i="6" s="1"/>
  <c r="AK16" i="6" s="1"/>
  <c r="E101" i="7" s="1"/>
  <c r="X8" i="6"/>
  <c r="Y8" i="6" s="1"/>
  <c r="Z8" i="6" s="1"/>
  <c r="E50" i="7" s="1"/>
  <c r="X37" i="6"/>
  <c r="Y37" i="6" s="1"/>
  <c r="Z37" i="6" s="1"/>
  <c r="E79" i="7" s="1"/>
  <c r="AI36" i="6"/>
  <c r="AJ36" i="6" s="1"/>
  <c r="AK36" i="6" s="1"/>
  <c r="E121" i="7" s="1"/>
  <c r="AI41" i="6"/>
  <c r="AJ41" i="6" s="1"/>
  <c r="AK41" i="6" s="1"/>
  <c r="E126" i="7" s="1"/>
  <c r="AI9" i="6"/>
  <c r="AJ9" i="6" s="1"/>
  <c r="AK9" i="6" s="1"/>
  <c r="E94" i="7" s="1"/>
  <c r="Y29" i="6"/>
  <c r="Z29" i="6" s="1"/>
  <c r="E71" i="7" s="1"/>
  <c r="AI27" i="6"/>
  <c r="AJ27" i="6" s="1"/>
  <c r="AK27" i="6" s="1"/>
  <c r="E112" i="7" s="1"/>
  <c r="Y23" i="6"/>
  <c r="Z23" i="6" s="1"/>
  <c r="E65" i="7" s="1"/>
  <c r="Y22" i="6"/>
  <c r="Z22" i="6" s="1"/>
  <c r="E64" i="7" s="1"/>
  <c r="Y15" i="6"/>
  <c r="Z15" i="6" s="1"/>
  <c r="E57" i="7" s="1"/>
  <c r="X32" i="6"/>
  <c r="Y32" i="6" s="1"/>
  <c r="Z32" i="6" s="1"/>
  <c r="E74" i="7" s="1"/>
  <c r="X7" i="6"/>
  <c r="Y7" i="6" s="1"/>
  <c r="Z7" i="6" s="1"/>
  <c r="E49" i="7" s="1"/>
  <c r="X46" i="6"/>
  <c r="Y46" i="6" s="1"/>
  <c r="Z46" i="6" s="1"/>
  <c r="E88" i="7" s="1"/>
  <c r="AI17" i="6"/>
  <c r="AJ17" i="6" s="1"/>
  <c r="AK17" i="6" s="1"/>
  <c r="E102" i="7" s="1"/>
  <c r="AI35" i="6"/>
  <c r="AJ35" i="6" s="1"/>
  <c r="AK35" i="6" s="1"/>
  <c r="E120" i="7" s="1"/>
  <c r="X4" i="6"/>
  <c r="Y4" i="6" s="1"/>
  <c r="Z4" i="6" s="1"/>
  <c r="E46" i="7" s="1"/>
  <c r="AI8" i="6"/>
  <c r="AJ8" i="6" s="1"/>
  <c r="AK8" i="6" s="1"/>
  <c r="E93" i="7" s="1"/>
  <c r="AI18" i="6"/>
  <c r="AJ18" i="6" s="1"/>
  <c r="AK18" i="6" s="1"/>
  <c r="E103" i="7" s="1"/>
  <c r="AI34" i="6"/>
  <c r="AJ34" i="6" s="1"/>
  <c r="AK34" i="6" s="1"/>
  <c r="E119" i="7" s="1"/>
  <c r="X31" i="6"/>
  <c r="Y31" i="6" s="1"/>
  <c r="Z31" i="6" s="1"/>
  <c r="E73" i="7" s="1"/>
  <c r="X36" i="6"/>
  <c r="Y36" i="6" s="1"/>
  <c r="Z36" i="6" s="1"/>
  <c r="E78" i="7" s="1"/>
  <c r="AI4" i="6"/>
  <c r="AJ4" i="6" s="1"/>
  <c r="AJ54" i="6" l="1"/>
  <c r="AK4" i="6"/>
  <c r="Z2" i="6"/>
  <c r="Y54" i="6"/>
  <c r="Z54" i="6" l="1"/>
  <c r="E44" i="7"/>
  <c r="AK54" i="6"/>
  <c r="E89" i="7"/>
  <c r="D46" i="3" l="1"/>
  <c r="D47" i="3"/>
  <c r="D45" i="3"/>
  <c r="D50" i="3"/>
  <c r="D51" i="3"/>
  <c r="D48" i="3"/>
  <c r="D49" i="3"/>
  <c r="D53" i="3"/>
  <c r="D55" i="3"/>
  <c r="D54" i="3"/>
  <c r="D56" i="3"/>
  <c r="D52" i="3"/>
  <c r="D58" i="3"/>
  <c r="D60" i="3"/>
  <c r="D59" i="3"/>
  <c r="D57" i="3"/>
  <c r="D64" i="3"/>
  <c r="D61" i="3"/>
  <c r="D62" i="3"/>
  <c r="D63" i="3"/>
  <c r="D65" i="3"/>
  <c r="D67" i="3"/>
  <c r="D69" i="3"/>
  <c r="D66" i="3"/>
  <c r="D70" i="3"/>
  <c r="D68" i="3"/>
  <c r="D74" i="3"/>
  <c r="D72" i="3"/>
  <c r="D71" i="3"/>
  <c r="D73" i="3"/>
  <c r="D77" i="3"/>
  <c r="D76" i="3"/>
  <c r="D75" i="3"/>
  <c r="D78" i="3"/>
  <c r="D80" i="3"/>
  <c r="D82" i="3"/>
  <c r="D81" i="3"/>
  <c r="D79" i="3"/>
  <c r="D83" i="3"/>
  <c r="D84" i="3"/>
  <c r="D85" i="3"/>
  <c r="D86" i="3"/>
  <c r="D87" i="3"/>
  <c r="D88" i="3"/>
  <c r="C46" i="3"/>
  <c r="C47" i="3"/>
  <c r="C45" i="3"/>
  <c r="C50" i="3"/>
  <c r="C51" i="3"/>
  <c r="C48" i="3"/>
  <c r="C49" i="3"/>
  <c r="C53" i="3"/>
  <c r="C55" i="3"/>
  <c r="C54" i="3"/>
  <c r="C56" i="3"/>
  <c r="C52" i="3"/>
  <c r="C58" i="3"/>
  <c r="C60" i="3"/>
  <c r="C59" i="3"/>
  <c r="C57" i="3"/>
  <c r="C64" i="3"/>
  <c r="C61" i="3"/>
  <c r="C62" i="3"/>
  <c r="C63" i="3"/>
  <c r="C65" i="3"/>
  <c r="C67" i="3"/>
  <c r="C69" i="3"/>
  <c r="C66" i="3"/>
  <c r="C70" i="3"/>
  <c r="C68" i="3"/>
  <c r="C74" i="3"/>
  <c r="C72" i="3"/>
  <c r="C71" i="3"/>
  <c r="C73" i="3"/>
  <c r="C77" i="3"/>
  <c r="C76" i="3"/>
  <c r="C75" i="3"/>
  <c r="C78" i="3"/>
  <c r="C80" i="3"/>
  <c r="C82" i="3"/>
  <c r="C81" i="3"/>
  <c r="C79" i="3"/>
  <c r="C83" i="3"/>
  <c r="C84" i="3"/>
  <c r="C85" i="3"/>
  <c r="C86" i="3"/>
  <c r="C87" i="3"/>
  <c r="C88" i="3"/>
  <c r="B46" i="3"/>
  <c r="B47" i="3"/>
  <c r="B45" i="3"/>
  <c r="B50" i="3"/>
  <c r="B51" i="3"/>
  <c r="B48" i="3"/>
  <c r="B49" i="3"/>
  <c r="B53" i="3"/>
  <c r="B55" i="3"/>
  <c r="B54" i="3"/>
  <c r="B56" i="3"/>
  <c r="B52" i="3"/>
  <c r="B58" i="3"/>
  <c r="B60" i="3"/>
  <c r="B59" i="3"/>
  <c r="B57" i="3"/>
  <c r="B64" i="3"/>
  <c r="B61" i="3"/>
  <c r="B62" i="3"/>
  <c r="B63" i="3"/>
  <c r="B65" i="3"/>
  <c r="B67" i="3"/>
  <c r="B69" i="3"/>
  <c r="B66" i="3"/>
  <c r="B70" i="3"/>
  <c r="B68" i="3"/>
  <c r="B74" i="3"/>
  <c r="B72" i="3"/>
  <c r="B71" i="3"/>
  <c r="B73" i="3"/>
  <c r="B77" i="3"/>
  <c r="B76" i="3"/>
  <c r="B75" i="3"/>
  <c r="B78" i="3"/>
  <c r="B80" i="3"/>
  <c r="B82" i="3"/>
  <c r="B81" i="3"/>
  <c r="B79" i="3"/>
  <c r="B83" i="3"/>
  <c r="B84" i="3"/>
  <c r="B85" i="3"/>
  <c r="B86" i="3"/>
  <c r="B87" i="3"/>
  <c r="B88" i="3"/>
  <c r="D44" i="3"/>
  <c r="C44" i="3"/>
  <c r="B44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90" i="3"/>
  <c r="B89" i="3"/>
  <c r="AH51" i="1"/>
  <c r="AH50" i="1"/>
  <c r="AH49" i="1"/>
  <c r="AH48" i="1"/>
  <c r="AH47" i="1"/>
  <c r="AH46" i="1"/>
  <c r="W46" i="1"/>
  <c r="AH45" i="1"/>
  <c r="W45" i="1"/>
  <c r="AH44" i="1"/>
  <c r="W44" i="1"/>
  <c r="AH43" i="1"/>
  <c r="W43" i="1"/>
  <c r="AH42" i="1"/>
  <c r="W42" i="1"/>
  <c r="AH41" i="1"/>
  <c r="W41" i="1"/>
  <c r="AH40" i="1"/>
  <c r="W40" i="1"/>
  <c r="AH39" i="1"/>
  <c r="W39" i="1"/>
  <c r="AH38" i="1"/>
  <c r="W38" i="1"/>
  <c r="AH37" i="1"/>
  <c r="W37" i="1"/>
  <c r="AH36" i="1"/>
  <c r="W36" i="1"/>
  <c r="AH35" i="1"/>
  <c r="W35" i="1"/>
  <c r="AH34" i="1"/>
  <c r="W34" i="1"/>
  <c r="AH33" i="1"/>
  <c r="W33" i="1"/>
  <c r="AH32" i="1"/>
  <c r="W32" i="1"/>
  <c r="AH31" i="1"/>
  <c r="W31" i="1"/>
  <c r="AH30" i="1"/>
  <c r="W30" i="1"/>
  <c r="AH29" i="1"/>
  <c r="W29" i="1"/>
  <c r="AH28" i="1"/>
  <c r="W28" i="1"/>
  <c r="AH27" i="1"/>
  <c r="W27" i="1"/>
  <c r="AH26" i="1"/>
  <c r="W26" i="1"/>
  <c r="AH25" i="1"/>
  <c r="W25" i="1"/>
  <c r="AH24" i="1"/>
  <c r="W24" i="1"/>
  <c r="AH23" i="1"/>
  <c r="W23" i="1"/>
  <c r="AH22" i="1"/>
  <c r="W22" i="1"/>
  <c r="AH21" i="1"/>
  <c r="W21" i="1"/>
  <c r="AH20" i="1"/>
  <c r="W20" i="1"/>
  <c r="AH19" i="1"/>
  <c r="W19" i="1"/>
  <c r="AH18" i="1"/>
  <c r="W18" i="1"/>
  <c r="AH17" i="1"/>
  <c r="W17" i="1"/>
  <c r="AH16" i="1"/>
  <c r="W16" i="1"/>
  <c r="AH15" i="1"/>
  <c r="W15" i="1"/>
  <c r="AH14" i="1"/>
  <c r="W14" i="1"/>
  <c r="AH13" i="1"/>
  <c r="W13" i="1"/>
  <c r="AH12" i="1"/>
  <c r="W12" i="1"/>
  <c r="AH11" i="1"/>
  <c r="W11" i="1"/>
  <c r="AH10" i="1"/>
  <c r="W10" i="1"/>
  <c r="AH9" i="1"/>
  <c r="W9" i="1"/>
  <c r="AH8" i="1"/>
  <c r="W8" i="1"/>
  <c r="AH7" i="1"/>
  <c r="W7" i="1"/>
  <c r="AH6" i="1"/>
  <c r="W6" i="1"/>
  <c r="AH5" i="1"/>
  <c r="W5" i="1"/>
  <c r="AH4" i="1"/>
  <c r="W4" i="1"/>
  <c r="W3" i="1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Z23" i="4"/>
  <c r="AI23" i="4" s="1"/>
  <c r="Z24" i="4"/>
  <c r="AI24" i="4" s="1"/>
  <c r="Z25" i="4"/>
  <c r="AI25" i="4" s="1"/>
  <c r="Z26" i="4"/>
  <c r="AC26" i="4" s="1"/>
  <c r="Z27" i="4"/>
  <c r="AC27" i="4" s="1"/>
  <c r="Z28" i="4"/>
  <c r="AC28" i="4" s="1"/>
  <c r="Z29" i="4"/>
  <c r="AC29" i="4" s="1"/>
  <c r="Z30" i="4"/>
  <c r="AC30" i="4" s="1"/>
  <c r="Z31" i="4"/>
  <c r="AI31" i="4" s="1"/>
  <c r="Z32" i="4"/>
  <c r="AI32" i="4" s="1"/>
  <c r="Z33" i="4"/>
  <c r="AI33" i="4" s="1"/>
  <c r="Z34" i="4"/>
  <c r="AC34" i="4" s="1"/>
  <c r="Z35" i="4"/>
  <c r="AC35" i="4" s="1"/>
  <c r="Z36" i="4"/>
  <c r="AC36" i="4" s="1"/>
  <c r="Z37" i="4"/>
  <c r="AC37" i="4" s="1"/>
  <c r="Z38" i="4"/>
  <c r="AC38" i="4" s="1"/>
  <c r="Z39" i="4"/>
  <c r="AI39" i="4" s="1"/>
  <c r="Z40" i="4"/>
  <c r="AI40" i="4" s="1"/>
  <c r="Z41" i="4"/>
  <c r="AI41" i="4" s="1"/>
  <c r="Z42" i="4"/>
  <c r="AC42" i="4" s="1"/>
  <c r="Z43" i="4"/>
  <c r="AC43" i="4" s="1"/>
  <c r="Z44" i="4"/>
  <c r="AC44" i="4" s="1"/>
  <c r="Z45" i="4"/>
  <c r="AC45" i="4" s="1"/>
  <c r="Z46" i="4"/>
  <c r="AC46" i="4" s="1"/>
  <c r="Z47" i="4"/>
  <c r="AI47" i="4" s="1"/>
  <c r="Z48" i="4"/>
  <c r="AI48" i="4" s="1"/>
  <c r="Z49" i="4"/>
  <c r="AI49" i="4" s="1"/>
  <c r="Z50" i="4"/>
  <c r="AC50" i="4" s="1"/>
  <c r="Z51" i="4"/>
  <c r="AC51" i="4" s="1"/>
  <c r="Z52" i="4"/>
  <c r="AC52" i="4" s="1"/>
  <c r="Z53" i="4"/>
  <c r="AC53" i="4" s="1"/>
  <c r="Z54" i="4"/>
  <c r="AC54" i="4" s="1"/>
  <c r="Z55" i="4"/>
  <c r="AI55" i="4" s="1"/>
  <c r="Z56" i="4"/>
  <c r="AI56" i="4" s="1"/>
  <c r="Z57" i="4"/>
  <c r="AI57" i="4" s="1"/>
  <c r="Z58" i="4"/>
  <c r="AC58" i="4" s="1"/>
  <c r="Z59" i="4"/>
  <c r="AC59" i="4" s="1"/>
  <c r="Z60" i="4"/>
  <c r="AC60" i="4" s="1"/>
  <c r="Z61" i="4"/>
  <c r="AC61" i="4" s="1"/>
  <c r="Z62" i="4"/>
  <c r="AC62" i="4" s="1"/>
  <c r="Z63" i="4"/>
  <c r="AI63" i="4" s="1"/>
  <c r="Z64" i="4"/>
  <c r="AI64" i="4" s="1"/>
  <c r="Z65" i="4"/>
  <c r="AI65" i="4" s="1"/>
  <c r="Z66" i="4"/>
  <c r="AC66" i="4" s="1"/>
  <c r="Z67" i="4"/>
  <c r="AC67" i="4" s="1"/>
  <c r="Z68" i="4"/>
  <c r="AC68" i="4" s="1"/>
  <c r="Z69" i="4"/>
  <c r="AC69" i="4" s="1"/>
  <c r="Z70" i="4"/>
  <c r="AC70" i="4" s="1"/>
  <c r="Z71" i="4"/>
  <c r="AI71" i="4" s="1"/>
  <c r="Z72" i="4"/>
  <c r="AI72" i="4" s="1"/>
  <c r="Z73" i="4"/>
  <c r="AI73" i="4" s="1"/>
  <c r="Z7" i="4"/>
  <c r="AC7" i="4" s="1"/>
  <c r="Z8" i="4"/>
  <c r="AI8" i="4" s="1"/>
  <c r="Z9" i="4"/>
  <c r="AI9" i="4" s="1"/>
  <c r="Z10" i="4"/>
  <c r="AC10" i="4" s="1"/>
  <c r="Z11" i="4"/>
  <c r="AC11" i="4" s="1"/>
  <c r="Z12" i="4"/>
  <c r="AC12" i="4" s="1"/>
  <c r="Z13" i="4"/>
  <c r="AC13" i="4" s="1"/>
  <c r="Z14" i="4"/>
  <c r="AC14" i="4" s="1"/>
  <c r="Z15" i="4"/>
  <c r="AI15" i="4" s="1"/>
  <c r="Z16" i="4"/>
  <c r="AI16" i="4" s="1"/>
  <c r="Z17" i="4"/>
  <c r="AI17" i="4" s="1"/>
  <c r="Z18" i="4"/>
  <c r="AC18" i="4" s="1"/>
  <c r="Z19" i="4"/>
  <c r="AC19" i="4" s="1"/>
  <c r="Z20" i="4"/>
  <c r="AC20" i="4" s="1"/>
  <c r="Z21" i="4"/>
  <c r="AC21" i="4" s="1"/>
  <c r="Z22" i="4"/>
  <c r="AC22" i="4" s="1"/>
  <c r="AE6" i="4"/>
  <c r="AF6" i="4"/>
  <c r="AG6" i="4"/>
  <c r="AH6" i="4"/>
  <c r="AB6" i="4"/>
  <c r="AD6" i="4"/>
  <c r="Z6" i="4"/>
  <c r="AC6" i="4" s="1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I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H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G6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6" i="4"/>
  <c r="AA3" i="3"/>
  <c r="AB3" i="3"/>
  <c r="W16" i="3"/>
  <c r="AH54" i="1" l="1"/>
  <c r="AI14" i="1" s="1"/>
  <c r="W48" i="1"/>
  <c r="AI8" i="1"/>
  <c r="AI37" i="1"/>
  <c r="AI12" i="1"/>
  <c r="AI11" i="1"/>
  <c r="AI49" i="1"/>
  <c r="AI70" i="4"/>
  <c r="AI62" i="4"/>
  <c r="AI54" i="4"/>
  <c r="AI46" i="4"/>
  <c r="AI38" i="4"/>
  <c r="AI30" i="4"/>
  <c r="AI22" i="4"/>
  <c r="AI14" i="4"/>
  <c r="AC73" i="4"/>
  <c r="AC65" i="4"/>
  <c r="AC57" i="4"/>
  <c r="AC49" i="4"/>
  <c r="AC41" i="4"/>
  <c r="AC33" i="4"/>
  <c r="AC25" i="4"/>
  <c r="AC17" i="4"/>
  <c r="AC9" i="4"/>
  <c r="AI69" i="4"/>
  <c r="AI61" i="4"/>
  <c r="AI53" i="4"/>
  <c r="AI45" i="4"/>
  <c r="AI37" i="4"/>
  <c r="AI29" i="4"/>
  <c r="AI21" i="4"/>
  <c r="AI13" i="4"/>
  <c r="AC72" i="4"/>
  <c r="AC64" i="4"/>
  <c r="AC56" i="4"/>
  <c r="AC48" i="4"/>
  <c r="AC40" i="4"/>
  <c r="AC32" i="4"/>
  <c r="AC24" i="4"/>
  <c r="AC16" i="4"/>
  <c r="AC8" i="4"/>
  <c r="AI68" i="4"/>
  <c r="AI60" i="4"/>
  <c r="AI52" i="4"/>
  <c r="AI44" i="4"/>
  <c r="AI36" i="4"/>
  <c r="AI28" i="4"/>
  <c r="AI20" i="4"/>
  <c r="AI12" i="4"/>
  <c r="AC71" i="4"/>
  <c r="AC63" i="4"/>
  <c r="AC55" i="4"/>
  <c r="AC47" i="4"/>
  <c r="AC39" i="4"/>
  <c r="AC31" i="4"/>
  <c r="AC23" i="4"/>
  <c r="AC15" i="4"/>
  <c r="AI67" i="4"/>
  <c r="AI59" i="4"/>
  <c r="AI51" i="4"/>
  <c r="AI43" i="4"/>
  <c r="AI35" i="4"/>
  <c r="AI27" i="4"/>
  <c r="AI19" i="4"/>
  <c r="AI11" i="4"/>
  <c r="AI6" i="4"/>
  <c r="AI66" i="4"/>
  <c r="AI58" i="4"/>
  <c r="AI50" i="4"/>
  <c r="AI42" i="4"/>
  <c r="AI34" i="4"/>
  <c r="AI26" i="4"/>
  <c r="AI18" i="4"/>
  <c r="AI10" i="4"/>
  <c r="J16" i="4"/>
  <c r="Z3" i="3"/>
  <c r="Y3" i="3"/>
  <c r="L6" i="1"/>
  <c r="D29" i="3"/>
  <c r="D40" i="3"/>
  <c r="D38" i="3"/>
  <c r="D36" i="3"/>
  <c r="D35" i="3"/>
  <c r="D37" i="3"/>
  <c r="D41" i="3"/>
  <c r="D42" i="3"/>
  <c r="D43" i="3"/>
  <c r="D5" i="3"/>
  <c r="D7" i="3"/>
  <c r="D6" i="3"/>
  <c r="D9" i="3"/>
  <c r="D10" i="3"/>
  <c r="D11" i="3"/>
  <c r="D8" i="3"/>
  <c r="D4" i="3"/>
  <c r="D14" i="3"/>
  <c r="D12" i="3"/>
  <c r="D15" i="3"/>
  <c r="D13" i="3"/>
  <c r="D20" i="3"/>
  <c r="D16" i="3"/>
  <c r="D18" i="3"/>
  <c r="D17" i="3"/>
  <c r="D19" i="3"/>
  <c r="D21" i="3"/>
  <c r="D24" i="3"/>
  <c r="D22" i="3"/>
  <c r="D26" i="3"/>
  <c r="D27" i="3"/>
  <c r="D23" i="3"/>
  <c r="D28" i="3"/>
  <c r="D25" i="3"/>
  <c r="D30" i="3"/>
  <c r="D33" i="3"/>
  <c r="D31" i="3"/>
  <c r="D34" i="3"/>
  <c r="D32" i="3"/>
  <c r="D39" i="3"/>
  <c r="C29" i="3"/>
  <c r="C40" i="3"/>
  <c r="C38" i="3"/>
  <c r="C36" i="3"/>
  <c r="C35" i="3"/>
  <c r="C37" i="3"/>
  <c r="C41" i="3"/>
  <c r="C42" i="3"/>
  <c r="C43" i="3"/>
  <c r="C5" i="3"/>
  <c r="C7" i="3"/>
  <c r="C6" i="3"/>
  <c r="C9" i="3"/>
  <c r="C10" i="3"/>
  <c r="C11" i="3"/>
  <c r="C8" i="3"/>
  <c r="C4" i="3"/>
  <c r="C14" i="3"/>
  <c r="C12" i="3"/>
  <c r="C15" i="3"/>
  <c r="C13" i="3"/>
  <c r="C20" i="3"/>
  <c r="C16" i="3"/>
  <c r="C18" i="3"/>
  <c r="C17" i="3"/>
  <c r="C19" i="3"/>
  <c r="C21" i="3"/>
  <c r="C24" i="3"/>
  <c r="C22" i="3"/>
  <c r="C26" i="3"/>
  <c r="C27" i="3"/>
  <c r="C23" i="3"/>
  <c r="C28" i="3"/>
  <c r="C25" i="3"/>
  <c r="C30" i="3"/>
  <c r="C33" i="3"/>
  <c r="C31" i="3"/>
  <c r="C34" i="3"/>
  <c r="C32" i="3"/>
  <c r="C39" i="3"/>
  <c r="B34" i="3"/>
  <c r="B32" i="3"/>
  <c r="B26" i="3"/>
  <c r="B27" i="3"/>
  <c r="B23" i="3"/>
  <c r="B28" i="3"/>
  <c r="B25" i="3"/>
  <c r="B30" i="3"/>
  <c r="B33" i="3"/>
  <c r="B31" i="3"/>
  <c r="B18" i="3"/>
  <c r="B17" i="3"/>
  <c r="B19" i="3"/>
  <c r="B21" i="3"/>
  <c r="B24" i="3"/>
  <c r="B22" i="3"/>
  <c r="B29" i="3"/>
  <c r="B40" i="3"/>
  <c r="B38" i="3"/>
  <c r="B36" i="3"/>
  <c r="B35" i="3"/>
  <c r="B37" i="3"/>
  <c r="B41" i="3"/>
  <c r="B42" i="3"/>
  <c r="B43" i="3"/>
  <c r="B5" i="3"/>
  <c r="B7" i="3"/>
  <c r="B6" i="3"/>
  <c r="B9" i="3"/>
  <c r="B10" i="3"/>
  <c r="B11" i="3"/>
  <c r="B8" i="3"/>
  <c r="B4" i="3"/>
  <c r="B14" i="3"/>
  <c r="B12" i="3"/>
  <c r="B15" i="3"/>
  <c r="B13" i="3"/>
  <c r="B20" i="3"/>
  <c r="B16" i="3"/>
  <c r="B39" i="3"/>
  <c r="W58" i="3"/>
  <c r="W38" i="3"/>
  <c r="W40" i="3"/>
  <c r="W46" i="3"/>
  <c r="W69" i="3"/>
  <c r="W35" i="3"/>
  <c r="W67" i="3"/>
  <c r="W71" i="3"/>
  <c r="W61" i="3"/>
  <c r="W32" i="3"/>
  <c r="W21" i="3"/>
  <c r="W44" i="3"/>
  <c r="W27" i="3"/>
  <c r="W59" i="3"/>
  <c r="W55" i="3"/>
  <c r="W41" i="3"/>
  <c r="W36" i="3"/>
  <c r="W24" i="3"/>
  <c r="W54" i="3"/>
  <c r="W22" i="3"/>
  <c r="W18" i="3"/>
  <c r="W51" i="3"/>
  <c r="W30" i="3"/>
  <c r="W33" i="3"/>
  <c r="W19" i="3"/>
  <c r="W14" i="3"/>
  <c r="W29" i="3"/>
  <c r="W8" i="3"/>
  <c r="W73" i="3"/>
  <c r="W11" i="3"/>
  <c r="W68" i="3"/>
  <c r="W34" i="3"/>
  <c r="W17" i="3"/>
  <c r="W39" i="3"/>
  <c r="W60" i="3"/>
  <c r="W26" i="3"/>
  <c r="W56" i="3"/>
  <c r="W57" i="3"/>
  <c r="W48" i="3"/>
  <c r="W53" i="3"/>
  <c r="W20" i="3"/>
  <c r="W50" i="3"/>
  <c r="W66" i="3"/>
  <c r="W63" i="3"/>
  <c r="W49" i="3"/>
  <c r="W13" i="3"/>
  <c r="W31" i="3"/>
  <c r="W43" i="3"/>
  <c r="W47" i="3"/>
  <c r="W7" i="3"/>
  <c r="W9" i="3"/>
  <c r="W42" i="3"/>
  <c r="W12" i="3"/>
  <c r="W25" i="3"/>
  <c r="W72" i="3"/>
  <c r="W70" i="3"/>
  <c r="W62" i="3"/>
  <c r="W65" i="3"/>
  <c r="W64" i="3"/>
  <c r="W37" i="3"/>
  <c r="W45" i="3"/>
  <c r="W28" i="3"/>
  <c r="W23" i="3"/>
  <c r="W52" i="3"/>
  <c r="W15" i="3"/>
  <c r="X20" i="1" l="1"/>
  <c r="X2" i="1"/>
  <c r="X9" i="1"/>
  <c r="AI31" i="1"/>
  <c r="AI23" i="1"/>
  <c r="AI4" i="1"/>
  <c r="AI29" i="1"/>
  <c r="AI50" i="1"/>
  <c r="X13" i="1"/>
  <c r="X25" i="1"/>
  <c r="AI26" i="1"/>
  <c r="AI9" i="1"/>
  <c r="AI19" i="1"/>
  <c r="AI45" i="1"/>
  <c r="X33" i="1"/>
  <c r="AI18" i="1"/>
  <c r="AI41" i="1"/>
  <c r="AI51" i="1"/>
  <c r="X16" i="1"/>
  <c r="AI39" i="1"/>
  <c r="X37" i="1"/>
  <c r="X43" i="1"/>
  <c r="AI15" i="1"/>
  <c r="AI28" i="1"/>
  <c r="AI16" i="1"/>
  <c r="AI10" i="1"/>
  <c r="AI44" i="1"/>
  <c r="AI24" i="1"/>
  <c r="AI7" i="1"/>
  <c r="X4" i="1"/>
  <c r="X7" i="1"/>
  <c r="X15" i="1"/>
  <c r="X31" i="1"/>
  <c r="X39" i="1"/>
  <c r="X30" i="1"/>
  <c r="X29" i="1"/>
  <c r="X12" i="1"/>
  <c r="X8" i="1"/>
  <c r="X17" i="1"/>
  <c r="X45" i="1"/>
  <c r="AI20" i="1"/>
  <c r="AI22" i="1"/>
  <c r="AI30" i="1"/>
  <c r="X28" i="1"/>
  <c r="X5" i="1"/>
  <c r="X42" i="1"/>
  <c r="X46" i="1"/>
  <c r="X23" i="1"/>
  <c r="X3" i="1"/>
  <c r="X24" i="1"/>
  <c r="X36" i="1"/>
  <c r="X32" i="1"/>
  <c r="X34" i="1"/>
  <c r="AI17" i="1"/>
  <c r="X19" i="1"/>
  <c r="AI27" i="1"/>
  <c r="X44" i="1"/>
  <c r="AI5" i="1"/>
  <c r="X40" i="1"/>
  <c r="AI32" i="1"/>
  <c r="AI42" i="1"/>
  <c r="X22" i="1"/>
  <c r="X26" i="1"/>
  <c r="AI6" i="1"/>
  <c r="X11" i="1"/>
  <c r="X21" i="1"/>
  <c r="AI25" i="1"/>
  <c r="X27" i="1"/>
  <c r="AI36" i="1"/>
  <c r="AI35" i="1"/>
  <c r="AI13" i="1"/>
  <c r="AI40" i="1"/>
  <c r="AI34" i="1"/>
  <c r="X14" i="1"/>
  <c r="X18" i="1"/>
  <c r="AI46" i="1"/>
  <c r="X41" i="1"/>
  <c r="X38" i="1"/>
  <c r="AI33" i="1"/>
  <c r="X35" i="1"/>
  <c r="AI43" i="1"/>
  <c r="AI21" i="1"/>
  <c r="AI48" i="1"/>
  <c r="AI47" i="1"/>
  <c r="X6" i="1"/>
  <c r="X10" i="1"/>
  <c r="AI38" i="1"/>
  <c r="Z4" i="3"/>
  <c r="J6" i="4"/>
  <c r="J7" i="4"/>
  <c r="J8" i="4"/>
  <c r="J9" i="4"/>
  <c r="J10" i="4"/>
  <c r="J11" i="4"/>
  <c r="J12" i="4"/>
  <c r="J13" i="4"/>
  <c r="J14" i="4"/>
  <c r="J17" i="4"/>
  <c r="J15" i="4"/>
  <c r="J18" i="4"/>
  <c r="J19" i="4"/>
  <c r="J20" i="4"/>
  <c r="J21" i="4"/>
  <c r="J23" i="4"/>
  <c r="J24" i="4"/>
  <c r="J25" i="4"/>
  <c r="J26" i="4"/>
  <c r="J27" i="4"/>
  <c r="J22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28" i="4"/>
  <c r="J47" i="4"/>
  <c r="X6" i="3"/>
  <c r="X7" i="3"/>
  <c r="X8" i="3"/>
  <c r="X9" i="3"/>
  <c r="X10" i="3"/>
  <c r="X11" i="3"/>
  <c r="X12" i="3"/>
  <c r="X13" i="3"/>
  <c r="X14" i="3"/>
  <c r="X17" i="3"/>
  <c r="X15" i="3"/>
  <c r="X16" i="3"/>
  <c r="X18" i="3"/>
  <c r="X19" i="3"/>
  <c r="X20" i="3"/>
  <c r="X21" i="3"/>
  <c r="X23" i="3"/>
  <c r="X24" i="3"/>
  <c r="X25" i="3"/>
  <c r="X26" i="3"/>
  <c r="X27" i="3"/>
  <c r="X22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28" i="3"/>
  <c r="X47" i="3"/>
  <c r="Y6" i="3" l="1"/>
  <c r="AA6" i="3" s="1"/>
  <c r="Y6" i="4" s="1"/>
  <c r="K5" i="8" s="1"/>
  <c r="Q5" i="8" s="1"/>
  <c r="Z55" i="3"/>
  <c r="AB55" i="3" s="1"/>
  <c r="L55" i="4" s="1"/>
  <c r="Y55" i="3"/>
  <c r="AA55" i="3" s="1"/>
  <c r="Y55" i="4" s="1"/>
  <c r="Y21" i="3"/>
  <c r="AA21" i="3" s="1"/>
  <c r="Y21" i="4" s="1"/>
  <c r="Z21" i="3"/>
  <c r="AB21" i="3" s="1"/>
  <c r="L21" i="4" s="1"/>
  <c r="Y13" i="3"/>
  <c r="AA13" i="3" s="1"/>
  <c r="Y13" i="4" s="1"/>
  <c r="Z13" i="3"/>
  <c r="AB13" i="3" s="1"/>
  <c r="L13" i="4" s="1"/>
  <c r="Z71" i="3"/>
  <c r="AB71" i="3" s="1"/>
  <c r="L71" i="4" s="1"/>
  <c r="Y71" i="3"/>
  <c r="AA71" i="3" s="1"/>
  <c r="Y71" i="4" s="1"/>
  <c r="Z30" i="3"/>
  <c r="AB30" i="3" s="1"/>
  <c r="L30" i="4" s="1"/>
  <c r="Y30" i="3"/>
  <c r="AA30" i="3" s="1"/>
  <c r="Y30" i="4" s="1"/>
  <c r="Z54" i="3"/>
  <c r="AB54" i="3" s="1"/>
  <c r="L54" i="4" s="1"/>
  <c r="Y54" i="3"/>
  <c r="AA54" i="3" s="1"/>
  <c r="Y54" i="4" s="1"/>
  <c r="Y20" i="3"/>
  <c r="AA20" i="3" s="1"/>
  <c r="Y20" i="4" s="1"/>
  <c r="Z20" i="3"/>
  <c r="AB20" i="3" s="1"/>
  <c r="L20" i="4" s="1"/>
  <c r="Y61" i="3"/>
  <c r="AA61" i="3" s="1"/>
  <c r="Y61" i="4" s="1"/>
  <c r="Z61" i="3"/>
  <c r="AB61" i="3" s="1"/>
  <c r="L61" i="4" s="1"/>
  <c r="Y36" i="3"/>
  <c r="AA36" i="3" s="1"/>
  <c r="Y36" i="4" s="1"/>
  <c r="Z36" i="3"/>
  <c r="AB36" i="3" s="1"/>
  <c r="L36" i="4" s="1"/>
  <c r="Y11" i="3"/>
  <c r="AA11" i="3" s="1"/>
  <c r="Y11" i="4" s="1"/>
  <c r="Z11" i="3"/>
  <c r="AB11" i="3" s="1"/>
  <c r="L11" i="4" s="1"/>
  <c r="Y60" i="3"/>
  <c r="AA60" i="3" s="1"/>
  <c r="Y60" i="4" s="1"/>
  <c r="Z60" i="3"/>
  <c r="AB60" i="3" s="1"/>
  <c r="L60" i="4" s="1"/>
  <c r="Y35" i="3"/>
  <c r="AA35" i="3" s="1"/>
  <c r="Y35" i="4" s="1"/>
  <c r="Z35" i="3"/>
  <c r="AB35" i="3" s="1"/>
  <c r="L35" i="4" s="1"/>
  <c r="Z10" i="3"/>
  <c r="AB10" i="3" s="1"/>
  <c r="L10" i="4" s="1"/>
  <c r="Y10" i="3"/>
  <c r="AA10" i="3" s="1"/>
  <c r="Y10" i="4" s="1"/>
  <c r="Z47" i="3"/>
  <c r="AB47" i="3" s="1"/>
  <c r="L47" i="4" s="1"/>
  <c r="Y47" i="3"/>
  <c r="AA47" i="3" s="1"/>
  <c r="Y47" i="4" s="1"/>
  <c r="Y67" i="3"/>
  <c r="AA67" i="3" s="1"/>
  <c r="Y67" i="4" s="1"/>
  <c r="Z67" i="3"/>
  <c r="AB67" i="3" s="1"/>
  <c r="L67" i="4" s="1"/>
  <c r="Y59" i="3"/>
  <c r="AA59" i="3" s="1"/>
  <c r="Y59" i="4" s="1"/>
  <c r="Z59" i="3"/>
  <c r="AB59" i="3" s="1"/>
  <c r="L59" i="4" s="1"/>
  <c r="Y51" i="3"/>
  <c r="AA51" i="3" s="1"/>
  <c r="Y51" i="4" s="1"/>
  <c r="Z51" i="3"/>
  <c r="AB51" i="3" s="1"/>
  <c r="L51" i="4" s="1"/>
  <c r="Z42" i="3"/>
  <c r="AB42" i="3" s="1"/>
  <c r="L42" i="4" s="1"/>
  <c r="Y42" i="3"/>
  <c r="AA42" i="3" s="1"/>
  <c r="Y42" i="4" s="1"/>
  <c r="Z34" i="3"/>
  <c r="AB34" i="3" s="1"/>
  <c r="L34" i="4" s="1"/>
  <c r="Y34" i="3"/>
  <c r="AA34" i="3" s="1"/>
  <c r="Y34" i="4" s="1"/>
  <c r="Z26" i="3"/>
  <c r="AB26" i="3" s="1"/>
  <c r="L26" i="4" s="1"/>
  <c r="Y26" i="3"/>
  <c r="AA26" i="3" s="1"/>
  <c r="Y26" i="4" s="1"/>
  <c r="Y28" i="3"/>
  <c r="AA28" i="3" s="1"/>
  <c r="Y28" i="4" s="1"/>
  <c r="Z28" i="3"/>
  <c r="AB28" i="3" s="1"/>
  <c r="L28" i="4" s="1"/>
  <c r="Z66" i="3"/>
  <c r="AB66" i="3" s="1"/>
  <c r="L66" i="4" s="1"/>
  <c r="Y66" i="3"/>
  <c r="AA66" i="3" s="1"/>
  <c r="Y66" i="4" s="1"/>
  <c r="Z58" i="3"/>
  <c r="AB58" i="3" s="1"/>
  <c r="L58" i="4" s="1"/>
  <c r="Y58" i="3"/>
  <c r="AA58" i="3" s="1"/>
  <c r="Y58" i="4" s="1"/>
  <c r="Z50" i="3"/>
  <c r="AB50" i="3" s="1"/>
  <c r="L50" i="4" s="1"/>
  <c r="Y50" i="3"/>
  <c r="AA50" i="3" s="1"/>
  <c r="Y50" i="4" s="1"/>
  <c r="Z41" i="3"/>
  <c r="AB41" i="3" s="1"/>
  <c r="L41" i="4" s="1"/>
  <c r="Y41" i="3"/>
  <c r="AA41" i="3" s="1"/>
  <c r="Y41" i="4" s="1"/>
  <c r="Z33" i="3"/>
  <c r="AB33" i="3" s="1"/>
  <c r="L33" i="4" s="1"/>
  <c r="Y33" i="3"/>
  <c r="AA33" i="3" s="1"/>
  <c r="Y33" i="4" s="1"/>
  <c r="Z25" i="3"/>
  <c r="AB25" i="3" s="1"/>
  <c r="L25" i="4" s="1"/>
  <c r="Y25" i="3"/>
  <c r="AA25" i="3" s="1"/>
  <c r="Y25" i="4" s="1"/>
  <c r="Z15" i="3"/>
  <c r="AB15" i="3" s="1"/>
  <c r="L15" i="4" s="1"/>
  <c r="Y15" i="3"/>
  <c r="AA15" i="3" s="1"/>
  <c r="Y15" i="4" s="1"/>
  <c r="Y8" i="3"/>
  <c r="AA8" i="3" s="1"/>
  <c r="Y8" i="4" s="1"/>
  <c r="Z8" i="3"/>
  <c r="AB8" i="3" s="1"/>
  <c r="Z63" i="3"/>
  <c r="AB63" i="3" s="1"/>
  <c r="L63" i="4" s="1"/>
  <c r="Y63" i="3"/>
  <c r="AA63" i="3" s="1"/>
  <c r="Y63" i="4" s="1"/>
  <c r="Z38" i="3"/>
  <c r="AB38" i="3" s="1"/>
  <c r="L38" i="4" s="1"/>
  <c r="Y38" i="3"/>
  <c r="AA38" i="3" s="1"/>
  <c r="Y38" i="4" s="1"/>
  <c r="Z70" i="3"/>
  <c r="AB70" i="3" s="1"/>
  <c r="L70" i="4" s="1"/>
  <c r="Y70" i="3"/>
  <c r="AA70" i="3" s="1"/>
  <c r="Y70" i="4" s="1"/>
  <c r="Y45" i="3"/>
  <c r="AA45" i="3" s="1"/>
  <c r="Y45" i="4" s="1"/>
  <c r="Z45" i="3"/>
  <c r="AB45" i="3" s="1"/>
  <c r="L45" i="4" s="1"/>
  <c r="Y29" i="3"/>
  <c r="AA29" i="3" s="1"/>
  <c r="Y29" i="4" s="1"/>
  <c r="Z29" i="3"/>
  <c r="AB29" i="3" s="1"/>
  <c r="L29" i="4" s="1"/>
  <c r="Y69" i="3"/>
  <c r="AA69" i="3" s="1"/>
  <c r="Y69" i="4" s="1"/>
  <c r="Z69" i="3"/>
  <c r="AB69" i="3" s="1"/>
  <c r="L69" i="4" s="1"/>
  <c r="Y44" i="3"/>
  <c r="AA44" i="3" s="1"/>
  <c r="Y44" i="4" s="1"/>
  <c r="Z44" i="3"/>
  <c r="AB44" i="3" s="1"/>
  <c r="L44" i="4" s="1"/>
  <c r="Y19" i="3"/>
  <c r="AA19" i="3" s="1"/>
  <c r="Y19" i="4" s="1"/>
  <c r="Z19" i="3"/>
  <c r="AB19" i="3" s="1"/>
  <c r="L19" i="4" s="1"/>
  <c r="Y52" i="3"/>
  <c r="AA52" i="3" s="1"/>
  <c r="Y52" i="4" s="1"/>
  <c r="Z52" i="3"/>
  <c r="AB52" i="3" s="1"/>
  <c r="L52" i="4" s="1"/>
  <c r="Y27" i="3"/>
  <c r="AA27" i="3" s="1"/>
  <c r="Y27" i="4" s="1"/>
  <c r="Z27" i="3"/>
  <c r="AB27" i="3" s="1"/>
  <c r="L27" i="4" s="1"/>
  <c r="Z9" i="3"/>
  <c r="AB9" i="3" s="1"/>
  <c r="L9" i="4" s="1"/>
  <c r="Y9" i="3"/>
  <c r="AA9" i="3" s="1"/>
  <c r="Y9" i="4" s="1"/>
  <c r="Z73" i="3"/>
  <c r="AB73" i="3" s="1"/>
  <c r="L73" i="4" s="1"/>
  <c r="Y73" i="3"/>
  <c r="AA73" i="3" s="1"/>
  <c r="Y73" i="4" s="1"/>
  <c r="Z65" i="3"/>
  <c r="AB65" i="3" s="1"/>
  <c r="L65" i="4" s="1"/>
  <c r="Y65" i="3"/>
  <c r="AA65" i="3" s="1"/>
  <c r="Y65" i="4" s="1"/>
  <c r="Z57" i="3"/>
  <c r="AB57" i="3" s="1"/>
  <c r="L57" i="4" s="1"/>
  <c r="Y57" i="3"/>
  <c r="AA57" i="3" s="1"/>
  <c r="Y57" i="4" s="1"/>
  <c r="Z49" i="3"/>
  <c r="AB49" i="3" s="1"/>
  <c r="L49" i="4" s="1"/>
  <c r="Y49" i="3"/>
  <c r="AA49" i="3" s="1"/>
  <c r="Y49" i="4" s="1"/>
  <c r="Z40" i="3"/>
  <c r="AB40" i="3" s="1"/>
  <c r="L40" i="4" s="1"/>
  <c r="Y40" i="3"/>
  <c r="AA40" i="3" s="1"/>
  <c r="Y40" i="4" s="1"/>
  <c r="Z32" i="3"/>
  <c r="AB32" i="3" s="1"/>
  <c r="L32" i="4" s="1"/>
  <c r="Y32" i="3"/>
  <c r="AA32" i="3" s="1"/>
  <c r="Y32" i="4" s="1"/>
  <c r="Z24" i="3"/>
  <c r="AB24" i="3" s="1"/>
  <c r="L24" i="4" s="1"/>
  <c r="Y24" i="3"/>
  <c r="AA24" i="3" s="1"/>
  <c r="Y24" i="4" s="1"/>
  <c r="Z17" i="3"/>
  <c r="AB17" i="3" s="1"/>
  <c r="L17" i="4" s="1"/>
  <c r="Y17" i="3"/>
  <c r="AA17" i="3" s="1"/>
  <c r="Y17" i="4" s="1"/>
  <c r="Z7" i="3"/>
  <c r="AB7" i="3" s="1"/>
  <c r="Y7" i="3"/>
  <c r="AA7" i="3" s="1"/>
  <c r="Y7" i="4" s="1"/>
  <c r="Z46" i="3"/>
  <c r="AB46" i="3" s="1"/>
  <c r="L46" i="4" s="1"/>
  <c r="Y46" i="3"/>
  <c r="AA46" i="3" s="1"/>
  <c r="Y46" i="4" s="1"/>
  <c r="Z62" i="3"/>
  <c r="AB62" i="3" s="1"/>
  <c r="L62" i="4" s="1"/>
  <c r="Y62" i="3"/>
  <c r="AA62" i="3" s="1"/>
  <c r="Y62" i="4" s="1"/>
  <c r="Y37" i="3"/>
  <c r="AA37" i="3" s="1"/>
  <c r="Y37" i="4" s="1"/>
  <c r="Z37" i="3"/>
  <c r="AB37" i="3" s="1"/>
  <c r="L37" i="4" s="1"/>
  <c r="Y12" i="3"/>
  <c r="AA12" i="3" s="1"/>
  <c r="Y12" i="4" s="1"/>
  <c r="Z12" i="3"/>
  <c r="AB12" i="3" s="1"/>
  <c r="L12" i="4" s="1"/>
  <c r="Y53" i="3"/>
  <c r="AA53" i="3" s="1"/>
  <c r="Y53" i="4" s="1"/>
  <c r="Z53" i="3"/>
  <c r="AB53" i="3" s="1"/>
  <c r="L53" i="4" s="1"/>
  <c r="Z22" i="3"/>
  <c r="AB22" i="3" s="1"/>
  <c r="L22" i="4" s="1"/>
  <c r="Y22" i="3"/>
  <c r="AA22" i="3" s="1"/>
  <c r="Y22" i="4" s="1"/>
  <c r="Y68" i="3"/>
  <c r="AA68" i="3" s="1"/>
  <c r="Y68" i="4" s="1"/>
  <c r="Z68" i="3"/>
  <c r="AB68" i="3" s="1"/>
  <c r="L68" i="4" s="1"/>
  <c r="Y43" i="3"/>
  <c r="AA43" i="3" s="1"/>
  <c r="Y43" i="4" s="1"/>
  <c r="Z43" i="3"/>
  <c r="AB43" i="3" s="1"/>
  <c r="L43" i="4" s="1"/>
  <c r="Z18" i="3"/>
  <c r="AB18" i="3" s="1"/>
  <c r="L18" i="4" s="1"/>
  <c r="Y18" i="3"/>
  <c r="AA18" i="3" s="1"/>
  <c r="Y18" i="4" s="1"/>
  <c r="Z16" i="3"/>
  <c r="AB16" i="3" s="1"/>
  <c r="L16" i="4" s="1"/>
  <c r="Y16" i="3"/>
  <c r="AA16" i="3" s="1"/>
  <c r="Y16" i="4" s="1"/>
  <c r="Z72" i="3"/>
  <c r="AB72" i="3" s="1"/>
  <c r="L72" i="4" s="1"/>
  <c r="Y72" i="3"/>
  <c r="AA72" i="3" s="1"/>
  <c r="Y72" i="4" s="1"/>
  <c r="Z64" i="3"/>
  <c r="AB64" i="3" s="1"/>
  <c r="L64" i="4" s="1"/>
  <c r="Y64" i="3"/>
  <c r="AA64" i="3" s="1"/>
  <c r="Y64" i="4" s="1"/>
  <c r="Z56" i="3"/>
  <c r="AB56" i="3" s="1"/>
  <c r="L56" i="4" s="1"/>
  <c r="Y56" i="3"/>
  <c r="AA56" i="3" s="1"/>
  <c r="Y56" i="4" s="1"/>
  <c r="Z48" i="3"/>
  <c r="AB48" i="3" s="1"/>
  <c r="L48" i="4" s="1"/>
  <c r="Y48" i="3"/>
  <c r="AA48" i="3" s="1"/>
  <c r="Y48" i="4" s="1"/>
  <c r="Z39" i="3"/>
  <c r="AB39" i="3" s="1"/>
  <c r="L39" i="4" s="1"/>
  <c r="Y39" i="3"/>
  <c r="AA39" i="3" s="1"/>
  <c r="Y39" i="4" s="1"/>
  <c r="Z31" i="3"/>
  <c r="AB31" i="3" s="1"/>
  <c r="L31" i="4" s="1"/>
  <c r="Y31" i="3"/>
  <c r="AA31" i="3" s="1"/>
  <c r="Y31" i="4" s="1"/>
  <c r="Z23" i="3"/>
  <c r="AB23" i="3" s="1"/>
  <c r="L23" i="4" s="1"/>
  <c r="Y23" i="3"/>
  <c r="AA23" i="3" s="1"/>
  <c r="Y23" i="4" s="1"/>
  <c r="Z14" i="3"/>
  <c r="AB14" i="3" s="1"/>
  <c r="L14" i="4" s="1"/>
  <c r="Y14" i="3"/>
  <c r="AA14" i="3" s="1"/>
  <c r="Y14" i="4" s="1"/>
  <c r="Z6" i="3"/>
  <c r="AB6" i="3" s="1"/>
  <c r="G9" i="1"/>
  <c r="E29" i="3" s="1"/>
  <c r="G10" i="1"/>
  <c r="E40" i="3" s="1"/>
  <c r="G11" i="1"/>
  <c r="E38" i="3" s="1"/>
  <c r="G12" i="1"/>
  <c r="E36" i="3" s="1"/>
  <c r="G13" i="1"/>
  <c r="E35" i="3" s="1"/>
  <c r="G14" i="1"/>
  <c r="E37" i="3" s="1"/>
  <c r="G15" i="1"/>
  <c r="E41" i="3" s="1"/>
  <c r="G16" i="1"/>
  <c r="E42" i="3" s="1"/>
  <c r="G17" i="1"/>
  <c r="E43" i="3" s="1"/>
  <c r="G18" i="1"/>
  <c r="E5" i="3" s="1"/>
  <c r="G19" i="1"/>
  <c r="E7" i="3" s="1"/>
  <c r="G20" i="1"/>
  <c r="E6" i="3" s="1"/>
  <c r="G21" i="1"/>
  <c r="E9" i="3" s="1"/>
  <c r="G22" i="1"/>
  <c r="E10" i="3" s="1"/>
  <c r="G23" i="1"/>
  <c r="E11" i="3" s="1"/>
  <c r="G24" i="1"/>
  <c r="E8" i="3" s="1"/>
  <c r="G25" i="1"/>
  <c r="E4" i="3" s="1"/>
  <c r="G26" i="1"/>
  <c r="E14" i="3" s="1"/>
  <c r="G27" i="1"/>
  <c r="E12" i="3" s="1"/>
  <c r="G28" i="1"/>
  <c r="E15" i="3" s="1"/>
  <c r="G29" i="1"/>
  <c r="E13" i="3" s="1"/>
  <c r="G30" i="1"/>
  <c r="E20" i="3" s="1"/>
  <c r="G31" i="1"/>
  <c r="E16" i="3" s="1"/>
  <c r="G32" i="1"/>
  <c r="E18" i="3" s="1"/>
  <c r="G33" i="1"/>
  <c r="E17" i="3" s="1"/>
  <c r="G34" i="1"/>
  <c r="E19" i="3" s="1"/>
  <c r="G35" i="1"/>
  <c r="E21" i="3" s="1"/>
  <c r="G36" i="1"/>
  <c r="E24" i="3" s="1"/>
  <c r="G37" i="1"/>
  <c r="E22" i="3" s="1"/>
  <c r="G38" i="1"/>
  <c r="E26" i="3" s="1"/>
  <c r="G39" i="1"/>
  <c r="E27" i="3" s="1"/>
  <c r="G40" i="1"/>
  <c r="E23" i="3" s="1"/>
  <c r="G41" i="1"/>
  <c r="E28" i="3" s="1"/>
  <c r="G42" i="1"/>
  <c r="E25" i="3" s="1"/>
  <c r="G43" i="1"/>
  <c r="E30" i="3" s="1"/>
  <c r="G44" i="1"/>
  <c r="E33" i="3" s="1"/>
  <c r="G45" i="1"/>
  <c r="E31" i="3" s="1"/>
  <c r="G46" i="1"/>
  <c r="E34" i="3" s="1"/>
  <c r="G47" i="1"/>
  <c r="E32" i="3" s="1"/>
  <c r="G8" i="1"/>
  <c r="N4" i="1"/>
  <c r="O4" i="1" s="1"/>
  <c r="D5" i="1"/>
  <c r="L3" i="1" s="1"/>
  <c r="R5" i="8" l="1"/>
  <c r="AM6" i="4"/>
  <c r="I13" i="8"/>
  <c r="AL14" i="4"/>
  <c r="I47" i="8"/>
  <c r="AL48" i="4"/>
  <c r="I15" i="8"/>
  <c r="AL16" i="4"/>
  <c r="I21" i="8"/>
  <c r="AL22" i="4"/>
  <c r="I61" i="8"/>
  <c r="AL62" i="4"/>
  <c r="I23" i="8"/>
  <c r="AL24" i="4"/>
  <c r="I56" i="8"/>
  <c r="AL57" i="4"/>
  <c r="K26" i="8"/>
  <c r="AM27" i="4"/>
  <c r="K68" i="8"/>
  <c r="AM69" i="4"/>
  <c r="I37" i="8"/>
  <c r="AL38" i="4"/>
  <c r="I24" i="8"/>
  <c r="AL25" i="4"/>
  <c r="I57" i="8"/>
  <c r="AL58" i="4"/>
  <c r="I33" i="8"/>
  <c r="AL34" i="4"/>
  <c r="K66" i="8"/>
  <c r="AM67" i="4"/>
  <c r="K59" i="8"/>
  <c r="AM60" i="4"/>
  <c r="K19" i="8"/>
  <c r="AM20" i="4"/>
  <c r="K12" i="8"/>
  <c r="AM13" i="4"/>
  <c r="K55" i="8"/>
  <c r="AM56" i="4"/>
  <c r="K17" i="8"/>
  <c r="AM18" i="4"/>
  <c r="I52" i="8"/>
  <c r="AL53" i="4"/>
  <c r="K45" i="8"/>
  <c r="AM46" i="4"/>
  <c r="K31" i="8"/>
  <c r="AM32" i="4"/>
  <c r="K64" i="8"/>
  <c r="AM65" i="4"/>
  <c r="I51" i="8"/>
  <c r="AL52" i="4"/>
  <c r="I28" i="8"/>
  <c r="AL29" i="4"/>
  <c r="K62" i="8"/>
  <c r="AM63" i="4"/>
  <c r="K32" i="8"/>
  <c r="AM33" i="4"/>
  <c r="K65" i="8"/>
  <c r="AM66" i="4"/>
  <c r="K41" i="8"/>
  <c r="AM42" i="4"/>
  <c r="K46" i="8"/>
  <c r="AM47" i="4"/>
  <c r="I10" i="8"/>
  <c r="AL11" i="4"/>
  <c r="K53" i="8"/>
  <c r="AM54" i="4"/>
  <c r="I20" i="8"/>
  <c r="AL21" i="4"/>
  <c r="K69" i="8"/>
  <c r="AM70" i="4"/>
  <c r="I17" i="8"/>
  <c r="AL18" i="4"/>
  <c r="K10" i="8"/>
  <c r="AM11" i="4"/>
  <c r="I53" i="8"/>
  <c r="AL54" i="4"/>
  <c r="K20" i="8"/>
  <c r="AM21" i="4"/>
  <c r="K38" i="8"/>
  <c r="AM39" i="4"/>
  <c r="I22" i="8"/>
  <c r="AL23" i="4"/>
  <c r="I55" i="8"/>
  <c r="AL56" i="4"/>
  <c r="K52" i="8"/>
  <c r="AM53" i="4"/>
  <c r="I31" i="8"/>
  <c r="AL32" i="4"/>
  <c r="K51" i="8"/>
  <c r="AM52" i="4"/>
  <c r="K28" i="8"/>
  <c r="AM29" i="4"/>
  <c r="I32" i="8"/>
  <c r="AL33" i="4"/>
  <c r="I65" i="8"/>
  <c r="AL66" i="4"/>
  <c r="I41" i="8"/>
  <c r="AL42" i="4"/>
  <c r="K63" i="8"/>
  <c r="AM64" i="4"/>
  <c r="I42" i="8"/>
  <c r="AL43" i="4"/>
  <c r="I11" i="8"/>
  <c r="AL12" i="4"/>
  <c r="K6" i="8"/>
  <c r="AM7" i="4"/>
  <c r="K39" i="8"/>
  <c r="AM40" i="4"/>
  <c r="K72" i="8"/>
  <c r="AM73" i="4"/>
  <c r="I18" i="8"/>
  <c r="AL19" i="4"/>
  <c r="I44" i="8"/>
  <c r="AL45" i="4"/>
  <c r="L8" i="4"/>
  <c r="AD8" i="3"/>
  <c r="K40" i="8"/>
  <c r="AM41" i="4"/>
  <c r="I27" i="8"/>
  <c r="AL28" i="4"/>
  <c r="I50" i="8"/>
  <c r="AL51" i="4"/>
  <c r="K9" i="8"/>
  <c r="AM10" i="4"/>
  <c r="I35" i="8"/>
  <c r="AL36" i="4"/>
  <c r="K29" i="8"/>
  <c r="AM30" i="4"/>
  <c r="K54" i="8"/>
  <c r="AM55" i="4"/>
  <c r="K49" i="8"/>
  <c r="AM50" i="4"/>
  <c r="L6" i="4"/>
  <c r="AD6" i="3"/>
  <c r="I38" i="8"/>
  <c r="AL39" i="4"/>
  <c r="I71" i="8"/>
  <c r="AL72" i="4"/>
  <c r="K22" i="8"/>
  <c r="AM23" i="4"/>
  <c r="I45" i="8"/>
  <c r="AL46" i="4"/>
  <c r="I64" i="8"/>
  <c r="AL65" i="4"/>
  <c r="I62" i="8"/>
  <c r="AL63" i="4"/>
  <c r="I46" i="8"/>
  <c r="AL47" i="4"/>
  <c r="K30" i="8"/>
  <c r="AM31" i="4"/>
  <c r="I30" i="8"/>
  <c r="AL31" i="4"/>
  <c r="I63" i="8"/>
  <c r="AL64" i="4"/>
  <c r="K42" i="8"/>
  <c r="AM43" i="4"/>
  <c r="K11" i="8"/>
  <c r="AM12" i="4"/>
  <c r="L7" i="4"/>
  <c r="AD7" i="3"/>
  <c r="I39" i="8"/>
  <c r="AL40" i="4"/>
  <c r="I72" i="8"/>
  <c r="AL73" i="4"/>
  <c r="K18" i="8"/>
  <c r="AM19" i="4"/>
  <c r="K44" i="8"/>
  <c r="AM45" i="4"/>
  <c r="K7" i="8"/>
  <c r="AM8" i="4"/>
  <c r="I40" i="8"/>
  <c r="AL41" i="4"/>
  <c r="K27" i="8"/>
  <c r="AM28" i="4"/>
  <c r="K50" i="8"/>
  <c r="AM51" i="4"/>
  <c r="I9" i="8"/>
  <c r="AL10" i="4"/>
  <c r="K35" i="8"/>
  <c r="AM36" i="4"/>
  <c r="I29" i="8"/>
  <c r="AL30" i="4"/>
  <c r="I54" i="8"/>
  <c r="AL55" i="4"/>
  <c r="K16" i="8"/>
  <c r="AM17" i="4"/>
  <c r="K8" i="8"/>
  <c r="AM9" i="4"/>
  <c r="K14" i="8"/>
  <c r="AM15" i="4"/>
  <c r="K25" i="8"/>
  <c r="AM26" i="4"/>
  <c r="I58" i="8"/>
  <c r="AL59" i="4"/>
  <c r="I34" i="8"/>
  <c r="AL35" i="4"/>
  <c r="I60" i="8"/>
  <c r="AL61" i="4"/>
  <c r="K70" i="8"/>
  <c r="AM71" i="4"/>
  <c r="I67" i="8"/>
  <c r="AL68" i="4"/>
  <c r="K36" i="8"/>
  <c r="AM37" i="4"/>
  <c r="I16" i="8"/>
  <c r="AL17" i="4"/>
  <c r="I48" i="8"/>
  <c r="AL49" i="4"/>
  <c r="I8" i="8"/>
  <c r="AL9" i="4"/>
  <c r="K43" i="8"/>
  <c r="AM44" i="4"/>
  <c r="I69" i="8"/>
  <c r="AL70" i="4"/>
  <c r="I14" i="8"/>
  <c r="AL15" i="4"/>
  <c r="I49" i="8"/>
  <c r="AL50" i="4"/>
  <c r="I25" i="8"/>
  <c r="AL26" i="4"/>
  <c r="K58" i="8"/>
  <c r="AM59" i="4"/>
  <c r="U5" i="8"/>
  <c r="K71" i="8"/>
  <c r="AM72" i="4"/>
  <c r="I36" i="8"/>
  <c r="AL37" i="4"/>
  <c r="K48" i="8"/>
  <c r="AM49" i="4"/>
  <c r="I43" i="8"/>
  <c r="AL44" i="4"/>
  <c r="K67" i="8"/>
  <c r="AM68" i="4"/>
  <c r="K34" i="8"/>
  <c r="AM35" i="4"/>
  <c r="K60" i="8"/>
  <c r="AM61" i="4"/>
  <c r="I70" i="8"/>
  <c r="AL71" i="4"/>
  <c r="K13" i="8"/>
  <c r="AM14" i="4"/>
  <c r="K47" i="8"/>
  <c r="AM48" i="4"/>
  <c r="K15" i="8"/>
  <c r="AM16" i="4"/>
  <c r="K21" i="8"/>
  <c r="AM22" i="4"/>
  <c r="K61" i="8"/>
  <c r="AM62" i="4"/>
  <c r="K23" i="8"/>
  <c r="AM24" i="4"/>
  <c r="K56" i="8"/>
  <c r="AM57" i="4"/>
  <c r="I26" i="8"/>
  <c r="AL27" i="4"/>
  <c r="I68" i="8"/>
  <c r="AL69" i="4"/>
  <c r="K37" i="8"/>
  <c r="AM38" i="4"/>
  <c r="K24" i="8"/>
  <c r="AM25" i="4"/>
  <c r="K57" i="8"/>
  <c r="AM58" i="4"/>
  <c r="K33" i="8"/>
  <c r="AM34" i="4"/>
  <c r="I66" i="8"/>
  <c r="AL67" i="4"/>
  <c r="I59" i="8"/>
  <c r="AL60" i="4"/>
  <c r="I19" i="8"/>
  <c r="AL20" i="4"/>
  <c r="I12" i="8"/>
  <c r="AL13" i="4"/>
  <c r="E39" i="3"/>
  <c r="G54" i="1"/>
  <c r="Y3" i="4"/>
  <c r="O5" i="1"/>
  <c r="N5" i="1"/>
  <c r="L3" i="4" l="1"/>
  <c r="AM75" i="4"/>
  <c r="O36" i="8"/>
  <c r="P36" i="8"/>
  <c r="P49" i="8"/>
  <c r="O49" i="8"/>
  <c r="P8" i="8"/>
  <c r="O8" i="8"/>
  <c r="P67" i="8"/>
  <c r="O67" i="8"/>
  <c r="P58" i="8"/>
  <c r="O58" i="8"/>
  <c r="R16" i="8"/>
  <c r="Q16" i="8"/>
  <c r="O9" i="8"/>
  <c r="P9" i="8"/>
  <c r="Q7" i="8"/>
  <c r="R7" i="8"/>
  <c r="P39" i="8"/>
  <c r="O39" i="8"/>
  <c r="P63" i="8"/>
  <c r="O63" i="8"/>
  <c r="T63" i="8" s="1"/>
  <c r="O62" i="8"/>
  <c r="P62" i="8"/>
  <c r="P71" i="8"/>
  <c r="O71" i="8"/>
  <c r="Q54" i="8"/>
  <c r="R54" i="8"/>
  <c r="P50" i="8"/>
  <c r="O50" i="8"/>
  <c r="T50" i="8" s="1"/>
  <c r="O44" i="8"/>
  <c r="P44" i="8"/>
  <c r="Q6" i="8"/>
  <c r="R6" i="8"/>
  <c r="O41" i="8"/>
  <c r="P41" i="8"/>
  <c r="R51" i="8"/>
  <c r="Q51" i="8"/>
  <c r="U51" i="8" s="1"/>
  <c r="O22" i="8"/>
  <c r="P22" i="8"/>
  <c r="R10" i="8"/>
  <c r="Q10" i="8"/>
  <c r="R53" i="8"/>
  <c r="Q53" i="8"/>
  <c r="Q65" i="8"/>
  <c r="R65" i="8"/>
  <c r="P51" i="8"/>
  <c r="O51" i="8"/>
  <c r="O52" i="8"/>
  <c r="P52" i="8"/>
  <c r="R19" i="8"/>
  <c r="Q19" i="8"/>
  <c r="P57" i="8"/>
  <c r="O57" i="8"/>
  <c r="T57" i="8" s="1"/>
  <c r="R26" i="8"/>
  <c r="Q26" i="8"/>
  <c r="O21" i="8"/>
  <c r="P21" i="8"/>
  <c r="Q33" i="8"/>
  <c r="R33" i="8"/>
  <c r="R61" i="8"/>
  <c r="Q61" i="8"/>
  <c r="U61" i="8" s="1"/>
  <c r="P14" i="8"/>
  <c r="O14" i="8"/>
  <c r="P11" i="8"/>
  <c r="O11" i="8"/>
  <c r="R64" i="8"/>
  <c r="Q64" i="8"/>
  <c r="O24" i="8"/>
  <c r="P24" i="8"/>
  <c r="O56" i="8"/>
  <c r="P56" i="8"/>
  <c r="P15" i="8"/>
  <c r="O15" i="8"/>
  <c r="O68" i="8"/>
  <c r="P68" i="8"/>
  <c r="Q71" i="8"/>
  <c r="R71" i="8"/>
  <c r="Q70" i="8"/>
  <c r="R70" i="8"/>
  <c r="Q25" i="8"/>
  <c r="R25" i="8"/>
  <c r="P54" i="8"/>
  <c r="O54" i="8"/>
  <c r="R50" i="8"/>
  <c r="Q50" i="8"/>
  <c r="U50" i="8" s="1"/>
  <c r="Q44" i="8"/>
  <c r="R44" i="8"/>
  <c r="P30" i="8"/>
  <c r="O30" i="8"/>
  <c r="O38" i="8"/>
  <c r="P38" i="8"/>
  <c r="P18" i="8"/>
  <c r="O18" i="8"/>
  <c r="T18" i="8" s="1"/>
  <c r="P31" i="8"/>
  <c r="O31" i="8"/>
  <c r="O17" i="8"/>
  <c r="P17" i="8"/>
  <c r="R32" i="8"/>
  <c r="Q32" i="8"/>
  <c r="Q59" i="8"/>
  <c r="R59" i="8"/>
  <c r="P19" i="8"/>
  <c r="O19" i="8"/>
  <c r="Q57" i="8"/>
  <c r="R57" i="8"/>
  <c r="P26" i="8"/>
  <c r="O26" i="8"/>
  <c r="R21" i="8"/>
  <c r="Q21" i="8"/>
  <c r="U21" i="8" s="1"/>
  <c r="P43" i="8"/>
  <c r="O43" i="8"/>
  <c r="R58" i="8"/>
  <c r="Q58" i="8"/>
  <c r="P69" i="8"/>
  <c r="O69" i="8"/>
  <c r="P16" i="8"/>
  <c r="O16" i="8"/>
  <c r="T16" i="8" s="1"/>
  <c r="O60" i="8"/>
  <c r="P60" i="8"/>
  <c r="Q14" i="8"/>
  <c r="R14" i="8"/>
  <c r="O29" i="8"/>
  <c r="P29" i="8"/>
  <c r="Q27" i="8"/>
  <c r="R27" i="8"/>
  <c r="R18" i="8"/>
  <c r="Q18" i="8"/>
  <c r="Q11" i="8"/>
  <c r="R11" i="8"/>
  <c r="Q30" i="8"/>
  <c r="R30" i="8"/>
  <c r="P45" i="8"/>
  <c r="O45" i="8"/>
  <c r="T45" i="8" s="1"/>
  <c r="AL6" i="4"/>
  <c r="I5" i="8"/>
  <c r="P35" i="8"/>
  <c r="O35" i="8"/>
  <c r="R40" i="8"/>
  <c r="Q40" i="8"/>
  <c r="R72" i="8"/>
  <c r="Q72" i="8"/>
  <c r="U72" i="8" s="1"/>
  <c r="O42" i="8"/>
  <c r="P42" i="8"/>
  <c r="O32" i="8"/>
  <c r="P32" i="8"/>
  <c r="Q52" i="8"/>
  <c r="R52" i="8"/>
  <c r="Q20" i="8"/>
  <c r="R20" i="8"/>
  <c r="R69" i="8"/>
  <c r="Q69" i="8"/>
  <c r="Q46" i="8"/>
  <c r="R46" i="8"/>
  <c r="Q62" i="8"/>
  <c r="R62" i="8"/>
  <c r="Q31" i="8"/>
  <c r="R31" i="8"/>
  <c r="Q55" i="8"/>
  <c r="R55" i="8"/>
  <c r="R66" i="8"/>
  <c r="Q66" i="8"/>
  <c r="P37" i="8"/>
  <c r="O37" i="8"/>
  <c r="P23" i="8"/>
  <c r="O23" i="8"/>
  <c r="P47" i="8"/>
  <c r="O47" i="8"/>
  <c r="P66" i="8"/>
  <c r="O66" i="8"/>
  <c r="R37" i="8"/>
  <c r="Q37" i="8"/>
  <c r="Q23" i="8"/>
  <c r="R23" i="8"/>
  <c r="R47" i="8"/>
  <c r="Q47" i="8"/>
  <c r="R34" i="8"/>
  <c r="Q34" i="8"/>
  <c r="O12" i="8"/>
  <c r="P12" i="8"/>
  <c r="R13" i="8"/>
  <c r="Q13" i="8"/>
  <c r="U13" i="8" s="1"/>
  <c r="R67" i="8"/>
  <c r="Q67" i="8"/>
  <c r="O48" i="8"/>
  <c r="P48" i="8"/>
  <c r="I6" i="8"/>
  <c r="AL7" i="4"/>
  <c r="O64" i="8"/>
  <c r="P64" i="8"/>
  <c r="R29" i="8"/>
  <c r="Q29" i="8"/>
  <c r="P27" i="8"/>
  <c r="O27" i="8"/>
  <c r="O65" i="8"/>
  <c r="P65" i="8"/>
  <c r="Q38" i="8"/>
  <c r="R38" i="8"/>
  <c r="O10" i="8"/>
  <c r="P10" i="8"/>
  <c r="Q17" i="8"/>
  <c r="R17" i="8"/>
  <c r="O70" i="8"/>
  <c r="P70" i="8"/>
  <c r="P59" i="8"/>
  <c r="O59" i="8"/>
  <c r="T59" i="8" s="1"/>
  <c r="R24" i="8"/>
  <c r="Q24" i="8"/>
  <c r="R56" i="8"/>
  <c r="Q56" i="8"/>
  <c r="R15" i="8"/>
  <c r="Q15" i="8"/>
  <c r="R48" i="8"/>
  <c r="Q48" i="8"/>
  <c r="U48" i="8" s="1"/>
  <c r="Q60" i="8"/>
  <c r="R60" i="8"/>
  <c r="O25" i="8"/>
  <c r="P25" i="8"/>
  <c r="Q43" i="8"/>
  <c r="R43" i="8"/>
  <c r="Q36" i="8"/>
  <c r="R36" i="8"/>
  <c r="P34" i="8"/>
  <c r="O34" i="8"/>
  <c r="R8" i="8"/>
  <c r="Q8" i="8"/>
  <c r="R35" i="8"/>
  <c r="Q35" i="8"/>
  <c r="O40" i="8"/>
  <c r="P40" i="8"/>
  <c r="T40" i="8" s="1"/>
  <c r="O72" i="8"/>
  <c r="P72" i="8"/>
  <c r="R42" i="8"/>
  <c r="Q42" i="8"/>
  <c r="P46" i="8"/>
  <c r="O46" i="8"/>
  <c r="T46" i="8" s="1"/>
  <c r="Q22" i="8"/>
  <c r="R22" i="8"/>
  <c r="Q49" i="8"/>
  <c r="R49" i="8"/>
  <c r="Q9" i="8"/>
  <c r="R9" i="8"/>
  <c r="I7" i="8"/>
  <c r="AL8" i="4"/>
  <c r="Q39" i="8"/>
  <c r="R39" i="8"/>
  <c r="Q63" i="8"/>
  <c r="R63" i="8"/>
  <c r="Q28" i="8"/>
  <c r="R28" i="8"/>
  <c r="P55" i="8"/>
  <c r="O55" i="8"/>
  <c r="T55" i="8" s="1"/>
  <c r="P53" i="8"/>
  <c r="O53" i="8"/>
  <c r="T53" i="8" s="1"/>
  <c r="O20" i="8"/>
  <c r="P20" i="8"/>
  <c r="Q41" i="8"/>
  <c r="R41" i="8"/>
  <c r="P28" i="8"/>
  <c r="O28" i="8"/>
  <c r="T28" i="8" s="1"/>
  <c r="R45" i="8"/>
  <c r="Q45" i="8"/>
  <c r="Q12" i="8"/>
  <c r="R12" i="8"/>
  <c r="O33" i="8"/>
  <c r="P33" i="8"/>
  <c r="Q68" i="8"/>
  <c r="R68" i="8"/>
  <c r="P61" i="8"/>
  <c r="O61" i="8"/>
  <c r="T61" i="8" s="1"/>
  <c r="O13" i="8"/>
  <c r="P13" i="8"/>
  <c r="Y4" i="1"/>
  <c r="Z4" i="1" s="1"/>
  <c r="E47" i="3" s="1"/>
  <c r="Y12" i="1"/>
  <c r="Z12" i="1" s="1"/>
  <c r="E54" i="3" s="1"/>
  <c r="Y20" i="1"/>
  <c r="Z20" i="1" s="1"/>
  <c r="E61" i="3" s="1"/>
  <c r="Y28" i="1"/>
  <c r="Z28" i="1" s="1"/>
  <c r="E68" i="3" s="1"/>
  <c r="Y36" i="1"/>
  <c r="Z36" i="1" s="1"/>
  <c r="E78" i="3" s="1"/>
  <c r="Y44" i="1"/>
  <c r="Z44" i="1" s="1"/>
  <c r="E86" i="3" s="1"/>
  <c r="Y5" i="1"/>
  <c r="Z5" i="1" s="1"/>
  <c r="E45" i="3" s="1"/>
  <c r="Y13" i="1"/>
  <c r="Z13" i="1" s="1"/>
  <c r="E56" i="3" s="1"/>
  <c r="Y21" i="1"/>
  <c r="Z21" i="1" s="1"/>
  <c r="E62" i="3" s="1"/>
  <c r="Y29" i="1"/>
  <c r="Z29" i="1" s="1"/>
  <c r="E74" i="3" s="1"/>
  <c r="Y37" i="1"/>
  <c r="Z37" i="1" s="1"/>
  <c r="E80" i="3" s="1"/>
  <c r="Y45" i="1"/>
  <c r="Z45" i="1" s="1"/>
  <c r="E87" i="3" s="1"/>
  <c r="Y22" i="1"/>
  <c r="Z22" i="1" s="1"/>
  <c r="E63" i="3" s="1"/>
  <c r="Y30" i="1"/>
  <c r="Z30" i="1" s="1"/>
  <c r="E72" i="3" s="1"/>
  <c r="Y46" i="1"/>
  <c r="Z46" i="1" s="1"/>
  <c r="E88" i="3" s="1"/>
  <c r="Y23" i="1"/>
  <c r="Z23" i="1" s="1"/>
  <c r="E65" i="3" s="1"/>
  <c r="Y18" i="1"/>
  <c r="Z18" i="1" s="1"/>
  <c r="E57" i="3" s="1"/>
  <c r="Y34" i="1"/>
  <c r="Z34" i="1" s="1"/>
  <c r="E76" i="3" s="1"/>
  <c r="Y19" i="1"/>
  <c r="Z19" i="1" s="1"/>
  <c r="E64" i="3" s="1"/>
  <c r="Y35" i="1"/>
  <c r="Z35" i="1" s="1"/>
  <c r="E75" i="3" s="1"/>
  <c r="Y2" i="1"/>
  <c r="Y6" i="1"/>
  <c r="Z6" i="1" s="1"/>
  <c r="E50" i="3" s="1"/>
  <c r="Y14" i="1"/>
  <c r="Z14" i="1" s="1"/>
  <c r="E52" i="3" s="1"/>
  <c r="Y38" i="1"/>
  <c r="Z38" i="1" s="1"/>
  <c r="E82" i="3" s="1"/>
  <c r="Y7" i="1"/>
  <c r="Z7" i="1" s="1"/>
  <c r="E51" i="3" s="1"/>
  <c r="Y31" i="1"/>
  <c r="Z31" i="1" s="1"/>
  <c r="E71" i="3" s="1"/>
  <c r="Y39" i="1"/>
  <c r="Z39" i="1" s="1"/>
  <c r="E81" i="3" s="1"/>
  <c r="Y24" i="1"/>
  <c r="Z24" i="1" s="1"/>
  <c r="E67" i="3" s="1"/>
  <c r="Y40" i="1"/>
  <c r="Z40" i="1" s="1"/>
  <c r="E79" i="3" s="1"/>
  <c r="Y9" i="1"/>
  <c r="Z9" i="1" s="1"/>
  <c r="E49" i="3" s="1"/>
  <c r="Y25" i="1"/>
  <c r="Z25" i="1" s="1"/>
  <c r="E69" i="3" s="1"/>
  <c r="Y33" i="1"/>
  <c r="Z33" i="1" s="1"/>
  <c r="E77" i="3" s="1"/>
  <c r="Y10" i="1"/>
  <c r="Z10" i="1" s="1"/>
  <c r="E53" i="3" s="1"/>
  <c r="Y42" i="1"/>
  <c r="Z42" i="1" s="1"/>
  <c r="E84" i="3" s="1"/>
  <c r="Y3" i="1"/>
  <c r="Z3" i="1" s="1"/>
  <c r="E46" i="3" s="1"/>
  <c r="Y27" i="1"/>
  <c r="Z27" i="1" s="1"/>
  <c r="E70" i="3" s="1"/>
  <c r="Y15" i="1"/>
  <c r="Z15" i="1" s="1"/>
  <c r="E58" i="3" s="1"/>
  <c r="Y8" i="1"/>
  <c r="Z8" i="1" s="1"/>
  <c r="E48" i="3" s="1"/>
  <c r="Y16" i="1"/>
  <c r="Z16" i="1" s="1"/>
  <c r="E60" i="3" s="1"/>
  <c r="Y32" i="1"/>
  <c r="Z32" i="1" s="1"/>
  <c r="E73" i="3" s="1"/>
  <c r="Y17" i="1"/>
  <c r="Z17" i="1" s="1"/>
  <c r="E59" i="3" s="1"/>
  <c r="Y41" i="1"/>
  <c r="Z41" i="1" s="1"/>
  <c r="E83" i="3" s="1"/>
  <c r="Y26" i="1"/>
  <c r="Z26" i="1" s="1"/>
  <c r="E66" i="3" s="1"/>
  <c r="Y11" i="1"/>
  <c r="Z11" i="1" s="1"/>
  <c r="E55" i="3" s="1"/>
  <c r="Y43" i="1"/>
  <c r="Z43" i="1" s="1"/>
  <c r="E85" i="3" s="1"/>
  <c r="AJ12" i="1"/>
  <c r="AK12" i="1" s="1"/>
  <c r="E97" i="3" s="1"/>
  <c r="AJ20" i="1"/>
  <c r="AK20" i="1" s="1"/>
  <c r="E105" i="3" s="1"/>
  <c r="AJ28" i="1"/>
  <c r="AK28" i="1" s="1"/>
  <c r="E113" i="3" s="1"/>
  <c r="AJ36" i="1"/>
  <c r="AK36" i="1" s="1"/>
  <c r="E121" i="3" s="1"/>
  <c r="AJ44" i="1"/>
  <c r="AK44" i="1" s="1"/>
  <c r="AJ4" i="1"/>
  <c r="AJ34" i="1"/>
  <c r="AK34" i="1" s="1"/>
  <c r="E119" i="3" s="1"/>
  <c r="AJ27" i="1"/>
  <c r="AK27" i="1" s="1"/>
  <c r="E112" i="3" s="1"/>
  <c r="AJ5" i="1"/>
  <c r="AK5" i="1" s="1"/>
  <c r="E90" i="3" s="1"/>
  <c r="AJ13" i="1"/>
  <c r="AK13" i="1" s="1"/>
  <c r="E98" i="3" s="1"/>
  <c r="AJ21" i="1"/>
  <c r="AK21" i="1" s="1"/>
  <c r="E106" i="3" s="1"/>
  <c r="AJ29" i="1"/>
  <c r="AK29" i="1" s="1"/>
  <c r="E114" i="3" s="1"/>
  <c r="AJ37" i="1"/>
  <c r="AK37" i="1" s="1"/>
  <c r="E122" i="3" s="1"/>
  <c r="AJ45" i="1"/>
  <c r="AK45" i="1" s="1"/>
  <c r="AJ6" i="1"/>
  <c r="AK6" i="1" s="1"/>
  <c r="E91" i="3" s="1"/>
  <c r="AJ14" i="1"/>
  <c r="AK14" i="1" s="1"/>
  <c r="E99" i="3" s="1"/>
  <c r="AJ22" i="1"/>
  <c r="AK22" i="1" s="1"/>
  <c r="E107" i="3" s="1"/>
  <c r="AJ30" i="1"/>
  <c r="AK30" i="1" s="1"/>
  <c r="E115" i="3" s="1"/>
  <c r="AJ38" i="1"/>
  <c r="AK38" i="1" s="1"/>
  <c r="E123" i="3" s="1"/>
  <c r="AJ46" i="1"/>
  <c r="AK46" i="1" s="1"/>
  <c r="AJ10" i="1"/>
  <c r="AK10" i="1" s="1"/>
  <c r="E95" i="3" s="1"/>
  <c r="AJ42" i="1"/>
  <c r="AK42" i="1" s="1"/>
  <c r="E127" i="3" s="1"/>
  <c r="AJ19" i="1"/>
  <c r="AK19" i="1" s="1"/>
  <c r="E104" i="3" s="1"/>
  <c r="AJ43" i="1"/>
  <c r="AK43" i="1" s="1"/>
  <c r="AJ7" i="1"/>
  <c r="AK7" i="1" s="1"/>
  <c r="E92" i="3" s="1"/>
  <c r="AJ15" i="1"/>
  <c r="AK15" i="1" s="1"/>
  <c r="E100" i="3" s="1"/>
  <c r="AJ23" i="1"/>
  <c r="AK23" i="1" s="1"/>
  <c r="E108" i="3" s="1"/>
  <c r="AJ31" i="1"/>
  <c r="AK31" i="1" s="1"/>
  <c r="E116" i="3" s="1"/>
  <c r="AJ39" i="1"/>
  <c r="AK39" i="1" s="1"/>
  <c r="E124" i="3" s="1"/>
  <c r="AJ47" i="1"/>
  <c r="AK47" i="1" s="1"/>
  <c r="AJ26" i="1"/>
  <c r="AK26" i="1" s="1"/>
  <c r="E111" i="3" s="1"/>
  <c r="AJ51" i="1"/>
  <c r="AK51" i="1" s="1"/>
  <c r="AJ8" i="1"/>
  <c r="AK8" i="1" s="1"/>
  <c r="E93" i="3" s="1"/>
  <c r="AJ16" i="1"/>
  <c r="AK16" i="1" s="1"/>
  <c r="E101" i="3" s="1"/>
  <c r="AJ24" i="1"/>
  <c r="AK24" i="1" s="1"/>
  <c r="E109" i="3" s="1"/>
  <c r="AJ32" i="1"/>
  <c r="AK32" i="1" s="1"/>
  <c r="E117" i="3" s="1"/>
  <c r="AJ40" i="1"/>
  <c r="AK40" i="1" s="1"/>
  <c r="E125" i="3" s="1"/>
  <c r="AJ48" i="1"/>
  <c r="AK48" i="1" s="1"/>
  <c r="AJ18" i="1"/>
  <c r="AK18" i="1" s="1"/>
  <c r="E103" i="3" s="1"/>
  <c r="AJ50" i="1"/>
  <c r="AK50" i="1" s="1"/>
  <c r="AJ11" i="1"/>
  <c r="AK11" i="1" s="1"/>
  <c r="E96" i="3" s="1"/>
  <c r="AJ35" i="1"/>
  <c r="AK35" i="1" s="1"/>
  <c r="E120" i="3" s="1"/>
  <c r="AJ9" i="1"/>
  <c r="AK9" i="1" s="1"/>
  <c r="E94" i="3" s="1"/>
  <c r="AJ17" i="1"/>
  <c r="AK17" i="1" s="1"/>
  <c r="E102" i="3" s="1"/>
  <c r="AJ25" i="1"/>
  <c r="AK25" i="1" s="1"/>
  <c r="E110" i="3" s="1"/>
  <c r="AJ33" i="1"/>
  <c r="AK33" i="1" s="1"/>
  <c r="E118" i="3" s="1"/>
  <c r="AJ41" i="1"/>
  <c r="AK41" i="1" s="1"/>
  <c r="E126" i="3" s="1"/>
  <c r="AJ49" i="1"/>
  <c r="AK49" i="1" s="1"/>
  <c r="T23" i="8" l="1"/>
  <c r="U45" i="8"/>
  <c r="AL75" i="4"/>
  <c r="U16" i="8"/>
  <c r="T49" i="8"/>
  <c r="U41" i="8"/>
  <c r="U9" i="8"/>
  <c r="U17" i="8"/>
  <c r="T48" i="8"/>
  <c r="U46" i="8"/>
  <c r="U11" i="8"/>
  <c r="U14" i="8"/>
  <c r="U57" i="8"/>
  <c r="T17" i="8"/>
  <c r="U25" i="8"/>
  <c r="T21" i="8"/>
  <c r="T52" i="8"/>
  <c r="U6" i="8"/>
  <c r="U7" i="8"/>
  <c r="T33" i="8"/>
  <c r="U28" i="8"/>
  <c r="T25" i="8"/>
  <c r="T34" i="8"/>
  <c r="U24" i="8"/>
  <c r="U29" i="8"/>
  <c r="U67" i="8"/>
  <c r="U47" i="8"/>
  <c r="U18" i="8"/>
  <c r="T43" i="8"/>
  <c r="U35" i="8"/>
  <c r="U15" i="8"/>
  <c r="U37" i="8"/>
  <c r="T37" i="8"/>
  <c r="U40" i="8"/>
  <c r="T69" i="8"/>
  <c r="T26" i="8"/>
  <c r="U32" i="8"/>
  <c r="T54" i="8"/>
  <c r="U64" i="8"/>
  <c r="U19" i="8"/>
  <c r="U53" i="8"/>
  <c r="T9" i="8"/>
  <c r="T22" i="8"/>
  <c r="U55" i="8"/>
  <c r="T31" i="8"/>
  <c r="U44" i="8"/>
  <c r="U70" i="8"/>
  <c r="T56" i="8"/>
  <c r="T62" i="8"/>
  <c r="T58" i="8"/>
  <c r="T42" i="8"/>
  <c r="T44" i="8"/>
  <c r="T15" i="8"/>
  <c r="T11" i="8"/>
  <c r="U10" i="8"/>
  <c r="T71" i="8"/>
  <c r="T67" i="8"/>
  <c r="U69" i="8"/>
  <c r="O5" i="8"/>
  <c r="P5" i="8"/>
  <c r="T19" i="8"/>
  <c r="T13" i="8"/>
  <c r="U12" i="8"/>
  <c r="T20" i="8"/>
  <c r="U63" i="8"/>
  <c r="U49" i="8"/>
  <c r="T72" i="8"/>
  <c r="U60" i="8"/>
  <c r="T10" i="8"/>
  <c r="T47" i="8"/>
  <c r="T60" i="8"/>
  <c r="T14" i="8"/>
  <c r="U26" i="8"/>
  <c r="T51" i="8"/>
  <c r="T8" i="8"/>
  <c r="U39" i="8"/>
  <c r="U36" i="8"/>
  <c r="T64" i="8"/>
  <c r="U23" i="8"/>
  <c r="U31" i="8"/>
  <c r="U71" i="8"/>
  <c r="T24" i="8"/>
  <c r="U65" i="8"/>
  <c r="U68" i="8"/>
  <c r="P7" i="8"/>
  <c r="O7" i="8"/>
  <c r="U43" i="8"/>
  <c r="T70" i="8"/>
  <c r="T65" i="8"/>
  <c r="O6" i="8"/>
  <c r="P6" i="8"/>
  <c r="T12" i="8"/>
  <c r="U62" i="8"/>
  <c r="U52" i="8"/>
  <c r="U30" i="8"/>
  <c r="T29" i="8"/>
  <c r="T38" i="8"/>
  <c r="U22" i="8"/>
  <c r="U38" i="8"/>
  <c r="U20" i="8"/>
  <c r="U27" i="8"/>
  <c r="U59" i="8"/>
  <c r="U42" i="8"/>
  <c r="U8" i="8"/>
  <c r="U56" i="8"/>
  <c r="T27" i="8"/>
  <c r="U34" i="8"/>
  <c r="T66" i="8"/>
  <c r="U66" i="8"/>
  <c r="T32" i="8"/>
  <c r="T35" i="8"/>
  <c r="U58" i="8"/>
  <c r="T30" i="8"/>
  <c r="T68" i="8"/>
  <c r="U33" i="8"/>
  <c r="T41" i="8"/>
  <c r="U54" i="8"/>
  <c r="T39" i="8"/>
  <c r="T36" i="8"/>
  <c r="Z2" i="1"/>
  <c r="Y54" i="1"/>
  <c r="AK4" i="1"/>
  <c r="AJ54" i="1"/>
  <c r="F7" i="1"/>
  <c r="D44" i="8" s="1"/>
  <c r="C44" i="8"/>
  <c r="T7" i="8" l="1"/>
  <c r="T6" i="8"/>
  <c r="T5" i="8"/>
  <c r="T2" i="8" s="1"/>
  <c r="U2" i="8"/>
  <c r="AK54" i="1"/>
  <c r="E89" i="3"/>
  <c r="E44" i="3"/>
  <c r="Z54" i="1"/>
</calcChain>
</file>

<file path=xl/sharedStrings.xml><?xml version="1.0" encoding="utf-8"?>
<sst xmlns="http://schemas.openxmlformats.org/spreadsheetml/2006/main" count="3534" uniqueCount="403">
  <si>
    <t>*CO2</t>
  </si>
  <si>
    <t>Ottene</t>
  </si>
  <si>
    <t>Toluene</t>
  </si>
  <si>
    <t>Nonene</t>
  </si>
  <si>
    <t>p-Xilene</t>
  </si>
  <si>
    <t>m-Xilene</t>
  </si>
  <si>
    <t>Etilbenzene</t>
  </si>
  <si>
    <t>o-Xilene</t>
  </si>
  <si>
    <t>Trimetilbenzene</t>
  </si>
  <si>
    <t>Decene</t>
  </si>
  <si>
    <t>Decano</t>
  </si>
  <si>
    <t>*CH4</t>
  </si>
  <si>
    <t>*Etilene</t>
  </si>
  <si>
    <t>*Acetilene</t>
  </si>
  <si>
    <t>*Etano</t>
  </si>
  <si>
    <t>*Propilene</t>
  </si>
  <si>
    <t>*Propano</t>
  </si>
  <si>
    <t>*DME</t>
  </si>
  <si>
    <t>Metanolo</t>
  </si>
  <si>
    <t>2-Metilpropene</t>
  </si>
  <si>
    <t>*1-Butene</t>
  </si>
  <si>
    <t>*N-Butano</t>
  </si>
  <si>
    <t>2-Butene</t>
  </si>
  <si>
    <t>3-Metilbut-1-ene</t>
  </si>
  <si>
    <t>2-Metilbutano</t>
  </si>
  <si>
    <t>2-Metilbut-1-ene</t>
  </si>
  <si>
    <t>*1-Pentene</t>
  </si>
  <si>
    <t>2-Pentene</t>
  </si>
  <si>
    <t>*Pentano</t>
  </si>
  <si>
    <t>2-Metilbut-2-ene</t>
  </si>
  <si>
    <t>2,2-Dimetilbutano</t>
  </si>
  <si>
    <t>3-Metilpent-1-ene</t>
  </si>
  <si>
    <t>4-Metilpent-2-ene</t>
  </si>
  <si>
    <t>1-Esene</t>
  </si>
  <si>
    <t>Esano</t>
  </si>
  <si>
    <t>2,3-Dimetilbut-2-ene</t>
  </si>
  <si>
    <t>2,2-Dimetilpentano</t>
  </si>
  <si>
    <t>2-Metiles-1-ene</t>
  </si>
  <si>
    <t>1-eptene</t>
  </si>
  <si>
    <t>Eptano</t>
  </si>
  <si>
    <t>2-Eptene</t>
  </si>
  <si>
    <t>CO</t>
  </si>
  <si>
    <t>H2</t>
  </si>
  <si>
    <t>IN</t>
  </si>
  <si>
    <t>OUT</t>
  </si>
  <si>
    <t>Conversion</t>
  </si>
  <si>
    <t>mmolC</t>
  </si>
  <si>
    <t>mmol C</t>
  </si>
  <si>
    <t>TOT</t>
  </si>
  <si>
    <t>Carbon in Oil</t>
  </si>
  <si>
    <t>Oil light</t>
  </si>
  <si>
    <t>Oil heavy</t>
  </si>
  <si>
    <t>ml</t>
  </si>
  <si>
    <t>%</t>
  </si>
  <si>
    <t>mmcolC</t>
  </si>
  <si>
    <t>mmol</t>
  </si>
  <si>
    <t>3-Methylpentane</t>
  </si>
  <si>
    <t>iso-paraffin</t>
  </si>
  <si>
    <t>3-Ethylpentane</t>
  </si>
  <si>
    <t>Octene-1</t>
  </si>
  <si>
    <t>Olefin</t>
  </si>
  <si>
    <t>1,4-Pentadiene</t>
  </si>
  <si>
    <t>I8 (C9)</t>
  </si>
  <si>
    <t>Decene-1</t>
  </si>
  <si>
    <t>Butene-1</t>
  </si>
  <si>
    <t>Undecene-1</t>
  </si>
  <si>
    <t>Ethylbenzene</t>
  </si>
  <si>
    <t>Aromatic</t>
  </si>
  <si>
    <t>2-Methyl-3-ethylpentane</t>
  </si>
  <si>
    <t>1t,4-Hexadiene</t>
  </si>
  <si>
    <t>2,4-Dimethylpentene-1</t>
  </si>
  <si>
    <t>I47 (C12)</t>
  </si>
  <si>
    <t>Cyclohexane</t>
  </si>
  <si>
    <t>Naphthene</t>
  </si>
  <si>
    <t>3,5,5-Trimethylhexene-1</t>
  </si>
  <si>
    <t>n-Pentane</t>
  </si>
  <si>
    <t>paraffin</t>
  </si>
  <si>
    <t>1,3-Methylethylbenzene</t>
  </si>
  <si>
    <t>n-Nonane</t>
  </si>
  <si>
    <t>Propane</t>
  </si>
  <si>
    <t>1c,2t,3-Trimethylcyclopentane</t>
  </si>
  <si>
    <t>(C5-IsoParaffin)</t>
  </si>
  <si>
    <t>I26 (C11)</t>
  </si>
  <si>
    <t>1c,3-Dimethylcyclopentane</t>
  </si>
  <si>
    <t>I15 (C10)</t>
  </si>
  <si>
    <t>1,2-Methyl-n-propylbenzene</t>
  </si>
  <si>
    <t>1,1,3-Trimethylcyclohexane</t>
  </si>
  <si>
    <t>n-Butane</t>
  </si>
  <si>
    <t>Sec-butylcyclohexane</t>
  </si>
  <si>
    <t>1,2-Ethyl-i-propylbenzene</t>
  </si>
  <si>
    <t>Cyclopentane</t>
  </si>
  <si>
    <t>i-Butane</t>
  </si>
  <si>
    <t>Dodecene-1</t>
  </si>
  <si>
    <t>1t-M-2-(4-MP)cyclopentane</t>
  </si>
  <si>
    <t>1,3-Di-i-propylbenzene</t>
  </si>
  <si>
    <t>(C13-IsoParaffin)</t>
  </si>
  <si>
    <t>n-Hexane</t>
  </si>
  <si>
    <t>n-Undecane</t>
  </si>
  <si>
    <t>Benzene</t>
  </si>
  <si>
    <t>(C15-IsoParaffin)</t>
  </si>
  <si>
    <t>Tridecene-1</t>
  </si>
  <si>
    <t>(C16-IsoParaffin)</t>
  </si>
  <si>
    <t>(C17-IsoParaffin)</t>
  </si>
  <si>
    <t>(C14-IsoParaffin)</t>
  </si>
  <si>
    <t>n-Octane</t>
  </si>
  <si>
    <t>Component name</t>
  </si>
  <si>
    <t>Vol %</t>
  </si>
  <si>
    <t>Carbon number</t>
  </si>
  <si>
    <t>Class</t>
  </si>
  <si>
    <t>vol.% * nC</t>
  </si>
  <si>
    <t>Sel (C base)</t>
  </si>
  <si>
    <t>mol</t>
  </si>
  <si>
    <t>mss %</t>
  </si>
  <si>
    <t>METHANE</t>
  </si>
  <si>
    <t>CH4</t>
  </si>
  <si>
    <t>METHANOL</t>
  </si>
  <si>
    <t>CH4O</t>
  </si>
  <si>
    <t>MEOH</t>
  </si>
  <si>
    <t>ETHANE</t>
  </si>
  <si>
    <t>C2H6</t>
  </si>
  <si>
    <t>C2</t>
  </si>
  <si>
    <t>ETHYLENE</t>
  </si>
  <si>
    <t>C2H4</t>
  </si>
  <si>
    <t>C2-O</t>
  </si>
  <si>
    <t>PROPANE</t>
  </si>
  <si>
    <t>C3H8</t>
  </si>
  <si>
    <t>C3</t>
  </si>
  <si>
    <t>PROPYLENE</t>
  </si>
  <si>
    <t>C3H6-2</t>
  </si>
  <si>
    <t>C3-O</t>
  </si>
  <si>
    <t>N-BUTANE</t>
  </si>
  <si>
    <t>C4H10-1</t>
  </si>
  <si>
    <t>C4</t>
  </si>
  <si>
    <t>ISOBUTANE</t>
  </si>
  <si>
    <t>C4H10-2</t>
  </si>
  <si>
    <t>C4-IP</t>
  </si>
  <si>
    <t>1-BUTENE</t>
  </si>
  <si>
    <t>C4H8-1</t>
  </si>
  <si>
    <t>C4-O</t>
  </si>
  <si>
    <t>N-PENTANE</t>
  </si>
  <si>
    <t>C5H12-1</t>
  </si>
  <si>
    <t>C5</t>
  </si>
  <si>
    <t>C5-IP</t>
  </si>
  <si>
    <t>1-PENTENE</t>
  </si>
  <si>
    <t>C5H10-2</t>
  </si>
  <si>
    <t>C5-O</t>
  </si>
  <si>
    <t>2,2-DIMETHYL-BUTANE</t>
  </si>
  <si>
    <t>C6H14-4</t>
  </si>
  <si>
    <t>C6-IP</t>
  </si>
  <si>
    <t>N-HEXANE</t>
  </si>
  <si>
    <t>C6H14-1</t>
  </si>
  <si>
    <t>C6</t>
  </si>
  <si>
    <t>2-METHYL-1-PENTENE</t>
  </si>
  <si>
    <t>C6H12-D2</t>
  </si>
  <si>
    <t>C6-O</t>
  </si>
  <si>
    <t>N-HEPTANE</t>
  </si>
  <si>
    <t>C7H16-1</t>
  </si>
  <si>
    <t>C7</t>
  </si>
  <si>
    <t>2-METHYLHEXANE</t>
  </si>
  <si>
    <t>C7H16-2</t>
  </si>
  <si>
    <t>C7-IP</t>
  </si>
  <si>
    <t>1-HEPTENE</t>
  </si>
  <si>
    <t>C7H14-7</t>
  </si>
  <si>
    <t>C7-O</t>
  </si>
  <si>
    <t>TOLUENE</t>
  </si>
  <si>
    <t>C7H8</t>
  </si>
  <si>
    <t>C7-A</t>
  </si>
  <si>
    <t>N-OCTANE</t>
  </si>
  <si>
    <t>C8H18-1</t>
  </si>
  <si>
    <t>C8</t>
  </si>
  <si>
    <t>2,2,4-TRIMETHYLPENTANE</t>
  </si>
  <si>
    <t>C8H18-13</t>
  </si>
  <si>
    <t>C8-IP</t>
  </si>
  <si>
    <t>1-OCTENE</t>
  </si>
  <si>
    <t>C8H16-16</t>
  </si>
  <si>
    <t>C8-O</t>
  </si>
  <si>
    <t>1-METHYL-1-ETHYLCYCLOPENTANE</t>
  </si>
  <si>
    <t>C8H16-13</t>
  </si>
  <si>
    <t>C8-N</t>
  </si>
  <si>
    <t>M-XYLENE</t>
  </si>
  <si>
    <t>C8H10-2</t>
  </si>
  <si>
    <t>C8-A</t>
  </si>
  <si>
    <t>N-NONANE</t>
  </si>
  <si>
    <t>C9H20-1</t>
  </si>
  <si>
    <t>C9</t>
  </si>
  <si>
    <t>3-METHYLOCTANE</t>
  </si>
  <si>
    <t>C9H20-D2</t>
  </si>
  <si>
    <t>C9-IP</t>
  </si>
  <si>
    <t>1-NONENE</t>
  </si>
  <si>
    <t>C9H18-3</t>
  </si>
  <si>
    <t>C9-O</t>
  </si>
  <si>
    <t>ISOPROPYLCYCLOHEXANE</t>
  </si>
  <si>
    <t>C9H18-2</t>
  </si>
  <si>
    <t>C9-N</t>
  </si>
  <si>
    <t>INDANE</t>
  </si>
  <si>
    <t>C9H10-E1</t>
  </si>
  <si>
    <t>C9-A</t>
  </si>
  <si>
    <t>N-DECANE</t>
  </si>
  <si>
    <t>C10H22-1</t>
  </si>
  <si>
    <t>C10</t>
  </si>
  <si>
    <t>2-METHYLNONANE</t>
  </si>
  <si>
    <t>C10H22-E2</t>
  </si>
  <si>
    <t>C10-IP</t>
  </si>
  <si>
    <t>1-DECENE</t>
  </si>
  <si>
    <t>C10H20-5</t>
  </si>
  <si>
    <t>C10-O</t>
  </si>
  <si>
    <t>1-PROPYL-1-METHYLCYCLOHEXANE</t>
  </si>
  <si>
    <t>C10H20-N24</t>
  </si>
  <si>
    <t>C10-N</t>
  </si>
  <si>
    <t>1,2-DIMETHYL-3-ETHYLBENZENE</t>
  </si>
  <si>
    <t>C10H14-D3</t>
  </si>
  <si>
    <t>C10-A</t>
  </si>
  <si>
    <t>N-UNDECANE</t>
  </si>
  <si>
    <t>C11H24</t>
  </si>
  <si>
    <t>C11</t>
  </si>
  <si>
    <t>3-ETHYLNONANE</t>
  </si>
  <si>
    <t>C11H24-N8</t>
  </si>
  <si>
    <t>C11-IP</t>
  </si>
  <si>
    <t>C11H22</t>
  </si>
  <si>
    <t>1-ETHYL-2-ISOPROPYLBENZENE</t>
  </si>
  <si>
    <t>C11H16-D1</t>
  </si>
  <si>
    <t>C11-A</t>
  </si>
  <si>
    <t>2-METHYLUNDECANE</t>
  </si>
  <si>
    <t>C12H26-N9</t>
  </si>
  <si>
    <t>C12-IP</t>
  </si>
  <si>
    <t>N-DODECANE</t>
  </si>
  <si>
    <t>C12H26</t>
  </si>
  <si>
    <t>C12</t>
  </si>
  <si>
    <t>1-DODECENE</t>
  </si>
  <si>
    <t>C12H24-2</t>
  </si>
  <si>
    <t>C12-O</t>
  </si>
  <si>
    <t>1,2,4-TRIETHYLBENZENE</t>
  </si>
  <si>
    <t>C12H18-D6</t>
  </si>
  <si>
    <t>C12-A</t>
  </si>
  <si>
    <t>2-METHYLDODECANE</t>
  </si>
  <si>
    <t>C13H28-N1</t>
  </si>
  <si>
    <t>C13-IP</t>
  </si>
  <si>
    <t>1-TRIDECENE</t>
  </si>
  <si>
    <t>C13H26-2</t>
  </si>
  <si>
    <t>C13-O</t>
  </si>
  <si>
    <t>N-TRIDECANE</t>
  </si>
  <si>
    <t>C13H28</t>
  </si>
  <si>
    <t>C13</t>
  </si>
  <si>
    <t>2-METHYLTRIDECANE</t>
  </si>
  <si>
    <t>C14H30-N1</t>
  </si>
  <si>
    <t>C14-IP</t>
  </si>
  <si>
    <t>N-TETRADECANE</t>
  </si>
  <si>
    <t>C14H30</t>
  </si>
  <si>
    <t xml:space="preserve"> C14 </t>
  </si>
  <si>
    <t>2-METHYLTETRADECANE</t>
  </si>
  <si>
    <t>C15H32-N1</t>
  </si>
  <si>
    <t xml:space="preserve">C15-IP </t>
  </si>
  <si>
    <t>N-PENTADECANE</t>
  </si>
  <si>
    <t>C15H32</t>
  </si>
  <si>
    <t>C15</t>
  </si>
  <si>
    <t>2-METHYLPENTADECANE</t>
  </si>
  <si>
    <t>C16H34-N1</t>
  </si>
  <si>
    <t>C16-IP</t>
  </si>
  <si>
    <t>N-HEXADECANE</t>
  </si>
  <si>
    <t>C16H34</t>
  </si>
  <si>
    <t>C16</t>
  </si>
  <si>
    <t>14-METHYLHEXADECANE</t>
  </si>
  <si>
    <t>C17H36-N10</t>
  </si>
  <si>
    <t>C17-IP</t>
  </si>
  <si>
    <t>N-HEPTADECANE</t>
  </si>
  <si>
    <t>C17H36</t>
  </si>
  <si>
    <t>C17</t>
  </si>
  <si>
    <t>N-OCTADECANE</t>
  </si>
  <si>
    <t>C18H38</t>
  </si>
  <si>
    <t>C18</t>
  </si>
  <si>
    <t>N-NONADECANE</t>
  </si>
  <si>
    <t>C19H40</t>
  </si>
  <si>
    <t>C19</t>
  </si>
  <si>
    <t>N-EICOSANE</t>
  </si>
  <si>
    <t>C20H42</t>
  </si>
  <si>
    <t>C20</t>
  </si>
  <si>
    <t>N-HENEICOSANE</t>
  </si>
  <si>
    <t>C21H44</t>
  </si>
  <si>
    <t>C21</t>
  </si>
  <si>
    <t>N-DOCOSANE</t>
  </si>
  <si>
    <t>C22H46</t>
  </si>
  <si>
    <t>C22</t>
  </si>
  <si>
    <t>N-TRICOSANE</t>
  </si>
  <si>
    <t>C23H48</t>
  </si>
  <si>
    <t>C23</t>
  </si>
  <si>
    <t>N-TETRACOSANE</t>
  </si>
  <si>
    <t>C24H50</t>
  </si>
  <si>
    <t>C24</t>
  </si>
  <si>
    <t>N-PENTACOSANE</t>
  </si>
  <si>
    <t>C25H52</t>
  </si>
  <si>
    <t>C25</t>
  </si>
  <si>
    <t>N-HEXACOSANE</t>
  </si>
  <si>
    <t>C26H54</t>
  </si>
  <si>
    <t>C26</t>
  </si>
  <si>
    <t>N-HEPTACOSANE</t>
  </si>
  <si>
    <t>C27H56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</si>
  <si>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</si>
  <si>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</si>
  <si>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</si>
  <si>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</si>
  <si>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</si>
  <si>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</si>
  <si>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</si>
  <si>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</si>
  <si>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</si>
  <si>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</si>
  <si>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</si>
  <si>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</si>
  <si>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</si>
  <si>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CO2</t>
  </si>
  <si>
    <t>+</t>
  </si>
  <si>
    <t>=</t>
  </si>
  <si>
    <t>H2O</t>
  </si>
  <si>
    <t>C3H6</t>
  </si>
  <si>
    <t>C4H10</t>
  </si>
  <si>
    <t>C4H8</t>
  </si>
  <si>
    <t>C5H12</t>
  </si>
  <si>
    <t>C5H10</t>
  </si>
  <si>
    <t>C6H14</t>
  </si>
  <si>
    <t>C6H12</t>
  </si>
  <si>
    <t>C7H16</t>
  </si>
  <si>
    <t>C7H14</t>
  </si>
  <si>
    <t>C8H18</t>
  </si>
  <si>
    <t>C8H16</t>
  </si>
  <si>
    <t>C8H10</t>
  </si>
  <si>
    <t>C9H20</t>
  </si>
  <si>
    <t>C9H18</t>
  </si>
  <si>
    <t>C9H10</t>
  </si>
  <si>
    <t>C10H22</t>
  </si>
  <si>
    <t>C10H20</t>
  </si>
  <si>
    <t>C10H14</t>
  </si>
  <si>
    <t>C11H16</t>
  </si>
  <si>
    <t>C12H24</t>
  </si>
  <si>
    <t>C12H18</t>
  </si>
  <si>
    <t>C13H26</t>
  </si>
  <si>
    <t>Cn</t>
  </si>
  <si>
    <t>Name</t>
  </si>
  <si>
    <t>oxygenated</t>
  </si>
  <si>
    <t>DHA</t>
  </si>
  <si>
    <t>ASTM</t>
  </si>
  <si>
    <t>C1</t>
  </si>
  <si>
    <t>C14</t>
  </si>
  <si>
    <t>Colonna1</t>
  </si>
  <si>
    <t>Colonna2</t>
  </si>
  <si>
    <t>Colonna3</t>
  </si>
  <si>
    <t>Colonna4</t>
  </si>
  <si>
    <t>Etichette di riga</t>
  </si>
  <si>
    <t>Totale complessivo</t>
  </si>
  <si>
    <t>Somma di mol</t>
  </si>
  <si>
    <t>CYCLOPENTANE</t>
  </si>
  <si>
    <t>C5-N</t>
  </si>
  <si>
    <t>C6-N</t>
  </si>
  <si>
    <t>CYCLOHEXANE</t>
  </si>
  <si>
    <t>C6-A</t>
  </si>
  <si>
    <t>BENZENE</t>
  </si>
  <si>
    <t>C12-N</t>
  </si>
  <si>
    <t>C7-N</t>
  </si>
  <si>
    <t>C11-O</t>
  </si>
  <si>
    <t>HC Carbon</t>
  </si>
  <si>
    <t>TOT CO</t>
  </si>
  <si>
    <t>TOT CO2</t>
  </si>
  <si>
    <t>conv CO2</t>
  </si>
  <si>
    <t>TOT CO2 IN</t>
  </si>
  <si>
    <t>TOT CO IN</t>
  </si>
  <si>
    <t>con CO</t>
  </si>
  <si>
    <t>Rn</t>
  </si>
  <si>
    <t>Nc</t>
  </si>
  <si>
    <t>Formula</t>
  </si>
  <si>
    <t>ID</t>
  </si>
  <si>
    <t>CO2 conv</t>
  </si>
  <si>
    <t>2-METHYL-1-BUTANE</t>
  </si>
  <si>
    <t>C5H12-5</t>
  </si>
  <si>
    <t>C6H6</t>
  </si>
  <si>
    <t>CO conv</t>
  </si>
  <si>
    <t>3-ASTM</t>
  </si>
  <si>
    <t>1-GAS</t>
  </si>
  <si>
    <t>2-DHA</t>
  </si>
  <si>
    <t>Colonna5</t>
  </si>
  <si>
    <t>Colonna6</t>
  </si>
  <si>
    <t>Colonna7</t>
  </si>
  <si>
    <t>Somma di mmolC</t>
  </si>
  <si>
    <t>5% CO</t>
  </si>
  <si>
    <t>m</t>
  </si>
  <si>
    <t>x</t>
  </si>
  <si>
    <t>q</t>
  </si>
  <si>
    <t>xCO</t>
  </si>
  <si>
    <t xml:space="preserve">CO </t>
  </si>
  <si>
    <t xml:space="preserve">CO% </t>
  </si>
  <si>
    <t>H2 CONV</t>
  </si>
  <si>
    <t>H2O PROD</t>
  </si>
  <si>
    <t>CONV CO2</t>
  </si>
  <si>
    <t>CONV CO</t>
  </si>
  <si>
    <t>Prod from CO2</t>
  </si>
  <si>
    <t>Prod from CO</t>
  </si>
  <si>
    <t xml:space="preserve">IN </t>
  </si>
  <si>
    <t>Inerte</t>
  </si>
  <si>
    <t>5%</t>
  </si>
  <si>
    <t>10%</t>
  </si>
  <si>
    <t>Somma di 5%</t>
  </si>
  <si>
    <t>Somma di 10%</t>
  </si>
  <si>
    <t>out</t>
  </si>
  <si>
    <t>in</t>
  </si>
  <si>
    <t>10%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</si>
</sst>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 Unicode MS"/>
      <family val="2"/>
    </font>
    <font>
      <b/>
      <sz val="11"/>
      <color theme="0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2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4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3" fillId="4" borderId="3" xfId="0" applyFont="1" applyFill="1" applyBorder="1" applyAlignment="1">
      <alignment vertical="top"/>
    </xf>
    <xf numFmtId="10" fontId="0" fillId="0" borderId="0" xfId="1" applyNumberFormat="1" applyFont="1"/>
    <xf numFmtId="164" fontId="0" fillId="0" borderId="0" xfId="1" applyNumberFormat="1" applyFont="1"/>
    <xf numFmtId="0" fontId="0" fillId="3" borderId="2" xfId="0" applyFill="1" applyBorder="1"/>
    <xf numFmtId="0" fontId="0" fillId="0" borderId="2" xfId="0" applyBorder="1"/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2" xfId="0" applyBorder="1" applyAlignment="1">
      <alignment horizontal="left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2" xfId="0" applyFill="1" applyBorder="1" applyAlignment="1">
      <alignment horizontal="center"/>
    </xf>
    <xf numFmtId="0" fontId="0" fillId="7" borderId="0" xfId="0" applyFill="1"/>
    <xf numFmtId="0" fontId="2" fillId="2" borderId="0" xfId="0" applyFont="1" applyFill="1" applyAlignment="1">
      <alignment vertical="top"/>
    </xf>
    <xf numFmtId="0" fontId="3" fillId="4" borderId="1" xfId="0" applyFont="1" applyFill="1" applyBorder="1" applyAlignment="1">
      <alignment vertical="top"/>
    </xf>
    <xf numFmtId="9" fontId="0" fillId="0" borderId="0" xfId="0" applyNumberFormat="1"/>
    <xf numFmtId="2" fontId="0" fillId="0" borderId="0" xfId="1" applyNumberFormat="1" applyFont="1"/>
    <xf numFmtId="10" fontId="0" fillId="0" borderId="0" xfId="0" applyNumberFormat="1"/>
    <xf numFmtId="0" fontId="7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10" fontId="0" fillId="7" borderId="0" xfId="1" applyNumberFormat="1" applyFont="1" applyFill="1" applyAlignment="1">
      <alignment horizontal="center"/>
    </xf>
    <xf numFmtId="0" fontId="0" fillId="7" borderId="4" xfId="0" applyFill="1" applyBorder="1"/>
    <xf numFmtId="0" fontId="0" fillId="6" borderId="4" xfId="0" applyFill="1" applyBorder="1"/>
    <xf numFmtId="165" fontId="0" fillId="6" borderId="4" xfId="0" applyNumberFormat="1" applyFill="1" applyBorder="1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6" borderId="7" xfId="0" applyFill="1" applyBorder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29"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Unicode M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Unicode M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[DATASET_update.xlsx]5% CO Elab!Tabella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'5% CO Elab'!$AI$5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'5% CO Elab'!$AH$6:$AH$33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'5% CO Elab'!$AI$6:$AI$33</c:f>
              <c:numCache>
                <c:formatCode>General</c:formatCode>
                <c:ptCount val="27"/>
                <c:pt idx="0">
                  <c:v>11.929197775070781</c:v>
                </c:pt>
                <c:pt idx="1">
                  <c:v>7.4382037070915281</c:v>
                </c:pt>
                <c:pt idx="2">
                  <c:v>9.9256945269861188</c:v>
                </c:pt>
                <c:pt idx="3">
                  <c:v>8.0172347955465</c:v>
                </c:pt>
                <c:pt idx="4">
                  <c:v>7.7743976992954718</c:v>
                </c:pt>
                <c:pt idx="5">
                  <c:v>5.2237640812452755</c:v>
                </c:pt>
                <c:pt idx="6">
                  <c:v>2.9591586835653607</c:v>
                </c:pt>
                <c:pt idx="7">
                  <c:v>4.1037635590322141</c:v>
                </c:pt>
                <c:pt idx="8">
                  <c:v>4.1587800674992366</c:v>
                </c:pt>
                <c:pt idx="9">
                  <c:v>3.5567424719597294</c:v>
                </c:pt>
                <c:pt idx="10">
                  <c:v>2.6618577193916901</c:v>
                </c:pt>
                <c:pt idx="11">
                  <c:v>1.9510925697096155</c:v>
                </c:pt>
                <c:pt idx="12">
                  <c:v>1.2131724308614156</c:v>
                </c:pt>
                <c:pt idx="13">
                  <c:v>1.0157765934305212</c:v>
                </c:pt>
                <c:pt idx="14">
                  <c:v>0.95859804484035449</c:v>
                </c:pt>
                <c:pt idx="15">
                  <c:v>0.9421721865758329</c:v>
                </c:pt>
                <c:pt idx="16">
                  <c:v>0.78278546345364119</c:v>
                </c:pt>
                <c:pt idx="17">
                  <c:v>0.70287139314042979</c:v>
                </c:pt>
                <c:pt idx="18">
                  <c:v>0.33506055658665634</c:v>
                </c:pt>
                <c:pt idx="19">
                  <c:v>0.2771177535679113</c:v>
                </c:pt>
                <c:pt idx="20">
                  <c:v>0.26452149204209718</c:v>
                </c:pt>
                <c:pt idx="21">
                  <c:v>0.24940597821112018</c:v>
                </c:pt>
                <c:pt idx="22">
                  <c:v>0.23177121207498039</c:v>
                </c:pt>
                <c:pt idx="23">
                  <c:v>0.22673270746465474</c:v>
                </c:pt>
                <c:pt idx="24">
                  <c:v>0.20468924979447994</c:v>
                </c:pt>
                <c:pt idx="25">
                  <c:v>0.18012653981914234</c:v>
                </c:pt>
                <c:pt idx="26">
                  <c:v>0.15304457753864192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F-354E-9951-C2CEE378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960463"/>
        <c:axId val="1011795679"/>
      </c:barChart>
      <c:catAx>
        <c:axId val="101096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1795679"/>
        <c:crosses val="autoZero"/>
        <c:auto val="1"/>
        <c:lblAlgn val="ctr"/>
        <c:lblOffset val="100"/>
        <c:noMultiLvlLbl val="0"/>
      </c:catAx>
      <c:valAx>
        <c:axId val="10117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096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[DATASET_update.xlsx]10% CO Elab!Tabella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'10% CO Elab'!$AI$7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'10% CO Elab'!$AH$8:$AH$35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'10% CO Elab'!$AI$8:$AI$35</c:f>
              <c:numCache>
                <c:formatCode>General</c:formatCode>
                <c:ptCount val="27"/>
                <c:pt idx="0">
                  <c:v>13.710650421594913</c:v>
                </c:pt>
                <c:pt idx="1">
                  <c:v>9.1694516208756021</c:v>
                </c:pt>
                <c:pt idx="2">
                  <c:v>12.330743203414496</c:v>
                </c:pt>
                <c:pt idx="3">
                  <c:v>9.9901903072726395</c:v>
                </c:pt>
                <c:pt idx="4">
                  <c:v>7.9271087985810924</c:v>
                </c:pt>
                <c:pt idx="5">
                  <c:v>6.0726971951223643</c:v>
                </c:pt>
                <c:pt idx="6">
                  <c:v>3.3412064957248453</c:v>
                </c:pt>
                <c:pt idx="7">
                  <c:v>4.4907710683154747</c:v>
                </c:pt>
                <c:pt idx="8">
                  <c:v>4.3654975789860231</c:v>
                </c:pt>
                <c:pt idx="9">
                  <c:v>4.1077249882098688</c:v>
                </c:pt>
                <c:pt idx="10">
                  <c:v>3.2036740574563067</c:v>
                </c:pt>
                <c:pt idx="11">
                  <c:v>2.4880316610945163</c:v>
                </c:pt>
                <c:pt idx="12">
                  <c:v>1.7153251172843871</c:v>
                </c:pt>
                <c:pt idx="13">
                  <c:v>1.5189839600211594</c:v>
                </c:pt>
                <c:pt idx="14">
                  <c:v>1.4364874038899536</c:v>
                </c:pt>
                <c:pt idx="15">
                  <c:v>1.3670921176094593</c:v>
                </c:pt>
                <c:pt idx="16">
                  <c:v>1.1664801918613856</c:v>
                </c:pt>
                <c:pt idx="17">
                  <c:v>1.0721729698562665</c:v>
                </c:pt>
                <c:pt idx="18">
                  <c:v>0.51110754477019127</c:v>
                </c:pt>
                <c:pt idx="19">
                  <c:v>0.42272052574978231</c:v>
                </c:pt>
                <c:pt idx="20">
                  <c:v>0.40350595639751946</c:v>
                </c:pt>
                <c:pt idx="21">
                  <c:v>0.38044847317480401</c:v>
                </c:pt>
                <c:pt idx="22">
                  <c:v>0.35354807608163613</c:v>
                </c:pt>
                <c:pt idx="23">
                  <c:v>0.34586224834073098</c:v>
                </c:pt>
                <c:pt idx="24">
                  <c:v>0.31223675197427098</c:v>
                </c:pt>
                <c:pt idx="25">
                  <c:v>0.27476834173735848</c:v>
                </c:pt>
                <c:pt idx="26">
                  <c:v>0.23345701762999338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ED4D-9907-8A7EF3BE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70031"/>
        <c:axId val="1267151119"/>
      </c:barChart>
      <c:catAx>
        <c:axId val="126697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7151119"/>
        <c:crosses val="autoZero"/>
        <c:auto val="1"/>
        <c:lblAlgn val="ctr"/>
        <c:lblOffset val="100"/>
        <c:noMultiLvlLbl val="0"/>
      </c:catAx>
      <c:valAx>
        <c:axId val="12671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97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Interp!$B$4:$B$30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Interp!$C$4:$C$30</c:f>
              <c:numCache>
                <c:formatCode>General</c:formatCode>
                <c:ptCount val="27"/>
                <c:pt idx="0">
                  <c:v>11.480162444061929</c:v>
                </c:pt>
                <c:pt idx="1">
                  <c:v>7.748422302624558</c:v>
                </c:pt>
                <c:pt idx="2">
                  <c:v>10.523417024091515</c:v>
                </c:pt>
                <c:pt idx="3">
                  <c:v>8.7544194237415063</c:v>
                </c:pt>
                <c:pt idx="4">
                  <c:v>8.1545512951124035</c:v>
                </c:pt>
                <c:pt idx="5">
                  <c:v>5.9653867968408427</c:v>
                </c:pt>
                <c:pt idx="6">
                  <c:v>4.1818169482805789</c:v>
                </c:pt>
                <c:pt idx="7">
                  <c:v>5.5572888564200777</c:v>
                </c:pt>
                <c:pt idx="8">
                  <c:v>5.6774426656605854</c:v>
                </c:pt>
                <c:pt idx="9">
                  <c:v>5.0040531640984742</c:v>
                </c:pt>
                <c:pt idx="10">
                  <c:v>3.7565895334104153</c:v>
                </c:pt>
                <c:pt idx="11">
                  <c:v>2.7501308321211804</c:v>
                </c:pt>
                <c:pt idx="12">
                  <c:v>1.7059387047286318</c:v>
                </c:pt>
                <c:pt idx="13">
                  <c:v>1.4263637155003654</c:v>
                </c:pt>
                <c:pt idx="14">
                  <c:v>1.3460003018717062</c:v>
                </c:pt>
                <c:pt idx="15">
                  <c:v>1.3240188731704929</c:v>
                </c:pt>
                <c:pt idx="16">
                  <c:v>1.0992941296813241</c:v>
                </c:pt>
                <c:pt idx="17">
                  <c:v>0.9864688227423144</c:v>
                </c:pt>
                <c:pt idx="18">
                  <c:v>0.38627856231038582</c:v>
                </c:pt>
                <c:pt idx="19">
                  <c:v>0.31821574927171625</c:v>
                </c:pt>
                <c:pt idx="20">
                  <c:v>0.2784387806127499</c:v>
                </c:pt>
                <c:pt idx="21">
                  <c:v>0.27225125215468715</c:v>
                </c:pt>
                <c:pt idx="22">
                  <c:v>0.26429585842289532</c:v>
                </c:pt>
                <c:pt idx="23">
                  <c:v>0.29700136598693444</c:v>
                </c:pt>
                <c:pt idx="24">
                  <c:v>0.41986800251129092</c:v>
                </c:pt>
                <c:pt idx="25">
                  <c:v>0.57455621396281731</c:v>
                </c:pt>
                <c:pt idx="26">
                  <c:v>0.26252799314916286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0-2147-BDDF-1411648B86A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Interp!$B$4:$B$30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Interp!$D$4:$D$30</c:f>
              <c:numCache>
                <c:formatCode>General</c:formatCode>
                <c:ptCount val="27"/>
                <c:pt idx="0">
                  <c:v>13.675370092509265</c:v>
                </c:pt>
                <c:pt idx="1">
                  <c:v>9.0679026537862697</c:v>
                </c:pt>
                <c:pt idx="2">
                  <c:v>12.151740042685217</c:v>
                </c:pt>
                <c:pt idx="3">
                  <c:v>9.8909643076389226</c:v>
                </c:pt>
                <c:pt idx="4">
                  <c:v>8.1091381769103226</c:v>
                </c:pt>
                <c:pt idx="5">
                  <c:v>6.5805558859871054</c:v>
                </c:pt>
                <c:pt idx="6">
                  <c:v>3.9175019728170488</c:v>
                </c:pt>
                <c:pt idx="7">
                  <c:v>5.2185092451084092</c:v>
                </c:pt>
                <c:pt idx="8">
                  <c:v>5.1379563487981272</c:v>
                </c:pt>
                <c:pt idx="9">
                  <c:v>4.8319071184768339</c:v>
                </c:pt>
                <c:pt idx="10">
                  <c:v>3.7645792885362162</c:v>
                </c:pt>
                <c:pt idx="11">
                  <c:v>2.9197024154560451</c:v>
                </c:pt>
                <c:pt idx="12">
                  <c:v>2.008457397463808</c:v>
                </c:pt>
                <c:pt idx="13">
                  <c:v>1.7765787864755529</c:v>
                </c:pt>
                <c:pt idx="14">
                  <c:v>1.6800239646777726</c:v>
                </c:pt>
                <c:pt idx="15">
                  <c:v>1.5998769169154572</c:v>
                </c:pt>
                <c:pt idx="16">
                  <c:v>1.3643889021391038</c:v>
                </c:pt>
                <c:pt idx="17">
                  <c:v>1.2535174223950181</c:v>
                </c:pt>
                <c:pt idx="18">
                  <c:v>0.49084866808837091</c:v>
                </c:pt>
                <c:pt idx="19">
                  <c:v>0.40436045883710497</c:v>
                </c:pt>
                <c:pt idx="20">
                  <c:v>0.35381540148246465</c:v>
                </c:pt>
                <c:pt idx="21">
                  <c:v>0.3459528370050744</c:v>
                </c:pt>
                <c:pt idx="22">
                  <c:v>0.33584382553414821</c:v>
                </c:pt>
                <c:pt idx="23">
                  <c:v>0.37740309491463048</c:v>
                </c:pt>
                <c:pt idx="24">
                  <c:v>0.53353116096562292</c:v>
                </c:pt>
                <c:pt idx="25">
                  <c:v>0.73009527290032383</c:v>
                </c:pt>
                <c:pt idx="26">
                  <c:v>0.33359737854060778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0-2147-BDDF-1411648B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05888"/>
        <c:axId val="670107600"/>
      </c:scatterChart>
      <c:valAx>
        <c:axId val="67010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107600"/>
        <c:crosses val="autoZero"/>
        <c:crossBetween val="midCat"/>
      </c:valAx>
      <c:valAx>
        <c:axId val="6701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10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127000</xdr:colOff>
      <xdr:row>8</xdr:row>
      <xdr:rowOff>59267</xdr:rowOff>
    </xdr:from>
    <xdr:to>
      <xdr:col>41</xdr:col>
      <xdr:colOff>550334</xdr:colOff>
      <xdr:row>21</xdr:row>
      <xdr:rowOff>160867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4FD6686-7E54-DBE5-C7F8-5E8665E6F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143933</xdr:colOff>
      <xdr:row>11</xdr:row>
      <xdr:rowOff>76200</xdr:rowOff>
    </xdr:from>
    <xdr:to>
      <xdr:col>44</xdr:col>
      <xdr:colOff>795866</xdr:colOff>
      <xdr:row>33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15595DA-FE10-FEF2-E8FB-8EB9382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249639</xdr:colOff>
      <xdr:row>49</xdr:row>
      <xdr:rowOff>68703</xdr:rowOff>
    </xdr:from>
    <xdr:to>
      <xdr:col>5</xdr:col>
      <xdr:colOff>694139</xdr:colOff>
      <xdr:row>62</xdr:row>
      <xdr:rowOff>174587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56CA832-7952-63DB-E4C5-941035254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08.68829849537" createdVersion="8" refreshedVersion="8" minRefreshableVersion="3" recordCount="68" xr:uid="{ED62D089-2E9C-074A-9259-B6B4291C0D0F}">
  <cacheSource type="worksheet">
    <worksheetSource name="Tabella14"/>
  </cacheSource>
  <cacheFields count="4">
    <cacheField name="Nc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Name" numFmtId="0">
      <sharedItems/>
    </cacheField>
    <cacheField name="5%" numFmtId="0">
      <sharedItems containsSemiMixedTypes="0" containsString="0" containsNumber="1" minValue="3.7961470066785014E-4" maxValue="10.675347629281321"/>
    </cacheField>
    <cacheField name="10%" numFmtId="0">
      <sharedItems containsSemiMixedTypes="0" containsString="0" containsNumber="1" minValue="9.8472887271422297E-5" maxValue="12.76448785309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66.528394328707" createdVersion="8" refreshedVersion="8" minRefreshableVersion="3" recordCount="124" xr:uid="{FB2AC1C2-808D-A748-A4C1-509812E9F1AE}">
  <cacheSource type="worksheet">
    <worksheetSource name="Tabella4"/>
  </cacheSource>
  <cacheFields count="5">
    <cacheField name="Cn" numFmtId="0">
      <sharedItems containsSemiMixedTypes="0" containsString="0" containsNumber="1" containsInteger="1" minValue="1" maxValue="1402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1402" u="1"/>
      </sharedItems>
    </cacheField>
    <cacheField name="Class" numFmtId="0">
      <sharedItems containsBlank="1" count="7">
        <s v="oxygenated"/>
        <s v="paraffin"/>
        <s v="Olefin"/>
        <s v="iso-paraffin"/>
        <s v="Aromatic"/>
        <s v="Naphthene"/>
        <m u="1"/>
      </sharedItems>
    </cacheField>
    <cacheField name="Name" numFmtId="0">
      <sharedItems/>
    </cacheField>
    <cacheField name="mol" numFmtId="0">
      <sharedItems containsSemiMixedTypes="0" containsString="0" containsNumber="1" minValue="0" maxValue="11.284207492384297"/>
    </cacheField>
    <cacheField name="Colonna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66.530740972223" createdVersion="8" refreshedVersion="8" minRefreshableVersion="3" recordCount="68" xr:uid="{F2A2C0D6-7315-9747-9E0F-4CA23D4E2F97}">
  <cacheSource type="worksheet">
    <worksheetSource name="Tabella11"/>
  </cacheSource>
  <cacheFields count="11">
    <cacheField name="Colonna1" numFmtId="0">
      <sharedItems containsSemiMixedTypes="0" containsString="0" containsNumber="1" containsInteger="1" minValue="1" maxValue="68"/>
    </cacheField>
    <cacheField name="Nc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Colonna2" numFmtId="0">
      <sharedItems containsBlank="1"/>
    </cacheField>
    <cacheField name="Colonna3" numFmtId="0">
      <sharedItems containsBlank="1"/>
    </cacheField>
    <cacheField name="Colonna4" numFmtId="0">
      <sharedItems/>
    </cacheField>
    <cacheField name="mmol" numFmtId="0">
      <sharedItems containsSemiMixedTypes="0" containsString="0" containsNumber="1" minValue="3.6542649360789502E-5" maxValue="11.284207492384297"/>
    </cacheField>
    <cacheField name="mmolC" numFmtId="0">
      <sharedItems containsSemiMixedTypes="0" containsString="0" containsNumber="1" minValue="2.5579854552552651E-4" maxValue="11.284207492384297"/>
    </cacheField>
    <cacheField name="Colonna5" numFmtId="0">
      <sharedItems containsSemiMixedTypes="0" containsString="0" containsNumber="1" minValue="1.2984628625970534E-4" maxValue="5.7279936180240227"/>
    </cacheField>
    <cacheField name="Colonna6" numFmtId="0">
      <sharedItems containsSemiMixedTypes="0" containsString="0" containsNumber="1" minValue="1.2595225926582116E-4" maxValue="5.5562138743602745"/>
    </cacheField>
    <cacheField name="con CO" numFmtId="0">
      <sharedItems containsSemiMixedTypes="0" containsString="0" containsNumber="1" minValue="2.4623292329901479E-6" maxValue="0.10862232982029039"/>
    </cacheField>
    <cacheField name="conv CO2" numFmtId="0">
      <sharedItems containsSemiMixedTypes="0" containsString="0" containsNumber="1" minValue="7.6440504587844699E-7" maxValue="3.37206966059827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66.532103124999" createdVersion="8" refreshedVersion="8" minRefreshableVersion="3" recordCount="124" xr:uid="{6B5E4484-0556-3143-84CF-7B435B6F3D24}">
  <cacheSource type="worksheet">
    <worksheetSource name="Tabella10"/>
  </cacheSource>
  <cacheFields count="6">
    <cacheField name="Cn" numFmtId="0">
      <sharedItems containsSemiMixedTypes="0" containsString="0" containsNumber="1" containsInteger="1" minValue="1" maxValue="39" count="39">
        <n v="8"/>
        <n v="7"/>
        <n v="9"/>
        <n v="10"/>
        <n v="1"/>
        <n v="2"/>
        <n v="3"/>
        <n v="4"/>
        <n v="5"/>
        <n v="6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Class" numFmtId="0">
      <sharedItems count="6">
        <s v="Olefin"/>
        <s v="Aromatic"/>
        <s v="paraffin"/>
        <s v="oxygenated"/>
        <s v="iso-paraffin"/>
        <s v="Naphthene"/>
      </sharedItems>
    </cacheField>
    <cacheField name="Name" numFmtId="0">
      <sharedItems/>
    </cacheField>
    <cacheField name="mol" numFmtId="0">
      <sharedItems containsSemiMixedTypes="0" containsString="0" containsNumber="1" minValue="0" maxValue="12.780415015702763"/>
    </cacheField>
    <cacheField name="Colonna1" numFmtId="0">
      <sharedItems/>
    </cacheField>
    <cacheField name="Colonna2" numFmtId="0">
      <sharedItems containsString="0" containsBlank="1" containsNumber="1" containsInteger="1" minValue="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66.532188078701" createdVersion="8" refreshedVersion="8" minRefreshableVersion="3" recordCount="68" xr:uid="{9E1081E3-6AB5-9C4F-A5E5-BEDA7600C86B}">
  <cacheSource type="worksheet">
    <worksheetSource name="Tabella9"/>
  </cacheSource>
  <cacheFields count="11">
    <cacheField name="Colonna1" numFmtId="0">
      <sharedItems containsSemiMixedTypes="0" containsString="0" containsNumber="1" containsInteger="1" minValue="1" maxValue="68"/>
    </cacheField>
    <cacheField name="Colonna2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Colonna3" numFmtId="0">
      <sharedItems containsBlank="1"/>
    </cacheField>
    <cacheField name="Colonna4" numFmtId="0">
      <sharedItems containsBlank="1"/>
    </cacheField>
    <cacheField name="Colonna5" numFmtId="0">
      <sharedItems/>
    </cacheField>
    <cacheField name="mmol" numFmtId="0">
      <sharedItems containsSemiMixedTypes="0" containsString="0" containsNumber="1" minValue="1.5354985472503198E-5" maxValue="12.780415015702763"/>
    </cacheField>
    <cacheField name="mmolC" numFmtId="0">
      <sharedItems containsSemiMixedTypes="0" containsString="0" containsNumber="1" minValue="1.0748489830752239E-4" maxValue="12.780415015702763"/>
    </cacheField>
    <cacheField name="Colonna6" numFmtId="0">
      <sharedItems containsSemiMixedTypes="0" containsString="0" containsNumber="1" minValue="8.7654362744874379E-5" maxValue="10.422479357158654"/>
    </cacheField>
    <cacheField name="Colonna7" numFmtId="0">
      <sharedItems containsSemiMixedTypes="0" containsString="0" containsNumber="1" minValue="1.983053556264802E-5" maxValue="2.3579356585441089"/>
    </cacheField>
    <cacheField name="con CO" numFmtId="0">
      <sharedItems containsSemiMixedTypes="0" containsString="0" containsNumber="1" minValue="1.0375528751247638E-6" maxValue="0.12336948309604598"/>
    </cacheField>
    <cacheField name="conv CO2" numFmtId="0">
      <sharedItems containsSemiMixedTypes="0" containsString="0" containsNumber="1" minValue="1.5940395171939082E-7" maxValue="1.895381295601302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s v="CH4"/>
    <n v="10.675347629281321"/>
    <n v="12.764487853091264"/>
  </r>
  <r>
    <x v="0"/>
    <s v="MEOH"/>
    <n v="0.80481481478060724"/>
    <n v="0.91088223941800006"/>
  </r>
  <r>
    <x v="1"/>
    <s v="C2"/>
    <n v="1.4764743214745784"/>
    <n v="1.709041167604332"/>
  </r>
  <r>
    <x v="1"/>
    <s v="C2-O"/>
    <n v="6.2719479811499799"/>
    <n v="7.3588614861819384"/>
  </r>
  <r>
    <x v="2"/>
    <s v="C3"/>
    <n v="1.0343523334498903"/>
    <n v="1.1719059853281166"/>
  </r>
  <r>
    <x v="2"/>
    <s v="C3-O"/>
    <n v="9.4890646906416247"/>
    <n v="10.979834057357101"/>
  </r>
  <r>
    <x v="3"/>
    <s v="C4"/>
    <n v="1.0101920404904212"/>
    <n v="1.0797178215552949"/>
  </r>
  <r>
    <x v="3"/>
    <s v="C4-IP"/>
    <n v="3.9445339274151864E-2"/>
    <n v="3.6265007967883504E-2"/>
  </r>
  <r>
    <x v="3"/>
    <s v="C4-O"/>
    <n v="7.7047820439769339"/>
    <n v="8.7749814781157447"/>
  </r>
  <r>
    <x v="4"/>
    <s v="C5"/>
    <n v="0.1681688423581717"/>
    <n v="0.15461001274909103"/>
  </r>
  <r>
    <x v="4"/>
    <s v="C5-IP"/>
    <n v="0.14227984896835599"/>
    <n v="0.45053268523601969"/>
  </r>
  <r>
    <x v="4"/>
    <s v="C5-O"/>
    <n v="7.7845917998890393"/>
    <n v="7.4492828102752009"/>
  </r>
  <r>
    <x v="4"/>
    <s v="C5-N"/>
    <n v="5.9510803896835815E-2"/>
    <n v="5.4712668650010163E-2"/>
  </r>
  <r>
    <x v="5"/>
    <s v="C6-IP"/>
    <n v="3.0084066962282048"/>
    <n v="2.4578082615235211"/>
  </r>
  <r>
    <x v="5"/>
    <s v="C6"/>
    <n v="3.6329073642742016E-2"/>
    <n v="3.2533571458387166E-2"/>
  </r>
  <r>
    <x v="5"/>
    <s v="C6-O"/>
    <n v="2.6709448098954698"/>
    <n v="3.8606407214413294"/>
  </r>
  <r>
    <x v="5"/>
    <s v="C6-A"/>
    <n v="1.913274338277374E-2"/>
    <n v="1.7590141294042117E-2"/>
  </r>
  <r>
    <x v="5"/>
    <s v="C6-N"/>
    <n v="0.23057347369165204"/>
    <n v="0.21198319026982509"/>
  </r>
  <r>
    <x v="6"/>
    <s v="C7"/>
    <n v="3.7961470066785014E-4"/>
    <n v="9.8472887271422297E-5"/>
  </r>
  <r>
    <x v="6"/>
    <s v="C7-IP"/>
    <n v="2.2831760437947315"/>
    <n v="2.1027785797189829"/>
  </r>
  <r>
    <x v="6"/>
    <s v="C7-O"/>
    <n v="1.5956649952219988"/>
    <n v="1.5364258418072099"/>
  </r>
  <r>
    <x v="6"/>
    <s v="C7-A"/>
    <n v="5.9682201389639845E-2"/>
    <n v="5.4870246999102631E-2"/>
  </r>
  <r>
    <x v="6"/>
    <s v="C7-N"/>
    <n v="0.24291409317354112"/>
    <n v="0.22332883140448229"/>
  </r>
  <r>
    <x v="7"/>
    <s v="C8"/>
    <n v="0.18868965424741102"/>
    <n v="0.23603939880703242"/>
  </r>
  <r>
    <x v="7"/>
    <s v="C8-IP"/>
    <n v="1.089450296120775"/>
    <n v="1.0016119621849151"/>
  </r>
  <r>
    <x v="7"/>
    <s v="C8-O"/>
    <n v="2.99086233350083"/>
    <n v="2.7497202039868216"/>
  </r>
  <r>
    <x v="7"/>
    <s v="C8-N"/>
    <n v="0.48903292086369682"/>
    <n v="0.44960401147571655"/>
  </r>
  <r>
    <x v="7"/>
    <s v="C8-A"/>
    <n v="0.80053810598416164"/>
    <n v="0.78316583968881615"/>
  </r>
  <r>
    <x v="8"/>
    <s v="C9"/>
    <n v="0.5055889643879321"/>
    <n v="0.55210071469928279"/>
  </r>
  <r>
    <x v="8"/>
    <s v="C9-IP"/>
    <n v="3.2224801361021234"/>
    <n v="2.9626635228022784"/>
  </r>
  <r>
    <x v="8"/>
    <s v="C9-O"/>
    <n v="0.59385643867206861"/>
    <n v="0.54597599809044994"/>
  </r>
  <r>
    <x v="8"/>
    <s v="C9-N"/>
    <n v="0.3347751773400835"/>
    <n v="0.30778349729250198"/>
  </r>
  <r>
    <x v="8"/>
    <s v="C9-A"/>
    <n v="1.0225337629024103"/>
    <n v="0.77170949450729076"/>
  </r>
  <r>
    <x v="9"/>
    <s v="C10"/>
    <n v="0.74575363465812128"/>
    <n v="0.91872102183663884"/>
  </r>
  <r>
    <x v="9"/>
    <s v="C10-IP"/>
    <n v="1.2171613582007894"/>
    <n v="1.1190261553226462"/>
  </r>
  <r>
    <x v="9"/>
    <s v="C10-O"/>
    <n v="1.3279319704106398"/>
    <n v="1.2208657441896107"/>
  </r>
  <r>
    <x v="9"/>
    <s v="C10-N"/>
    <n v="0.77256423384358452"/>
    <n v="0.71027524700234224"/>
  </r>
  <r>
    <x v="9"/>
    <s v="C10-A"/>
    <n v="0.9457155614576872"/>
    <n v="0.86946602571342368"/>
  </r>
  <r>
    <x v="10"/>
    <s v="C11"/>
    <n v="0.92728656860550784"/>
    <n v="1.1656511649587913"/>
  </r>
  <r>
    <x v="10"/>
    <s v="C11-IP"/>
    <n v="1.3868887219470165"/>
    <n v="1.275069031664648"/>
  </r>
  <r>
    <x v="10"/>
    <s v="C11-A"/>
    <n v="0.55592178892751454"/>
    <n v="0.51109987836224158"/>
  </r>
  <r>
    <x v="10"/>
    <s v="C11-O"/>
    <n v="0.89292114768584585"/>
    <n v="0.82092822958017608"/>
  </r>
  <r>
    <x v="11"/>
    <s v="C12-IP"/>
    <n v="1.0664591161558081"/>
    <n v="0.98047447572990742"/>
  </r>
  <r>
    <x v="11"/>
    <s v="C12"/>
    <n v="1.1218471845208211"/>
    <n v="1.4255442834496859"/>
  </r>
  <r>
    <x v="11"/>
    <s v="C12-O"/>
    <n v="0.10475177002068625"/>
    <n v="9.6306023584880607E-2"/>
  </r>
  <r>
    <x v="11"/>
    <s v="C12-A"/>
    <n v="0.36921411542907628"/>
    <n v="0.33944575162177781"/>
  </r>
  <r>
    <x v="11"/>
    <s v="C12-N"/>
    <n v="9.5950708064610313E-2"/>
    <n v="8.8214558589621225E-2"/>
  </r>
  <r>
    <x v="12"/>
    <s v="C13-IP"/>
    <n v="0.41734093701316177"/>
    <n v="0.38369228620183293"/>
  </r>
  <r>
    <x v="12"/>
    <s v="C13-O"/>
    <n v="3.6065221276528496E-2"/>
    <n v="3.3157416339269385E-2"/>
  </r>
  <r>
    <x v="12"/>
    <s v="C13"/>
    <n v="1.2616329051317487"/>
    <n v="1.6031716267049245"/>
  </r>
  <r>
    <x v="13"/>
    <s v="C14-IP"/>
    <n v="0.10223262547528765"/>
    <n v="9.3989988314498354E-2"/>
  </r>
  <r>
    <x v="13"/>
    <s v=" C14 "/>
    <n v="1.3337516527080875"/>
    <n v="1.6948137592124048"/>
  </r>
  <r>
    <x v="14"/>
    <s v="C15-IP "/>
    <n v="8.6396294337837673E-2"/>
    <n v="7.9430481780908946E-2"/>
  </r>
  <r>
    <x v="14"/>
    <s v="C15"/>
    <n v="1.2687557443985478"/>
    <n v="1.6122227015204782"/>
  </r>
  <r>
    <x v="15"/>
    <s v="C16-IP"/>
    <n v="0.23501386455173739"/>
    <n v="0.21606556889515063"/>
  </r>
  <r>
    <x v="15"/>
    <s v="C16"/>
    <n v="1.0969172470870254"/>
    <n v="1.3938655215952489"/>
  </r>
  <r>
    <x v="16"/>
    <s v="C17-IP"/>
    <n v="9.24948562910968E-2"/>
    <n v="8.5037339318384864E-2"/>
  </r>
  <r>
    <x v="16"/>
    <s v="C17"/>
    <n v="1.0141142406104864"/>
    <n v="1.2886467768644363"/>
  </r>
  <r>
    <x v="17"/>
    <s v="C18"/>
    <n v="0.99363607771844198"/>
    <n v="1.2626249367697224"/>
  </r>
  <r>
    <x v="18"/>
    <s v="C19"/>
    <n v="0.47366881124212445"/>
    <n v="0.60189647523431189"/>
  </r>
  <r>
    <x v="19"/>
    <s v="C20"/>
    <n v="0.39175615967393751"/>
    <n v="0.49780911485544588"/>
  </r>
  <r>
    <x v="20"/>
    <s v="C21"/>
    <n v="0.37394906150694035"/>
    <n v="0.47518142781656203"/>
  </r>
  <r>
    <x v="21"/>
    <s v="C22"/>
    <n v="0.35258054370654379"/>
    <n v="0.44802820336990135"/>
  </r>
  <r>
    <x v="22"/>
    <s v="C23"/>
    <n v="0.32765060627274778"/>
    <n v="0.41634944151546388"/>
  </r>
  <r>
    <x v="23"/>
    <s v="C24"/>
    <n v="0.32052776700594887"/>
    <n v="0.40729836669991026"/>
  </r>
  <r>
    <x v="24"/>
    <s v="C25"/>
    <n v="0.28936534521370383"/>
    <n v="0.36769991438186345"/>
  </r>
  <r>
    <x v="25"/>
    <s v="C26"/>
    <n v="0.25464150378805939"/>
    <n v="0.32357592465603985"/>
  </r>
  <r>
    <x v="26"/>
    <s v="C27"/>
    <n v="0.21635624272901549"/>
    <n v="0.274926397522439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s v="Metanolo"/>
    <n v="0.64499028268648395"/>
    <s v="1-GAS"/>
  </r>
  <r>
    <x v="0"/>
    <x v="1"/>
    <s v="*CH4"/>
    <n v="11.284207492384297"/>
    <s v="1-GAS"/>
  </r>
  <r>
    <x v="1"/>
    <x v="2"/>
    <s v="*Acetilene"/>
    <n v="0"/>
    <s v="1-GAS"/>
  </r>
  <r>
    <x v="1"/>
    <x v="2"/>
    <s v="*Etilene"/>
    <n v="2.9665605763140062"/>
    <s v="1-GAS"/>
  </r>
  <r>
    <x v="1"/>
    <x v="0"/>
    <s v="*DME"/>
    <n v="0"/>
    <s v="1-GAS"/>
  </r>
  <r>
    <x v="1"/>
    <x v="1"/>
    <s v="*Etano"/>
    <n v="0.75254127723175768"/>
    <s v="1-GAS"/>
  </r>
  <r>
    <x v="2"/>
    <x v="2"/>
    <s v="*Propilene"/>
    <n v="2.9824519040758708"/>
    <s v="1-GAS"/>
  </r>
  <r>
    <x v="2"/>
    <x v="1"/>
    <s v="*Propano"/>
    <n v="0.30622925533420892"/>
    <s v="1-GAS"/>
  </r>
  <r>
    <x v="3"/>
    <x v="2"/>
    <s v="*1-Butene"/>
    <n v="1.5864331013899196"/>
    <s v="1-GAS"/>
  </r>
  <r>
    <x v="3"/>
    <x v="2"/>
    <s v="2-Butene"/>
    <n v="2.8354859891253286E-2"/>
    <s v="1-GAS"/>
  </r>
  <r>
    <x v="3"/>
    <x v="2"/>
    <s v="2-Metilpropene"/>
    <n v="2.3029278036235987E-2"/>
    <s v="1-GAS"/>
  </r>
  <r>
    <x v="3"/>
    <x v="1"/>
    <s v="*N-Butano"/>
    <n v="0.22254904654045757"/>
    <s v="1-GAS"/>
  </r>
  <r>
    <x v="4"/>
    <x v="3"/>
    <s v="2-Metilbutano"/>
    <n v="0"/>
    <s v="1-GAS"/>
  </r>
  <r>
    <x v="4"/>
    <x v="2"/>
    <s v="*1-Pentene"/>
    <n v="0.87794251730437234"/>
    <s v="1-GAS"/>
  </r>
  <r>
    <x v="4"/>
    <x v="2"/>
    <s v="2-Metilbut-1-ene"/>
    <n v="0"/>
    <s v="1-GAS"/>
  </r>
  <r>
    <x v="4"/>
    <x v="2"/>
    <s v="2-Pentene"/>
    <n v="0"/>
    <s v="1-GAS"/>
  </r>
  <r>
    <x v="4"/>
    <x v="2"/>
    <s v="3-Metilbut-1-ene"/>
    <n v="0.22658449801189481"/>
    <s v="1-GAS"/>
  </r>
  <r>
    <x v="4"/>
    <x v="1"/>
    <s v="*Pentano"/>
    <n v="0.12759230511881964"/>
    <s v="1-GAS"/>
  </r>
  <r>
    <x v="5"/>
    <x v="3"/>
    <s v="2,2-Dimetilbutano"/>
    <n v="0.14337230719112087"/>
    <s v="1-GAS"/>
  </r>
  <r>
    <x v="5"/>
    <x v="2"/>
    <s v="1-Esene"/>
    <n v="1.9141241611245173E-5"/>
    <s v="1-GAS"/>
  </r>
  <r>
    <x v="5"/>
    <x v="2"/>
    <s v="2-Metilbut-2-ene"/>
    <n v="1.0782087352486522E-2"/>
    <s v="1-GAS"/>
  </r>
  <r>
    <x v="5"/>
    <x v="2"/>
    <s v="2,3-Dimetilbut-2-ene"/>
    <n v="2.3569675213591491E-5"/>
    <s v="1-GAS"/>
  </r>
  <r>
    <x v="5"/>
    <x v="2"/>
    <s v="3-Metilpent-1-ene"/>
    <n v="0"/>
    <s v="1-GAS"/>
  </r>
  <r>
    <x v="5"/>
    <x v="2"/>
    <s v="4-Metilpent-2-ene"/>
    <n v="0.30171511307275434"/>
    <s v="1-GAS"/>
  </r>
  <r>
    <x v="5"/>
    <x v="1"/>
    <s v="Esano"/>
    <n v="1.9313371322895508E-3"/>
    <s v="1-GAS"/>
  </r>
  <r>
    <x v="6"/>
    <x v="4"/>
    <s v="Toluene"/>
    <n v="0"/>
    <s v="1-GAS"/>
  </r>
  <r>
    <x v="6"/>
    <x v="3"/>
    <s v="2,2-Dimetilpentano"/>
    <n v="8.7957753518294102E-6"/>
    <s v="1-GAS"/>
  </r>
  <r>
    <x v="6"/>
    <x v="2"/>
    <s v="1-eptene"/>
    <n v="3.0511255265248878E-4"/>
    <s v="1-GAS"/>
  </r>
  <r>
    <x v="6"/>
    <x v="2"/>
    <s v="2-Eptene"/>
    <n v="3.9947618791171563E-6"/>
    <s v="1-GAS"/>
  </r>
  <r>
    <x v="6"/>
    <x v="2"/>
    <s v="2-Metiles-1-ene"/>
    <n v="6.5715585602161303E-5"/>
    <s v="1-GAS"/>
  </r>
  <r>
    <x v="6"/>
    <x v="1"/>
    <s v="Eptano"/>
    <n v="3.6542649360789502E-5"/>
    <s v="1-GAS"/>
  </r>
  <r>
    <x v="7"/>
    <x v="4"/>
    <s v="Etilbenzene"/>
    <n v="0"/>
    <s v="1-GAS"/>
  </r>
  <r>
    <x v="7"/>
    <x v="4"/>
    <s v="m-Xilene"/>
    <n v="4.2434939469165787E-2"/>
    <s v="1-GAS"/>
  </r>
  <r>
    <x v="7"/>
    <x v="4"/>
    <s v="o-Xilene"/>
    <n v="0"/>
    <s v="1-GAS"/>
  </r>
  <r>
    <x v="7"/>
    <x v="4"/>
    <s v="p-Xilene"/>
    <n v="2.7440081930822695E-7"/>
    <s v="1-GAS"/>
  </r>
  <r>
    <x v="7"/>
    <x v="2"/>
    <s v="Ottene"/>
    <n v="0"/>
    <s v="1-GAS"/>
  </r>
  <r>
    <x v="8"/>
    <x v="4"/>
    <s v="Nonene"/>
    <n v="3.0331315405092388E-2"/>
    <s v="1-GAS"/>
  </r>
  <r>
    <x v="8"/>
    <x v="4"/>
    <s v="Trimetilbenzene"/>
    <n v="0"/>
    <s v="1-GAS"/>
  </r>
  <r>
    <x v="9"/>
    <x v="2"/>
    <s v="Decene"/>
    <n v="4.9085231091620912E-7"/>
    <s v="1-GAS"/>
  </r>
  <r>
    <x v="9"/>
    <x v="1"/>
    <s v="Decano"/>
    <n v="4.3389939217189496E-3"/>
    <s v="1-GAS"/>
  </r>
  <r>
    <x v="2"/>
    <x v="1"/>
    <s v="Propane"/>
    <n v="1.9883682918626567E-2"/>
    <s v="2-DHA"/>
  </r>
  <r>
    <x v="3"/>
    <x v="3"/>
    <s v="i-Butane"/>
    <n v="6.9756425894330863E-3"/>
    <s v="2-DHA"/>
  </r>
  <r>
    <x v="3"/>
    <x v="2"/>
    <s v="Butene-1"/>
    <n v="0.12502020712023568"/>
    <s v="2-DHA"/>
  </r>
  <r>
    <x v="3"/>
    <x v="1"/>
    <s v="n-Butane"/>
    <n v="1.1946563319089729E-2"/>
    <s v="2-DHA"/>
  </r>
  <r>
    <x v="4"/>
    <x v="3"/>
    <s v="(C5-IsoParaffin)"/>
    <n v="2.012898643733339E-2"/>
    <s v="2-DHA"/>
  </r>
  <r>
    <x v="4"/>
    <x v="5"/>
    <s v="Cyclopentane"/>
    <n v="8.41926789492611E-3"/>
    <s v="2-DHA"/>
  </r>
  <r>
    <x v="4"/>
    <x v="2"/>
    <s v="1,4-Pentadiene"/>
    <n v="0.27042034335786119"/>
    <s v="2-DHA"/>
  </r>
  <r>
    <x v="4"/>
    <x v="1"/>
    <s v="n-Pentane"/>
    <n v="2.3791621733886978E-2"/>
    <s v="2-DHA"/>
  </r>
  <r>
    <x v="5"/>
    <x v="4"/>
    <s v="Benzene"/>
    <n v="2.2556645398328491E-3"/>
    <s v="2-DHA"/>
  </r>
  <r>
    <x v="5"/>
    <x v="3"/>
    <s v="3-Methylpentane"/>
    <n v="0.27053594616552756"/>
    <s v="2-DHA"/>
  </r>
  <r>
    <x v="5"/>
    <x v="5"/>
    <s v="Cyclohexane"/>
    <n v="2.7183577285660624E-2"/>
    <s v="2-DHA"/>
  </r>
  <r>
    <x v="5"/>
    <x v="2"/>
    <s v="1t,4-Hexadiene"/>
    <n v="0.10973526028219333"/>
    <s v="2-DHA"/>
  </r>
  <r>
    <x v="5"/>
    <x v="1"/>
    <s v="n-Hexane"/>
    <n v="3.0733429355222571E-3"/>
    <s v="2-DHA"/>
  </r>
  <r>
    <x v="6"/>
    <x v="4"/>
    <s v="Toluene"/>
    <n v="6.031083063378081E-3"/>
    <s v="2-DHA"/>
  </r>
  <r>
    <x v="6"/>
    <x v="3"/>
    <s v="3-Ethylpentane"/>
    <n v="0.23070936913410378"/>
    <s v="2-DHA"/>
  </r>
  <r>
    <x v="6"/>
    <x v="5"/>
    <s v="1c,3-Dimethylcyclopentane"/>
    <n v="2.4547269354730981E-2"/>
    <s v="2-DHA"/>
  </r>
  <r>
    <x v="6"/>
    <x v="2"/>
    <s v="2,4-Dimethylpentene-1"/>
    <n v="0.16102907191799229"/>
    <s v="2-DHA"/>
  </r>
  <r>
    <x v="7"/>
    <x v="4"/>
    <s v="Ethylbenzene"/>
    <n v="4.9821990523558048E-2"/>
    <s v="2-DHA"/>
  </r>
  <r>
    <x v="7"/>
    <x v="3"/>
    <s v="2-Methyl-3-ethylpentane"/>
    <n v="9.6330973754236632E-2"/>
    <s v="2-DHA"/>
  </r>
  <r>
    <x v="7"/>
    <x v="5"/>
    <s v="1c,2t,3-Trimethylcyclopentane"/>
    <n v="4.3241089228595722E-2"/>
    <s v="2-DHA"/>
  </r>
  <r>
    <x v="7"/>
    <x v="2"/>
    <s v="Octene-1"/>
    <n v="0.26445693023067812"/>
    <s v="2-DHA"/>
  </r>
  <r>
    <x v="7"/>
    <x v="1"/>
    <s v="n-Octane"/>
    <n v="9.3892036470542362E-4"/>
    <s v="2-DHA"/>
  </r>
  <r>
    <x v="8"/>
    <x v="4"/>
    <s v="1,3-Methylethylbenzene"/>
    <n v="6.5752621336127554E-2"/>
    <s v="2-DHA"/>
  </r>
  <r>
    <x v="8"/>
    <x v="3"/>
    <s v="I8 (C9)"/>
    <n v="0.25327729285513145"/>
    <s v="2-DHA"/>
  </r>
  <r>
    <x v="8"/>
    <x v="5"/>
    <s v="1,1,3-Trimethylcyclohexane"/>
    <n v="2.6312326857150185E-2"/>
    <s v="2-DHA"/>
  </r>
  <r>
    <x v="8"/>
    <x v="2"/>
    <s v="3,5,5-Trimethylhexene-1"/>
    <n v="4.6675338490491242E-2"/>
    <s v="2-DHA"/>
  </r>
  <r>
    <x v="8"/>
    <x v="1"/>
    <s v="n-Nonane"/>
    <n v="2.0213573857577119E-2"/>
    <s v="2-DHA"/>
  </r>
  <r>
    <x v="9"/>
    <x v="4"/>
    <s v="1,2-Methyl-n-propylbenzene"/>
    <n v="6.6897371090092736E-2"/>
    <s v="2-DHA"/>
  </r>
  <r>
    <x v="9"/>
    <x v="3"/>
    <s v="I15 (C10)"/>
    <n v="8.6098715485419849E-2"/>
    <s v="2-DHA"/>
  </r>
  <r>
    <x v="9"/>
    <x v="5"/>
    <s v="Sec-butylcyclohexane"/>
    <n v="5.4649112638800346E-2"/>
    <s v="2-DHA"/>
  </r>
  <r>
    <x v="9"/>
    <x v="2"/>
    <s v="Decene-1"/>
    <n v="9.3934330180664216E-2"/>
    <s v="2-DHA"/>
  </r>
  <r>
    <x v="10"/>
    <x v="4"/>
    <s v="1,2-Ethyl-i-propylbenzene"/>
    <n v="3.5749463375675854E-2"/>
    <s v="2-DHA"/>
  </r>
  <r>
    <x v="10"/>
    <x v="3"/>
    <s v="I26 (C11)"/>
    <n v="8.918615632431609E-2"/>
    <s v="2-DHA"/>
  </r>
  <r>
    <x v="10"/>
    <x v="2"/>
    <s v="Undecene-1"/>
    <n v="5.7420760442119974E-2"/>
    <s v="2-DHA"/>
  </r>
  <r>
    <x v="10"/>
    <x v="1"/>
    <s v="n-Undecane"/>
    <n v="2.317695314678252E-3"/>
    <s v="2-DHA"/>
  </r>
  <r>
    <x v="11"/>
    <x v="4"/>
    <s v="1,3-Di-i-propylbenzene"/>
    <n v="2.1764343228712207E-2"/>
    <s v="2-DHA"/>
  </r>
  <r>
    <x v="11"/>
    <x v="3"/>
    <s v="I47 (C12)"/>
    <n v="6.2865370725141492E-2"/>
    <s v="2-DHA"/>
  </r>
  <r>
    <x v="11"/>
    <x v="5"/>
    <s v="1t-M-2-(4-MP)cyclopentane"/>
    <n v="5.6560788336308702E-3"/>
    <s v="2-DHA"/>
  </r>
  <r>
    <x v="11"/>
    <x v="2"/>
    <s v="Dodecene-1"/>
    <n v="6.1748816777924256E-3"/>
    <s v="2-DHA"/>
  </r>
  <r>
    <x v="12"/>
    <x v="3"/>
    <s v="(C13-IsoParaffin)"/>
    <n v="2.2708902754767217E-2"/>
    <s v="2-DHA"/>
  </r>
  <r>
    <x v="12"/>
    <x v="2"/>
    <s v="Tridecene-1"/>
    <n v="1.9624281496545787E-3"/>
    <s v="2-DHA"/>
  </r>
  <r>
    <x v="13"/>
    <x v="3"/>
    <s v="(C14-IsoParaffin)"/>
    <n v="5.1654717962172228E-3"/>
    <s v="2-DHA"/>
  </r>
  <r>
    <x v="14"/>
    <x v="3"/>
    <s v="(C15-IsoParaffin)"/>
    <n v="4.074294075073084E-3"/>
    <s v="2-DHA"/>
  </r>
  <r>
    <x v="15"/>
    <x v="3"/>
    <s v="(C16-IsoParaffin)"/>
    <n v="1.0390154786605059E-2"/>
    <s v="2-DHA"/>
  </r>
  <r>
    <x v="16"/>
    <x v="3"/>
    <s v="(C17-IsoParaffin)"/>
    <n v="3.8487276210897982E-3"/>
    <s v="2-DHA"/>
  </r>
  <r>
    <x v="0"/>
    <x v="1"/>
    <s v="C1"/>
    <n v="0"/>
    <s v="3-ASTM"/>
  </r>
  <r>
    <x v="1"/>
    <x v="1"/>
    <s v="C2"/>
    <n v="0"/>
    <s v="3-ASTM"/>
  </r>
  <r>
    <x v="2"/>
    <x v="1"/>
    <s v="C3"/>
    <n v="0"/>
    <s v="3-ASTM"/>
  </r>
  <r>
    <x v="3"/>
    <x v="1"/>
    <s v="C4"/>
    <n v="0"/>
    <s v="3-ASTM"/>
  </r>
  <r>
    <x v="4"/>
    <x v="1"/>
    <s v="C5"/>
    <n v="0"/>
    <s v="3-ASTM"/>
  </r>
  <r>
    <x v="5"/>
    <x v="1"/>
    <s v="C6"/>
    <n v="0"/>
    <s v="3-ASTM"/>
  </r>
  <r>
    <x v="6"/>
    <x v="1"/>
    <s v="C7"/>
    <n v="0"/>
    <s v="3-ASTM"/>
  </r>
  <r>
    <x v="7"/>
    <x v="1"/>
    <s v="C8"/>
    <n v="1.5745326907267689E-2"/>
    <s v="3-ASTM"/>
  </r>
  <r>
    <x v="8"/>
    <x v="1"/>
    <s v="C9"/>
    <n v="1.952420536501193E-2"/>
    <s v="3-ASTM"/>
  </r>
  <r>
    <x v="9"/>
    <x v="1"/>
    <s v="C10"/>
    <n v="4.9755233026965891E-2"/>
    <s v="3-ASTM"/>
  </r>
  <r>
    <x v="10"/>
    <x v="1"/>
    <s v="C11"/>
    <n v="5.7312989942454394E-2"/>
    <s v="3-ASTM"/>
  </r>
  <r>
    <x v="11"/>
    <x v="1"/>
    <s v="C12"/>
    <n v="6.6130373010524282E-2"/>
    <s v="3-ASTM"/>
  </r>
  <r>
    <x v="12"/>
    <x v="1"/>
    <s v="C13"/>
    <n v="6.8649625315687107E-2"/>
    <s v="3-ASTM"/>
  </r>
  <r>
    <x v="13"/>
    <x v="1"/>
    <s v="C14"/>
    <n v="6.7389999163105715E-2"/>
    <s v="3-ASTM"/>
  </r>
  <r>
    <x v="14"/>
    <x v="1"/>
    <s v="C15"/>
    <n v="5.9832242247617212E-2"/>
    <s v="3-ASTM"/>
  </r>
  <r>
    <x v="15"/>
    <x v="1"/>
    <s v="C16"/>
    <n v="4.8495606874384499E-2"/>
    <s v="3-ASTM"/>
  </r>
  <r>
    <x v="16"/>
    <x v="1"/>
    <s v="C17"/>
    <n v="4.2197476111477332E-2"/>
    <s v="3-ASTM"/>
  </r>
  <r>
    <x v="17"/>
    <x v="1"/>
    <s v="C18"/>
    <n v="3.904841073002388E-2"/>
    <s v="3-ASTM"/>
  </r>
  <r>
    <x v="18"/>
    <x v="1"/>
    <s v="C19"/>
    <n v="1.7634766136139807E-2"/>
    <s v="3-ASTM"/>
  </r>
  <r>
    <x v="19"/>
    <x v="1"/>
    <s v="C20"/>
    <n v="1.3855887678395564E-2"/>
    <s v="3-ASTM"/>
  </r>
  <r>
    <x v="20"/>
    <x v="1"/>
    <s v="C21"/>
    <n v="1.2596261525814152E-2"/>
    <s v="3-ASTM"/>
  </r>
  <r>
    <x v="21"/>
    <x v="1"/>
    <s v="C22"/>
    <n v="1.1336635373232736E-2"/>
    <s v="3-ASTM"/>
  </r>
  <r>
    <x v="22"/>
    <x v="1"/>
    <s v="C23"/>
    <n v="1.0077009220651321E-2"/>
    <s v="3-ASTM"/>
  </r>
  <r>
    <x v="23"/>
    <x v="1"/>
    <s v="C24"/>
    <n v="9.4471961443606135E-3"/>
    <s v="3-ASTM"/>
  </r>
  <r>
    <x v="24"/>
    <x v="1"/>
    <s v="C25"/>
    <n v="8.1875699917791974E-3"/>
    <s v="3-ASTM"/>
  </r>
  <r>
    <x v="25"/>
    <x v="1"/>
    <s v="C26"/>
    <n v="6.9279438391977822E-3"/>
    <s v="3-ASTM"/>
  </r>
  <r>
    <x v="26"/>
    <x v="1"/>
    <s v="C27"/>
    <n v="5.6683176866163679E-3"/>
    <s v="3-ASTM"/>
  </r>
  <r>
    <x v="27"/>
    <x v="1"/>
    <s v="C28"/>
    <n v="0"/>
    <s v="3-ASTM"/>
  </r>
  <r>
    <x v="28"/>
    <x v="1"/>
    <s v="C29"/>
    <n v="0"/>
    <s v="3-ASTM"/>
  </r>
  <r>
    <x v="29"/>
    <x v="1"/>
    <s v="C30"/>
    <n v="0"/>
    <s v="3-ASTM"/>
  </r>
  <r>
    <x v="30"/>
    <x v="1"/>
    <s v="C31"/>
    <n v="0"/>
    <s v="3-ASTM"/>
  </r>
  <r>
    <x v="31"/>
    <x v="1"/>
    <s v="C32"/>
    <n v="0"/>
    <s v="3-ASTM"/>
  </r>
  <r>
    <x v="32"/>
    <x v="1"/>
    <s v="C33"/>
    <n v="0"/>
    <s v="3-ASTM"/>
  </r>
  <r>
    <x v="33"/>
    <x v="1"/>
    <s v="C34"/>
    <n v="0"/>
    <s v="3-ASTM"/>
  </r>
  <r>
    <x v="34"/>
    <x v="1"/>
    <s v="C35"/>
    <n v="0"/>
    <s v="3-ASTM"/>
  </r>
  <r>
    <x v="35"/>
    <x v="1"/>
    <s v="C36"/>
    <n v="0"/>
    <s v="3-ASTM"/>
  </r>
  <r>
    <x v="36"/>
    <x v="1"/>
    <s v="C37"/>
    <n v="0"/>
    <s v="3-ASTM"/>
  </r>
  <r>
    <x v="37"/>
    <x v="1"/>
    <s v="C38"/>
    <n v="0"/>
    <s v="3-ASTM"/>
  </r>
  <r>
    <x v="38"/>
    <x v="1"/>
    <s v="C39"/>
    <n v="0"/>
    <s v="3-AST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x v="0"/>
    <s v="METHANE"/>
    <s v="CH4"/>
    <s v="CH4"/>
    <n v="11.284207492384297"/>
    <n v="11.284207492384297"/>
    <n v="5.7279936180240227"/>
    <n v="5.5562138743602745"/>
    <n v="0.10862232982029039"/>
    <n v="3.3720696605982703E-2"/>
  </r>
  <r>
    <n v="2"/>
    <x v="0"/>
    <s v="METHANOL"/>
    <s v="CH4O"/>
    <s v="MEOH"/>
    <n v="0.64499028268648395"/>
    <n v="0.64499028268648395"/>
    <n v="0.32740449211068706"/>
    <n v="0.31758579057579689"/>
    <n v="6.2087078125900533E-3"/>
    <n v="1.9274301408368005E-3"/>
  </r>
  <r>
    <n v="3"/>
    <x v="1"/>
    <s v="ETHANE"/>
    <s v="C2H6"/>
    <s v="C2"/>
    <n v="0.75254127723175768"/>
    <n v="1.5050825544635154"/>
    <n v="0.7639972299680492"/>
    <n v="0.74108532449546616"/>
    <n v="1.4487997827763929E-2"/>
    <n v="4.4976514496276694E-3"/>
  </r>
  <r>
    <n v="4"/>
    <x v="1"/>
    <s v="ETHYLENE"/>
    <s v="C2H4"/>
    <s v="C2-O"/>
    <n v="2.9665605763140062"/>
    <n v="5.9331211526280123"/>
    <n v="3.0117205944815315"/>
    <n v="2.9214005581464808"/>
    <n v="5.711251261016366E-2"/>
    <n v="1.7729998181027246E-2"/>
  </r>
  <r>
    <n v="5"/>
    <x v="2"/>
    <s v="PROPANE"/>
    <s v="C3H8"/>
    <s v="C3"/>
    <n v="0.32611293825283549"/>
    <n v="0.97833881475850648"/>
    <n v="0.49661604423562683"/>
    <n v="0.48172277052287965"/>
    <n v="9.417536985597939E-3"/>
    <n v="2.9235784943332011E-3"/>
  </r>
  <r>
    <n v="6"/>
    <x v="2"/>
    <s v="PROPYLENE"/>
    <s v="C3H6-2"/>
    <s v="C3-O"/>
    <n v="2.9824519040758708"/>
    <n v="8.9473557122276119"/>
    <n v="4.5417807544233302"/>
    <n v="4.4055749578042818"/>
    <n v="8.6127680995672029E-2"/>
    <n v="2.673746185555859E-2"/>
  </r>
  <r>
    <n v="7"/>
    <x v="3"/>
    <s v="N-BUTANE"/>
    <s v="C4H10-1"/>
    <s v="C4"/>
    <n v="0.23449560985954729"/>
    <n v="0.93798243943818915"/>
    <n v="0.47613068357229532"/>
    <n v="0.46185175586589383"/>
    <n v="9.0290645551367437E-3"/>
    <n v="2.8029811826290321E-3"/>
  </r>
  <r>
    <n v="8"/>
    <x v="3"/>
    <s v="ISOBUTANE"/>
    <s v="C4H10-2"/>
    <s v="C4-IP"/>
    <n v="6.9756425894330863E-3"/>
    <n v="2.7902570357732345E-2"/>
    <n v="1.416366590595072E-2"/>
    <n v="1.3738904451781626E-2"/>
    <n v="2.6859149854138839E-4"/>
    <n v="8.3381496679779018E-5"/>
  </r>
  <r>
    <n v="9"/>
    <x v="3"/>
    <s v="1-BUTENE"/>
    <s v="C4H8-1"/>
    <s v="C4-O"/>
    <n v="1.7628374464376446"/>
    <n v="7.0513497857505785"/>
    <n v="3.5793463208199254"/>
    <n v="3.472003464930653"/>
    <n v="6.7876635787046766E-2"/>
    <n v="2.1071610651295765E-2"/>
  </r>
  <r>
    <n v="10"/>
    <x v="4"/>
    <s v="N-PENTANE"/>
    <s v="C5H12-1"/>
    <s v="C5"/>
    <n v="0.15138392685270663"/>
    <n v="0.75691963426353315"/>
    <n v="0.38422111941354403"/>
    <n v="0.37269851484998912"/>
    <n v="7.2861451914913999E-3"/>
    <n v="2.261909607682952E-3"/>
  </r>
  <r>
    <n v="11"/>
    <x v="4"/>
    <s v="2-METHYL-1-BUTANE"/>
    <s v="C5H12-5"/>
    <s v="C5-IP"/>
    <n v="2.012898643733339E-2"/>
    <n v="0.10064493218666695"/>
    <n v="5.1088526122969991E-2"/>
    <n v="4.9556406063696962E-2"/>
    <n v="9.6881300934062854E-4"/>
    <n v="3.0075813702351578E-4"/>
  </r>
  <r>
    <n v="12"/>
    <x v="4"/>
    <s v="1-PENTENE"/>
    <s v="C5H10-2"/>
    <s v="C5-O"/>
    <n v="1.3749473586741283"/>
    <n v="6.8747367933706416"/>
    <n v="3.4896955328585064"/>
    <n v="3.3850412605121352"/>
    <n v="6.6176550537658266E-2"/>
    <n v="2.0543836491104365E-2"/>
  </r>
  <r>
    <n v="13"/>
    <x v="4"/>
    <s v="CYCLOPENTANE"/>
    <m/>
    <s v="C5-N"/>
    <n v="8.41926789492611E-3"/>
    <n v="4.2096339474630554E-2"/>
    <n v="2.1368586497154837E-2"/>
    <n v="2.0727752977475717E-2"/>
    <n v="4.0522140998614881E-4"/>
    <n v="1.2579686190674019E-4"/>
  </r>
  <r>
    <n v="14"/>
    <x v="5"/>
    <s v="2,2-DIMETHYL-BUTANE"/>
    <s v="C6H14-4"/>
    <s v="C6-IP"/>
    <n v="0.41390825335664844"/>
    <n v="2.4834495201398905"/>
    <n v="1.2606275639336373"/>
    <n v="1.2228219562062532"/>
    <n v="2.3905805795465619E-2"/>
    <n v="7.4213140675966037E-3"/>
  </r>
  <r>
    <n v="15"/>
    <x v="5"/>
    <s v="N-HEXANE"/>
    <s v="C6H14-1"/>
    <s v="C6"/>
    <n v="5.0046800678118075E-3"/>
    <n v="3.0028080406870845E-2"/>
    <n v="1.5242599274087391E-2"/>
    <n v="1.4785481132783454E-2"/>
    <n v="2.8905176159040469E-4"/>
    <n v="8.9733177074555461E-5"/>
  </r>
  <r>
    <n v="16"/>
    <x v="5"/>
    <s v="2-METHYL-1-PENTENE"/>
    <s v="C6H12-D2"/>
    <s v="C6-O"/>
    <n v="0.42227517162425904"/>
    <n v="2.5336510297455543"/>
    <n v="1.2861104280896256"/>
    <n v="1.2475406016559287"/>
    <n v="2.4389047967106219E-2"/>
    <n v="7.5713316807712464E-3"/>
  </r>
  <r>
    <n v="17"/>
    <x v="5"/>
    <s v="BENZENE"/>
    <m/>
    <s v="C6-A"/>
    <n v="2.2556645398328491E-3"/>
    <n v="1.3533987238997094E-2"/>
    <n v="6.8700077150933153E-3"/>
    <n v="6.6639795239037784E-3"/>
    <n v="1.3027881901764998E-4"/>
    <n v="4.0443733231905739E-5"/>
  </r>
  <r>
    <n v="18"/>
    <x v="5"/>
    <s v="CYCLOHEXANE"/>
    <m/>
    <s v="C6-N"/>
    <n v="2.7183577285660624E-2"/>
    <n v="0.16310146371396375"/>
    <n v="8.2792180476518332E-2"/>
    <n v="8.030928323744542E-2"/>
    <n v="1.5700226176864544E-3"/>
    <n v="4.8739754011100413E-4"/>
  </r>
  <r>
    <n v="19"/>
    <x v="6"/>
    <s v="N-HEPTANE"/>
    <s v="C7H16-1"/>
    <s v="C7"/>
    <n v="3.6542649360789502E-5"/>
    <n v="2.5579854552552651E-4"/>
    <n v="1.2984628625970534E-4"/>
    <n v="1.2595225926582116E-4"/>
    <n v="2.4623292329901479E-6"/>
    <n v="7.6440504587844699E-7"/>
  </r>
  <r>
    <n v="20"/>
    <x v="6"/>
    <s v="2-METHYLHEXANE"/>
    <s v="C7H16-2"/>
    <s v="C7-IP"/>
    <n v="0.2307181649094556"/>
    <n v="1.6150271543661892"/>
    <n v="0.81980637447409854"/>
    <n v="0.79522077989209061"/>
    <n v="1.5546329890573661E-2"/>
    <n v="4.8261998655697146E-3"/>
  </r>
  <r>
    <n v="21"/>
    <x v="6"/>
    <s v="1-HEPTENE"/>
    <s v="C7H14-7"/>
    <s v="C7-O"/>
    <n v="0.16140389481812606"/>
    <n v="1.1298272637268825"/>
    <n v="0.57351332474742545"/>
    <n v="0.55631393897945702"/>
    <n v="1.0875772158862223E-2"/>
    <n v="3.3762727602283551E-3"/>
  </r>
  <r>
    <n v="22"/>
    <x v="6"/>
    <s v="TOLUENE"/>
    <s v="C7H8"/>
    <s v="C7-A"/>
    <n v="6.031083063378081E-3"/>
    <n v="4.2217581443646568E-2"/>
    <n v="2.1430130316269214E-2"/>
    <n v="2.0787451127377354E-2"/>
    <n v="4.0638849107318194E-4"/>
    <n v="1.26159170350276E-4"/>
  </r>
  <r>
    <n v="23"/>
    <x v="6"/>
    <s v="1c,3-Dimethylcyclopentane"/>
    <m/>
    <s v="C7-N"/>
    <n v="2.4547269354730981E-2"/>
    <n v="0.17183088548311687"/>
    <n v="8.7223335452753514E-2"/>
    <n v="8.4607550030363354E-2"/>
    <n v="1.6540524559528387E-3"/>
    <n v="5.1348374804558328E-4"/>
  </r>
  <r>
    <n v="24"/>
    <x v="7"/>
    <s v="N-OCTANE"/>
    <s v="C8H18-1"/>
    <s v="C8"/>
    <n v="1.6684247271973113E-2"/>
    <n v="0.13347397817578491"/>
    <n v="6.7752927769110932E-2"/>
    <n v="6.5721050406673975E-2"/>
    <n v="1.2848270017740467E-3"/>
    <n v="3.9886146420976484E-4"/>
  </r>
  <r>
    <n v="25"/>
    <x v="7"/>
    <s v="2,2,4-TRIMETHYLPENTANE"/>
    <s v="C8H18-13"/>
    <s v="C8-IP"/>
    <n v="9.6330973754236632E-2"/>
    <n v="0.77064779003389305"/>
    <n v="0.39118968931027198"/>
    <n v="0.37945810072362107"/>
    <n v="7.4182930862300208E-3"/>
    <n v="2.3029335764467667E-3"/>
  </r>
  <r>
    <n v="26"/>
    <x v="7"/>
    <s v="1-OCTENE"/>
    <s v="C8H16-16"/>
    <s v="C8-O"/>
    <n v="0.26445693023067812"/>
    <n v="2.115655441845425"/>
    <n v="1.0739310560362461"/>
    <n v="1.0417243858091789"/>
    <n v="2.0365402120204084E-2"/>
    <n v="6.3222317850335609E-3"/>
  </r>
  <r>
    <n v="27"/>
    <x v="7"/>
    <s v="1-METHYL-1-ETHYLCYCLOPENTANE"/>
    <s v="C8H16-13"/>
    <s v="C8-N"/>
    <n v="4.3241089228595722E-2"/>
    <n v="0.34592871382876578"/>
    <n v="0.17559739719778517"/>
    <n v="0.17033131663098061"/>
    <n v="3.3299266140911338E-3"/>
    <n v="1.0337418214075109E-3"/>
  </r>
  <r>
    <n v="28"/>
    <x v="7"/>
    <s v="M-XYLENE"/>
    <s v="C8H10-2"/>
    <s v="C8-A"/>
    <n v="9.2257204393543152E-2"/>
    <n v="0.73805763514834521"/>
    <n v="0.37464655153822907"/>
    <n v="0.36341108361011615"/>
    <n v="7.1045786711714997E-3"/>
    <n v="2.2055441296487321E-3"/>
  </r>
  <r>
    <n v="29"/>
    <x v="8"/>
    <s v="N-NONANE"/>
    <s v="C9H20-1"/>
    <s v="C9"/>
    <n v="3.9737779222589045E-2"/>
    <n v="0.35764001300330139"/>
    <n v="0.18154218747001152"/>
    <n v="0.17609782553328987"/>
    <n v="3.4426601492037277E-3"/>
    <n v="1.0687387998477725E-3"/>
  </r>
  <r>
    <n v="30"/>
    <x v="8"/>
    <s v="3-METHYLOCTANE"/>
    <s v="C9H20-D2"/>
    <s v="C9-IP"/>
    <n v="0.25327729285513145"/>
    <n v="2.2794956356961831"/>
    <n v="1.1570982244338794"/>
    <n v="1.1223974112623036"/>
    <n v="2.1942535790095242E-2"/>
    <n v="6.8118368789168039E-3"/>
  </r>
  <r>
    <n v="31"/>
    <x v="8"/>
    <s v="1-NONENE"/>
    <s v="C9H18-3"/>
    <s v="C9-O"/>
    <n v="4.6675338490491242E-2"/>
    <n v="0.42007804641442115"/>
    <n v="0.2132364519668527"/>
    <n v="0.20684159444756844"/>
    <n v="4.0436916937840843E-3"/>
    <n v="1.2553229248518146E-3"/>
  </r>
  <r>
    <n v="32"/>
    <x v="8"/>
    <s v="ISOPROPYLCYCLOHEXANE"/>
    <s v="C9H18-2"/>
    <s v="C9-N"/>
    <n v="2.6312326857150185E-2"/>
    <n v="0.23681094171435166"/>
    <n v="0.12020795999484529"/>
    <n v="0.11660298171950637"/>
    <n v="2.2795536357613304E-3"/>
    <n v="7.0766422222527073E-4"/>
  </r>
  <r>
    <n v="33"/>
    <x v="8"/>
    <s v="INDANE"/>
    <s v="C9H10-E1"/>
    <s v="C9-A"/>
    <n v="9.6083936741219941E-2"/>
    <n v="0.86475543067097949"/>
    <n v="0.4389598109905346"/>
    <n v="0.42579561968044488"/>
    <n v="8.324177809352129E-3"/>
    <n v="2.5841562675723729E-3"/>
  </r>
  <r>
    <n v="34"/>
    <x v="9"/>
    <s v="N-DECANE"/>
    <s v="C10H22-1"/>
    <s v="C10"/>
    <n v="5.4094226948684841E-2"/>
    <n v="0.54094226948684843"/>
    <n v="0.27458852289195174"/>
    <n v="0.26635374659489669"/>
    <n v="5.2071365800028819E-3"/>
    <n v="1.6165025468583907E-3"/>
  </r>
  <r>
    <n v="35"/>
    <x v="9"/>
    <s v="2-METHYLNONANE"/>
    <s v="C10H22-E2"/>
    <s v="C10-IP"/>
    <n v="8.6098715485419849E-2"/>
    <n v="0.86098715485419852"/>
    <n v="0.43704699080851978"/>
    <n v="0.42394016404567875"/>
    <n v="8.2879042031728332E-3"/>
    <n v="2.5728954957697373E-3"/>
  </r>
  <r>
    <n v="36"/>
    <x v="9"/>
    <s v="1-DECENE"/>
    <s v="C10H20-5"/>
    <s v="C10-O"/>
    <n v="9.3934821032975138E-2"/>
    <n v="0.93934821032975135"/>
    <n v="0.47682396459852877"/>
    <n v="0.46252424573122258"/>
    <n v="9.0422115321258101E-3"/>
    <n v="2.8070625278097845E-3"/>
  </r>
  <r>
    <n v="37"/>
    <x v="9"/>
    <s v="1-PROPYL-1-METHYLCYCLOHEXANE"/>
    <s v="C10H20-N24"/>
    <s v="C10-N"/>
    <n v="5.4649112638800346E-2"/>
    <n v="0.54649112638800346"/>
    <n v="0.27740518652903884"/>
    <n v="0.26908593985896462"/>
    <n v="5.2605501462501909E-3"/>
    <n v="1.633084244793327E-3"/>
  </r>
  <r>
    <n v="38"/>
    <x v="9"/>
    <s v="1,2-DIMETHYL-3-ETHYLBENZENE"/>
    <s v="C10H14-D3"/>
    <s v="C10-A"/>
    <n v="6.6897371090092736E-2"/>
    <n v="0.66897371090092739"/>
    <n v="0.33957875635063345"/>
    <n v="0.32939495455029394"/>
    <n v="6.4395734583599252E-3"/>
    <n v="1.9991000305420747E-3"/>
  </r>
  <r>
    <n v="39"/>
    <x v="10"/>
    <s v="N-UNDECANE"/>
    <s v="C11H24"/>
    <s v="C11"/>
    <n v="5.9630685257132644E-2"/>
    <n v="0.65593753782845909"/>
    <n v="0.33296144483691387"/>
    <n v="0.32297609299154523"/>
    <n v="6.3140866227068488E-3"/>
    <n v="1.9601439197672187E-3"/>
  </r>
  <r>
    <n v="40"/>
    <x v="10"/>
    <s v="3-ETHYLNONANE"/>
    <s v="C11H24-N8"/>
    <s v="C11-IP"/>
    <n v="8.918615632431609E-2"/>
    <n v="0.98104771956747694"/>
    <n v="0.49799111549943414"/>
    <n v="0.48305660406804279"/>
    <n v="9.4436130349625329E-3"/>
    <n v="2.9316735384255252E-3"/>
  </r>
  <r>
    <n v="41"/>
    <x v="10"/>
    <s v="1-ETHYL-2-ISOPROPYLBENZENE"/>
    <s v="C11H16-D1"/>
    <s v="C11-A"/>
    <n v="3.5749463375675854E-2"/>
    <n v="0.39324409713243441"/>
    <n v="0.19961523042007279"/>
    <n v="0.19362886671236162"/>
    <n v="3.7853867936609624E-3"/>
    <n v="1.1751347979418042E-3"/>
  </r>
  <r>
    <n v="42"/>
    <x v="10"/>
    <s v="Undecene-1"/>
    <m/>
    <s v="C11-O"/>
    <n v="5.7420760442119974E-2"/>
    <n v="0.63162836486331975"/>
    <n v="0.32062182881179779"/>
    <n v="0.31100653605152195"/>
    <n v="6.0800853421330969E-3"/>
    <n v="1.8875006041552849E-3"/>
  </r>
  <r>
    <n v="43"/>
    <x v="11"/>
    <s v="2-METHYLUNDECANE"/>
    <s v="C12H26-N9"/>
    <s v="C12-IP"/>
    <n v="6.2865370725141492E-2"/>
    <n v="0.75438444870169796"/>
    <n v="0.38293423003930138"/>
    <n v="0.37145021866239658"/>
    <n v="7.2617413720438093E-3"/>
    <n v="2.2543336903464257E-3"/>
  </r>
  <r>
    <n v="44"/>
    <x v="11"/>
    <s v="N-DODECANE"/>
    <s v="C12H26"/>
    <s v="C12"/>
    <n v="6.6130373010524282E-2"/>
    <n v="0.79356447612629144"/>
    <n v="0.40282246296957497"/>
    <n v="0.39074201315671647"/>
    <n v="7.6388902204812788E-3"/>
    <n v="2.3714157112761599E-3"/>
  </r>
  <r>
    <n v="45"/>
    <x v="11"/>
    <s v="1-DODECENE"/>
    <s v="C12H24-2"/>
    <s v="C12-O"/>
    <n v="6.1748816777924256E-3"/>
    <n v="7.4098580133509104E-2"/>
    <n v="3.7613292240135911E-2"/>
    <n v="3.6485287893373193E-2"/>
    <n v="7.1327653412163374E-4"/>
    <n v="2.2142943944468397E-4"/>
  </r>
  <r>
    <n v="46"/>
    <x v="11"/>
    <s v="1,2,4-TRIETHYLBENZENE"/>
    <s v="C12H18-D6"/>
    <s v="C12-A"/>
    <n v="2.1764343228712207E-2"/>
    <n v="0.26117211874454649"/>
    <n v="0.13257397388201328"/>
    <n v="0.12859814486253321"/>
    <n v="2.514055509993101E-3"/>
    <n v="7.8046294204270133E-4"/>
  </r>
  <r>
    <n v="47"/>
    <x v="11"/>
    <m/>
    <m/>
    <s v="C12-N"/>
    <n v="5.6560788336308702E-3"/>
    <n v="6.7872946003570439E-2"/>
    <n v="3.4453088691192985E-2"/>
    <n v="3.3419857312377454E-2"/>
    <n v="6.5334827737351477E-4"/>
    <n v="2.0282532215800734E-4"/>
  </r>
  <r>
    <n v="48"/>
    <x v="12"/>
    <s v="2-METHYLDODECANE"/>
    <s v="C13H28-N1"/>
    <s v="C13-IP"/>
    <n v="2.2708902754767217E-2"/>
    <n v="0.2952157358119738"/>
    <n v="0.14985490578868763"/>
    <n v="0.14536083002328617"/>
    <n v="2.8417610226637484E-3"/>
    <n v="8.8219578267645761E-4"/>
  </r>
  <r>
    <n v="49"/>
    <x v="12"/>
    <s v="1-TRIDECENE"/>
    <s v="C13H26-2"/>
    <s v="C13-O"/>
    <n v="1.9624281496545787E-3"/>
    <n v="2.5511565945509521E-2"/>
    <n v="1.2949964542950899E-2"/>
    <n v="1.2561601402558622E-2"/>
    <n v="2.4557557384827016E-4"/>
    <n v="7.6236437142142315E-5"/>
  </r>
  <r>
    <n v="50"/>
    <x v="12"/>
    <s v="N-TRIDECANE"/>
    <s v="C13H28"/>
    <s v="C13"/>
    <n v="6.8649625315687107E-2"/>
    <n v="0.89244512910393237"/>
    <n v="0.45301542065705369"/>
    <n v="0.43942970844687868"/>
    <n v="8.5907201923983902E-3"/>
    <n v="2.6669016372050142E-3"/>
  </r>
  <r>
    <n v="51"/>
    <x v="13"/>
    <s v="2-METHYLTRIDECANE"/>
    <s v="C14H30-N1"/>
    <s v="C14-IP"/>
    <n v="5.1654717962172228E-3"/>
    <n v="7.2316605147041121E-2"/>
    <n v="3.6708741224315271E-2"/>
    <n v="3.5607863922725851E-2"/>
    <n v="6.9612315628430948E-4"/>
    <n v="2.1610434790248298E-4"/>
  </r>
  <r>
    <n v="52"/>
    <x v="13"/>
    <s v="N-TETRADECANE"/>
    <s v="C14H30"/>
    <s v=" C14 "/>
    <n v="6.7389999163105715E-2"/>
    <n v="0.94345998828347999"/>
    <n v="0.4789111504193837"/>
    <n v="0.46454883786409629"/>
    <n v="9.0817917065721902E-3"/>
    <n v="2.8193497900727681E-3"/>
  </r>
  <r>
    <n v="53"/>
    <x v="14"/>
    <s v="2-METHYLTETRADECANE"/>
    <s v="C15H32-N1"/>
    <s v="C15-IP "/>
    <n v="4.074294075073084E-3"/>
    <n v="6.1114411126096259E-2"/>
    <n v="3.1022378588468257E-2"/>
    <n v="3.0092032537628002E-2"/>
    <n v="5.8829029212657574E-4"/>
    <n v="1.8262873287532439E-4"/>
  </r>
  <r>
    <n v="54"/>
    <x v="14"/>
    <s v="N-PENTADECANE"/>
    <s v="C15H32"/>
    <s v="C15"/>
    <n v="5.9832242247617212E-2"/>
    <n v="0.89748363371425821"/>
    <n v="0.45557302359654317"/>
    <n v="0.44191061011771504"/>
    <n v="8.6392210826871617E-3"/>
    <n v="2.6819582448956571E-3"/>
  </r>
  <r>
    <n v="55"/>
    <x v="15"/>
    <s v="2-METHYLPENTADECANE"/>
    <s v="C16H34-N1"/>
    <s v="C16-IP"/>
    <n v="1.0390154786605059E-2"/>
    <n v="0.16624247658568095"/>
    <n v="8.4386594767062881E-2"/>
    <n v="8.1855881818618068E-2"/>
    <n v="1.6002581602668003E-3"/>
    <n v="4.9678385653190876E-4"/>
  </r>
  <r>
    <n v="56"/>
    <x v="15"/>
    <s v="N-HEXADECANE"/>
    <s v="C16H34"/>
    <s v="C16"/>
    <n v="4.8495606874384499E-2"/>
    <n v="0.77592970999015198"/>
    <n v="0.3938708526813624"/>
    <n v="0.38205885730878958"/>
    <n v="7.4691371044705883E-3"/>
    <n v="2.3187175843589129E-3"/>
  </r>
  <r>
    <n v="57"/>
    <x v="16"/>
    <s v="14-METHYLHEXADECANE"/>
    <s v="C17H36-N10"/>
    <s v="C17-IP"/>
    <n v="3.8487276210897982E-3"/>
    <n v="6.5428369558526572E-2"/>
    <n v="3.3212193547654242E-2"/>
    <n v="3.221617601087233E-2"/>
    <n v="6.2981666568845147E-4"/>
    <n v="1.9552017284299434E-4"/>
  </r>
  <r>
    <n v="58"/>
    <x v="16"/>
    <s v="N-HEPTADECANE"/>
    <s v="C17H36"/>
    <s v="C17"/>
    <n v="4.2197476111477332E-2"/>
    <n v="0.71735709389511459"/>
    <n v="0.36413871850979773"/>
    <n v="0.35321837538531686"/>
    <n v="6.9053142548636216E-3"/>
    <n v="2.1436845199551916E-3"/>
  </r>
  <r>
    <n v="59"/>
    <x v="17"/>
    <s v="N-OCTADECANE"/>
    <s v="C18H38"/>
    <s v="C18"/>
    <n v="3.904841073002388E-2"/>
    <n v="0.70287139314042979"/>
    <n v="0.35678561005876652"/>
    <n v="0.34608578308166327"/>
    <n v="6.7658741952834212E-3"/>
    <n v="2.1003967728445995E-3"/>
  </r>
  <r>
    <n v="60"/>
    <x v="18"/>
    <s v="N-NONADECANE"/>
    <s v="C19H40"/>
    <s v="C19"/>
    <n v="1.7634766136139807E-2"/>
    <n v="0.33506055658665634"/>
    <n v="0.17008059547604276"/>
    <n v="0.16497996111061358"/>
    <n v="3.2253092042032068E-3"/>
    <n v="1.0012644114277118E-3"/>
  </r>
  <r>
    <n v="61"/>
    <x v="19"/>
    <s v="N-EICOSANE"/>
    <s v="C20H42"/>
    <s v="C20"/>
    <n v="1.3855887678395564E-2"/>
    <n v="0.2771177535679113"/>
    <n v="0.14066816167191507"/>
    <n v="0.13644959189599623"/>
    <n v="2.6675489658823516E-3"/>
    <n v="8.281134229853257E-4"/>
  </r>
  <r>
    <n v="62"/>
    <x v="20"/>
    <s v="N-HENEICOSANE"/>
    <s v="C21H44"/>
    <s v="C21"/>
    <n v="1.2596261525814152E-2"/>
    <n v="0.26452149204209718"/>
    <n v="0.13427415432319167"/>
    <n v="0.13024733771890551"/>
    <n v="2.5462967401604268E-3"/>
    <n v="7.9047190375872004E-4"/>
  </r>
  <r>
    <n v="63"/>
    <x v="21"/>
    <s v="N-DOCOSANE"/>
    <s v="C22H46"/>
    <s v="C22"/>
    <n v="1.1336635373232736E-2"/>
    <n v="0.24940597821112018"/>
    <n v="0.12660134550472357"/>
    <n v="0.1228046327063966"/>
    <n v="2.4007940692941164E-3"/>
    <n v="7.4530208068679317E-4"/>
  </r>
  <r>
    <n v="64"/>
    <x v="22"/>
    <s v="N-TRICOSANE"/>
    <s v="C23H48"/>
    <s v="C23"/>
    <n v="1.0077009220651321E-2"/>
    <n v="0.23177121207498039"/>
    <n v="0.1176497352165108"/>
    <n v="0.11412147685846959"/>
    <n v="2.2310409532834215E-3"/>
    <n v="6.9260395376954519E-4"/>
  </r>
  <r>
    <n v="65"/>
    <x v="23"/>
    <s v="N-TETRACOSANE"/>
    <s v="C24H50"/>
    <s v="C24"/>
    <n v="9.4471961443606135E-3"/>
    <n v="0.22673270746465474"/>
    <n v="0.11509213227702145"/>
    <n v="0.11164057518763329"/>
    <n v="2.1825400629946518E-3"/>
    <n v="6.7754734607890286E-4"/>
  </r>
  <r>
    <n v="66"/>
    <x v="24"/>
    <s v="N-PENTACOSANE"/>
    <s v="C25H52"/>
    <s v="C25"/>
    <n v="8.1875699917791974E-3"/>
    <n v="0.20468924979447994"/>
    <n v="0.10390261941675545"/>
    <n v="0.10078663037772449"/>
    <n v="1.9703486679812825E-3"/>
    <n v="6.1167468743234291E-4"/>
  </r>
  <r>
    <n v="67"/>
    <x v="25"/>
    <s v="N-HEXACOSANE"/>
    <s v="C26H54"/>
    <s v="C26"/>
    <n v="6.9279438391977822E-3"/>
    <n v="0.18012653981914234"/>
    <n v="9.1434305086744799E-2"/>
    <n v="8.869223473239754E-2"/>
    <n v="1.7339068278235286E-3"/>
    <n v="5.3827372494046164E-4"/>
  </r>
  <r>
    <n v="68"/>
    <x v="26"/>
    <s v="N-HEPTACOSANE"/>
    <s v="C27H56"/>
    <s v="C27"/>
    <n v="5.6683176866163679E-3"/>
    <n v="0.15304457753864192"/>
    <n v="7.7687189286989464E-2"/>
    <n v="7.535738825165246E-2"/>
    <n v="1.4732145425213896E-3"/>
    <n v="4.5734445860325942E-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s v="Ottene"/>
    <n v="0"/>
    <s v="1-GAS"/>
    <n v="1"/>
  </r>
  <r>
    <x v="1"/>
    <x v="1"/>
    <s v="Toluene"/>
    <n v="0"/>
    <s v="1-GAS"/>
    <n v="2"/>
  </r>
  <r>
    <x v="2"/>
    <x v="1"/>
    <s v="Nonene"/>
    <n v="3.10974113820444E-4"/>
    <s v="1-GAS"/>
    <n v="3"/>
  </r>
  <r>
    <x v="0"/>
    <x v="1"/>
    <s v="p-Xilene"/>
    <n v="0"/>
    <s v="1-GAS"/>
    <n v="4"/>
  </r>
  <r>
    <x v="0"/>
    <x v="1"/>
    <s v="m-Xilene"/>
    <n v="3.5396185810477494E-2"/>
    <s v="1-GAS"/>
    <n v="5"/>
  </r>
  <r>
    <x v="0"/>
    <x v="1"/>
    <s v="Etilbenzene"/>
    <n v="0"/>
    <s v="1-GAS"/>
    <n v="6"/>
  </r>
  <r>
    <x v="0"/>
    <x v="1"/>
    <s v="o-Xilene"/>
    <n v="0"/>
    <s v="1-GAS"/>
    <n v="7"/>
  </r>
  <r>
    <x v="2"/>
    <x v="1"/>
    <s v="Trimetilbenzene"/>
    <n v="0"/>
    <s v="1-GAS"/>
    <n v="8"/>
  </r>
  <r>
    <x v="3"/>
    <x v="0"/>
    <s v="Decene"/>
    <n v="0"/>
    <s v="1-GAS"/>
    <n v="9"/>
  </r>
  <r>
    <x v="3"/>
    <x v="2"/>
    <s v="Decano"/>
    <n v="2.0346410411596627E-3"/>
    <s v="1-GAS"/>
    <n v="10"/>
  </r>
  <r>
    <x v="4"/>
    <x v="2"/>
    <s v="*CH4"/>
    <n v="12.780415015702763"/>
    <s v="1-GAS"/>
    <n v="11"/>
  </r>
  <r>
    <x v="5"/>
    <x v="0"/>
    <s v="*Etilene"/>
    <n v="3.7332760249047356"/>
    <s v="1-GAS"/>
    <n v="12"/>
  </r>
  <r>
    <x v="5"/>
    <x v="0"/>
    <s v="*Acetilene"/>
    <n v="0"/>
    <s v="1-GAS"/>
    <n v="13"/>
  </r>
  <r>
    <x v="5"/>
    <x v="2"/>
    <s v="*Etano"/>
    <n v="0.85144978553306494"/>
    <s v="1-GAS"/>
    <n v="14"/>
  </r>
  <r>
    <x v="6"/>
    <x v="0"/>
    <s v="*Propilene"/>
    <n v="3.720086299119822"/>
    <s v="1-GAS"/>
    <n v="15"/>
  </r>
  <r>
    <x v="6"/>
    <x v="2"/>
    <s v="*Propano"/>
    <n v="0.36821667279847131"/>
    <s v="1-GAS"/>
    <n v="16"/>
  </r>
  <r>
    <x v="5"/>
    <x v="3"/>
    <s v="*DME"/>
    <n v="1.3783850759797726E-3"/>
    <s v="1-GAS"/>
    <n v="17"/>
  </r>
  <r>
    <x v="4"/>
    <x v="3"/>
    <s v="Metanolo"/>
    <n v="0.93023540589214981"/>
    <s v="1-GAS"/>
    <n v="18"/>
  </r>
  <r>
    <x v="7"/>
    <x v="0"/>
    <s v="2-Metilpropene"/>
    <n v="2.7294049315717408E-2"/>
    <s v="1-GAS"/>
    <n v="19"/>
  </r>
  <r>
    <x v="7"/>
    <x v="0"/>
    <s v="*1-Butene"/>
    <n v="2.0079882866377279"/>
    <s v="1-GAS"/>
    <n v="20"/>
  </r>
  <r>
    <x v="7"/>
    <x v="2"/>
    <s v="*N-Butano"/>
    <n v="0.26740996050100813"/>
    <s v="1-GAS"/>
    <n v="21"/>
  </r>
  <r>
    <x v="7"/>
    <x v="0"/>
    <s v="2-Butene"/>
    <n v="3.5992252413664064E-2"/>
    <s v="1-GAS"/>
    <n v="22"/>
  </r>
  <r>
    <x v="8"/>
    <x v="0"/>
    <s v="3-Metilbut-1-ene"/>
    <n v="1.7945319805876735E-2"/>
    <s v="1-GAS"/>
    <n v="23"/>
  </r>
  <r>
    <x v="8"/>
    <x v="4"/>
    <s v="2-Metilbutano"/>
    <n v="6.5627972849214927E-2"/>
    <s v="1-GAS"/>
    <n v="24"/>
  </r>
  <r>
    <x v="8"/>
    <x v="0"/>
    <s v="2-Metilbut-1-ene"/>
    <n v="0.14721053970045297"/>
    <s v="1-GAS"/>
    <n v="25"/>
  </r>
  <r>
    <x v="8"/>
    <x v="0"/>
    <s v="*1-Pentene"/>
    <n v="0.98314259057901432"/>
    <s v="1-GAS"/>
    <n v="26"/>
  </r>
  <r>
    <x v="8"/>
    <x v="0"/>
    <s v="2-Pentene"/>
    <n v="1.5278814627944184E-2"/>
    <s v="1-GAS"/>
    <n v="27"/>
  </r>
  <r>
    <x v="8"/>
    <x v="2"/>
    <s v="*Pentano"/>
    <n v="0"/>
    <s v="1-GAS"/>
    <n v="28"/>
  </r>
  <r>
    <x v="9"/>
    <x v="0"/>
    <s v="2-Metilbut-2-ene"/>
    <n v="1.0687713660490971E-3"/>
    <s v="1-GAS"/>
    <n v="29"/>
  </r>
  <r>
    <x v="9"/>
    <x v="4"/>
    <s v="2,2-Dimetilbutano"/>
    <n v="4.5584925831352485E-2"/>
    <s v="1-GAS"/>
    <n v="30"/>
  </r>
  <r>
    <x v="9"/>
    <x v="0"/>
    <s v="3-Metilpent-1-ene"/>
    <n v="9.4779324762036765E-2"/>
    <s v="1-GAS"/>
    <n v="31"/>
  </r>
  <r>
    <x v="9"/>
    <x v="0"/>
    <s v="4-Metilpent-2-ene"/>
    <n v="0.37655864831263614"/>
    <s v="1-GAS"/>
    <n v="32"/>
  </r>
  <r>
    <x v="9"/>
    <x v="0"/>
    <s v="1-Esene"/>
    <n v="3.3946382002541582E-2"/>
    <s v="1-GAS"/>
    <n v="33"/>
  </r>
  <r>
    <x v="9"/>
    <x v="2"/>
    <s v="Esano"/>
    <n v="1.519724831577126E-3"/>
    <s v="1-GAS"/>
    <n v="34"/>
  </r>
  <r>
    <x v="9"/>
    <x v="0"/>
    <s v="2,3-Dimetilbut-2-ene"/>
    <n v="3.0867696380500339E-3"/>
    <s v="1-GAS"/>
    <n v="35"/>
  </r>
  <r>
    <x v="1"/>
    <x v="4"/>
    <s v="2,2-Dimetilpentano"/>
    <n v="5.5340367193050164E-4"/>
    <s v="1-GAS"/>
    <n v="36"/>
  </r>
  <r>
    <x v="1"/>
    <x v="0"/>
    <s v="2-Metiles-1-ene"/>
    <n v="5.0169138078610896E-5"/>
    <s v="1-GAS"/>
    <n v="37"/>
  </r>
  <r>
    <x v="1"/>
    <x v="0"/>
    <s v="1-eptene"/>
    <n v="5.3147826216079475E-4"/>
    <s v="1-GAS"/>
    <n v="38"/>
  </r>
  <r>
    <x v="1"/>
    <x v="2"/>
    <s v="Eptano"/>
    <n v="1.5354985472503198E-5"/>
    <s v="1-GAS"/>
    <n v="39"/>
  </r>
  <r>
    <x v="1"/>
    <x v="0"/>
    <s v="2-Eptene"/>
    <n v="1.0071992072931525E-2"/>
    <s v="1-GAS"/>
    <n v="40"/>
  </r>
  <r>
    <x v="6"/>
    <x v="2"/>
    <s v="Propane"/>
    <n v="2.1944762553205616E-2"/>
    <s v="2-DHA"/>
    <n v="1"/>
  </r>
  <r>
    <x v="7"/>
    <x v="0"/>
    <s v="Butene-1"/>
    <n v="0.13797940607049589"/>
    <s v="2-DHA"/>
    <n v="2"/>
  </r>
  <r>
    <x v="7"/>
    <x v="2"/>
    <s v="n-Butane"/>
    <n v="1.3184906258924023E-2"/>
    <s v="2-DHA"/>
    <n v="3"/>
  </r>
  <r>
    <x v="7"/>
    <x v="4"/>
    <s v="i-Butane"/>
    <n v="7.6987156206226167E-3"/>
    <s v="2-DHA"/>
    <n v="4"/>
  </r>
  <r>
    <x v="8"/>
    <x v="0"/>
    <s v="1,4-Pentadiene"/>
    <n v="0.29845126020318269"/>
    <s v="2-DHA"/>
    <n v="5"/>
  </r>
  <r>
    <x v="8"/>
    <x v="2"/>
    <s v="n-Pentane"/>
    <n v="2.6257785936464689E-2"/>
    <s v="2-DHA"/>
    <n v="6"/>
  </r>
  <r>
    <x v="8"/>
    <x v="4"/>
    <s v="(C5-IsoParaffin)"/>
    <n v="2.2215493458215389E-2"/>
    <s v="2-DHA"/>
    <n v="7"/>
  </r>
  <r>
    <x v="8"/>
    <x v="5"/>
    <s v="Cyclopentane"/>
    <n v="9.2919825558525175E-3"/>
    <s v="2-DHA"/>
    <n v="8"/>
  </r>
  <r>
    <x v="9"/>
    <x v="4"/>
    <s v="3-Methylpentane"/>
    <n v="0.29857884603198037"/>
    <s v="2-DHA"/>
    <n v="9"/>
  </r>
  <r>
    <x v="9"/>
    <x v="0"/>
    <s v="1t,4-Hexadiene"/>
    <n v="0.12111007002385271"/>
    <s v="2-DHA"/>
    <n v="10"/>
  </r>
  <r>
    <x v="9"/>
    <x v="5"/>
    <s v="Cyclohexane"/>
    <n v="3.0001340864358388E-2"/>
    <s v="2-DHA"/>
    <n v="11"/>
  </r>
  <r>
    <x v="9"/>
    <x v="2"/>
    <s v="n-Hexane"/>
    <n v="3.3919159363292855E-3"/>
    <s v="2-DHA"/>
    <n v="12"/>
  </r>
  <r>
    <x v="9"/>
    <x v="1"/>
    <s v="Benzene"/>
    <n v="2.4894795862967231E-3"/>
    <s v="2-DHA"/>
    <n v="13"/>
  </r>
  <r>
    <x v="1"/>
    <x v="4"/>
    <s v="3-Ethylpentane"/>
    <n v="0.25462397208642884"/>
    <s v="2-DHA"/>
    <n v="14"/>
  </r>
  <r>
    <x v="1"/>
    <x v="0"/>
    <s v="2,4-Dimethylpentene-1"/>
    <n v="0.17772083581624015"/>
    <s v="2-DHA"/>
    <n v="15"/>
  </r>
  <r>
    <x v="1"/>
    <x v="5"/>
    <s v="1c,3-Dimethylcyclopentane"/>
    <n v="2.7091761597874093E-2"/>
    <s v="2-DHA"/>
    <n v="16"/>
  </r>
  <r>
    <x v="1"/>
    <x v="1"/>
    <s v="Toluene"/>
    <n v="6.6562460438608648E-3"/>
    <s v="2-DHA"/>
    <n v="17"/>
  </r>
  <r>
    <x v="0"/>
    <x v="0"/>
    <s v="Octene-1"/>
    <n v="0.29186969854691081"/>
    <s v="2-DHA"/>
    <n v="18"/>
  </r>
  <r>
    <x v="0"/>
    <x v="1"/>
    <s v="Ethylbenzene"/>
    <n v="5.498638036232887E-2"/>
    <s v="2-DHA"/>
    <n v="19"/>
  </r>
  <r>
    <x v="0"/>
    <x v="4"/>
    <s v="2-Methyl-3-ethylpentane"/>
    <n v="0.10631633758228447"/>
    <s v="2-DHA"/>
    <n v="20"/>
  </r>
  <r>
    <x v="0"/>
    <x v="5"/>
    <s v="1c,2t,3-Trimethylcyclopentane"/>
    <n v="4.7723323669308183E-2"/>
    <s v="2-DHA"/>
    <n v="21"/>
  </r>
  <r>
    <x v="0"/>
    <x v="2"/>
    <s v="n-Octane"/>
    <n v="1.0362458777960111E-3"/>
    <s v="2-DHA"/>
    <n v="22"/>
  </r>
  <r>
    <x v="2"/>
    <x v="4"/>
    <s v="I8 (C9)"/>
    <n v="0.27953121534732756"/>
    <s v="2-DHA"/>
    <n v="23"/>
  </r>
  <r>
    <x v="2"/>
    <x v="0"/>
    <s v="3,5,5-Trimethylhexene-1"/>
    <n v="5.151355633944496E-2"/>
    <s v="2-DHA"/>
    <n v="24"/>
  </r>
  <r>
    <x v="2"/>
    <x v="1"/>
    <s v="1,3-Methylethylbenzene"/>
    <n v="7.2568329940549486E-2"/>
    <s v="2-DHA"/>
    <n v="25"/>
  </r>
  <r>
    <x v="2"/>
    <x v="2"/>
    <s v="n-Nonane"/>
    <n v="2.230884894270151E-2"/>
    <s v="2-DHA"/>
    <n v="26"/>
  </r>
  <r>
    <x v="2"/>
    <x v="5"/>
    <s v="1,1,3-Trimethylcyclohexane"/>
    <n v="2.9039779374151278E-2"/>
    <s v="2-DHA"/>
    <n v="27"/>
  </r>
  <r>
    <x v="3"/>
    <x v="0"/>
    <s v="Decene-1"/>
    <n v="0.10367126552184416"/>
    <s v="2-DHA"/>
    <n v="28"/>
  </r>
  <r>
    <x v="3"/>
    <x v="4"/>
    <s v="I15 (C10)"/>
    <n v="9.5023435808945927E-2"/>
    <s v="2-DHA"/>
    <n v="29"/>
  </r>
  <r>
    <x v="3"/>
    <x v="1"/>
    <s v="1,2-Methyl-n-propylbenzene"/>
    <n v="7.3831740830595086E-2"/>
    <s v="2-DHA"/>
    <n v="30"/>
  </r>
  <r>
    <x v="3"/>
    <x v="5"/>
    <s v="Sec-butylcyclohexane"/>
    <n v="6.0313866677003856E-2"/>
    <s v="2-DHA"/>
    <n v="31"/>
  </r>
  <r>
    <x v="10"/>
    <x v="0"/>
    <s v="Undecene-1"/>
    <n v="6.3372814718665973E-2"/>
    <s v="2-DHA"/>
    <n v="32"/>
  </r>
  <r>
    <x v="10"/>
    <x v="4"/>
    <s v="I26 (C11)"/>
    <n v="9.843091099268958E-2"/>
    <s v="2-DHA"/>
    <n v="33"/>
  </r>
  <r>
    <x v="10"/>
    <x v="1"/>
    <s v="1,2-Ethyl-i-propylbenzene"/>
    <n v="3.9455139593320178E-2"/>
    <s v="2-DHA"/>
    <n v="34"/>
  </r>
  <r>
    <x v="10"/>
    <x v="2"/>
    <s v="n-Undecane"/>
    <n v="2.5579402749198827E-3"/>
    <s v="2-DHA"/>
    <n v="35"/>
  </r>
  <r>
    <x v="11"/>
    <x v="4"/>
    <s v="I47 (C12)"/>
    <n v="6.9381796070089666E-2"/>
    <s v="2-DHA"/>
    <n v="36"/>
  </r>
  <r>
    <x v="11"/>
    <x v="0"/>
    <s v="Dodecene-1"/>
    <n v="6.8149503674872804E-3"/>
    <s v="2-DHA"/>
    <n v="37"/>
  </r>
  <r>
    <x v="11"/>
    <x v="5"/>
    <s v="1t-M-2-(4-MP)cyclopentane"/>
    <n v="6.2423700626390334E-3"/>
    <s v="2-DHA"/>
    <n v="38"/>
  </r>
  <r>
    <x v="11"/>
    <x v="1"/>
    <s v="1,3-Di-i-propylbenzene"/>
    <n v="2.4020366158280512E-2"/>
    <s v="2-DHA"/>
    <n v="39"/>
  </r>
  <r>
    <x v="12"/>
    <x v="4"/>
    <s v="(C13-IsoParaffin)"/>
    <n v="2.5062835735042269E-2"/>
    <s v="2-DHA"/>
    <n v="40"/>
  </r>
  <r>
    <x v="12"/>
    <x v="0"/>
    <s v="Tridecene-1"/>
    <n v="2.165847240078149E-3"/>
    <s v="2-DHA"/>
    <n v="41"/>
  </r>
  <r>
    <x v="13"/>
    <x v="4"/>
    <s v="(C14-IsoParaffin)"/>
    <n v="5.7009082526194941E-3"/>
    <s v="2-DHA"/>
    <n v="42"/>
  </r>
  <r>
    <x v="14"/>
    <x v="4"/>
    <s v="(C15-IsoParaffin)"/>
    <n v="4.496622502748457E-3"/>
    <s v="2-DHA"/>
    <n v="43"/>
  </r>
  <r>
    <x v="15"/>
    <x v="4"/>
    <s v="(C16-IsoParaffin)"/>
    <n v="1.146716534437928E-2"/>
    <s v="2-DHA"/>
    <n v="44"/>
  </r>
  <r>
    <x v="16"/>
    <x v="4"/>
    <s v="(C17-IsoParaffin)"/>
    <n v="4.2476745441187838E-3"/>
    <s v="2-DHA"/>
    <n v="45"/>
  </r>
  <r>
    <x v="4"/>
    <x v="2"/>
    <s v="C1"/>
    <n v="0"/>
    <s v="3-ASTM"/>
    <m/>
  </r>
  <r>
    <x v="5"/>
    <x v="2"/>
    <s v="C2"/>
    <n v="0"/>
    <s v="3-ASTM"/>
    <m/>
  </r>
  <r>
    <x v="6"/>
    <x v="2"/>
    <s v="C3"/>
    <n v="0"/>
    <s v="3-ASTM"/>
    <m/>
  </r>
  <r>
    <x v="7"/>
    <x v="2"/>
    <s v="C4"/>
    <n v="0"/>
    <s v="3-ASTM"/>
    <m/>
  </r>
  <r>
    <x v="8"/>
    <x v="2"/>
    <s v="C5"/>
    <n v="0"/>
    <s v="3-ASTM"/>
    <m/>
  </r>
  <r>
    <x v="9"/>
    <x v="2"/>
    <s v="C6"/>
    <n v="0"/>
    <s v="3-ASTM"/>
    <m/>
  </r>
  <r>
    <x v="1"/>
    <x v="2"/>
    <s v="C7"/>
    <n v="0"/>
    <s v="3-ASTM"/>
    <m/>
  </r>
  <r>
    <x v="0"/>
    <x v="2"/>
    <s v="C8"/>
    <n v="2.4018211690328539E-2"/>
    <s v="3-ASTM"/>
    <m/>
  </r>
  <r>
    <x v="2"/>
    <x v="2"/>
    <s v="C9"/>
    <n v="2.9782582496007386E-2"/>
    <s v="3-ASTM"/>
    <m/>
  </r>
  <r>
    <x v="3"/>
    <x v="2"/>
    <s v="C10"/>
    <n v="7.5897548941438187E-2"/>
    <s v="3-ASTM"/>
    <m/>
  </r>
  <r>
    <x v="10"/>
    <x v="2"/>
    <s v="C11"/>
    <n v="8.7426290552795896E-2"/>
    <s v="3-ASTM"/>
    <m/>
  </r>
  <r>
    <x v="11"/>
    <x v="2"/>
    <s v="C12"/>
    <n v="0.10087648909937987"/>
    <s v="3-ASTM"/>
    <m/>
  </r>
  <r>
    <x v="12"/>
    <x v="2"/>
    <s v="C13"/>
    <n v="0.10471940296983243"/>
    <s v="3-ASTM"/>
    <m/>
  </r>
  <r>
    <x v="13"/>
    <x v="2"/>
    <s v="C14"/>
    <n v="0.10279794603460617"/>
    <s v="3-ASTM"/>
    <m/>
  </r>
  <r>
    <x v="14"/>
    <x v="2"/>
    <s v="C15"/>
    <n v="9.1269204423248443E-2"/>
    <s v="3-ASTM"/>
    <m/>
  </r>
  <r>
    <x v="15"/>
    <x v="2"/>
    <s v="C16"/>
    <n v="7.3976092006211927E-2"/>
    <s v="3-ASTM"/>
    <m/>
  </r>
  <r>
    <x v="16"/>
    <x v="2"/>
    <s v="C17"/>
    <n v="6.436880733008038E-2"/>
    <s v="3-ASTM"/>
    <m/>
  </r>
  <r>
    <x v="17"/>
    <x v="2"/>
    <s v="C18"/>
    <n v="5.9565164992014807E-2"/>
    <s v="3-ASTM"/>
    <m/>
  </r>
  <r>
    <x v="18"/>
    <x v="2"/>
    <s v="C19"/>
    <n v="2.6900397093167962E-2"/>
    <s v="3-ASTM"/>
    <m/>
  </r>
  <r>
    <x v="19"/>
    <x v="2"/>
    <s v="C20"/>
    <n v="2.1136026287489115E-2"/>
    <s v="3-ASTM"/>
    <m/>
  </r>
  <r>
    <x v="20"/>
    <x v="2"/>
    <s v="C21"/>
    <n v="1.9214569352262831E-2"/>
    <s v="3-ASTM"/>
    <m/>
  </r>
  <r>
    <x v="21"/>
    <x v="2"/>
    <s v="C22"/>
    <n v="1.7293112417036547E-2"/>
    <s v="3-ASTM"/>
    <m/>
  </r>
  <r>
    <x v="22"/>
    <x v="2"/>
    <s v="C23"/>
    <n v="1.5371655481810267E-2"/>
    <s v="3-ASTM"/>
    <m/>
  </r>
  <r>
    <x v="23"/>
    <x v="2"/>
    <s v="C24"/>
    <n v="1.4410927014197125E-2"/>
    <s v="3-ASTM"/>
    <m/>
  </r>
  <r>
    <x v="24"/>
    <x v="2"/>
    <s v="C25"/>
    <n v="1.2489470078970839E-2"/>
    <s v="3-ASTM"/>
    <m/>
  </r>
  <r>
    <x v="25"/>
    <x v="2"/>
    <s v="C26"/>
    <n v="1.0568013143744557E-2"/>
    <s v="3-ASTM"/>
    <m/>
  </r>
  <r>
    <x v="26"/>
    <x v="2"/>
    <s v="C27"/>
    <n v="8.6465562085182735E-3"/>
    <s v="3-ASTM"/>
    <m/>
  </r>
  <r>
    <x v="27"/>
    <x v="2"/>
    <s v="C28"/>
    <n v="0"/>
    <s v="3-ASTM"/>
    <m/>
  </r>
  <r>
    <x v="28"/>
    <x v="2"/>
    <s v="C29"/>
    <n v="0"/>
    <s v="3-ASTM"/>
    <m/>
  </r>
  <r>
    <x v="29"/>
    <x v="2"/>
    <s v="C30"/>
    <n v="0"/>
    <s v="3-ASTM"/>
    <m/>
  </r>
  <r>
    <x v="30"/>
    <x v="2"/>
    <s v="C31"/>
    <n v="0"/>
    <s v="3-ASTM"/>
    <m/>
  </r>
  <r>
    <x v="31"/>
    <x v="2"/>
    <s v="C32"/>
    <n v="0"/>
    <s v="3-ASTM"/>
    <m/>
  </r>
  <r>
    <x v="32"/>
    <x v="2"/>
    <s v="C33"/>
    <n v="0"/>
    <s v="3-ASTM"/>
    <m/>
  </r>
  <r>
    <x v="33"/>
    <x v="2"/>
    <s v="C34"/>
    <n v="0"/>
    <s v="3-ASTM"/>
    <m/>
  </r>
  <r>
    <x v="34"/>
    <x v="2"/>
    <s v="C35"/>
    <n v="0"/>
    <s v="3-ASTM"/>
    <m/>
  </r>
  <r>
    <x v="35"/>
    <x v="2"/>
    <s v="C36"/>
    <n v="0"/>
    <s v="3-ASTM"/>
    <m/>
  </r>
  <r>
    <x v="36"/>
    <x v="2"/>
    <s v="C37"/>
    <n v="0"/>
    <s v="3-ASTM"/>
    <m/>
  </r>
  <r>
    <x v="37"/>
    <x v="2"/>
    <s v="C38"/>
    <n v="0"/>
    <s v="3-ASTM"/>
    <m/>
  </r>
  <r>
    <x v="38"/>
    <x v="2"/>
    <s v="C39"/>
    <n v="0"/>
    <s v="3-ASTM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x v="0"/>
    <s v="METHANE"/>
    <s v="CH4"/>
    <s v="CH4"/>
    <n v="12.780415015702763"/>
    <n v="12.780415015702763"/>
    <n v="10.422479357158654"/>
    <n v="2.3579356585441089"/>
    <n v="0.12336948309604598"/>
    <n v="1.8953812956013026E-2"/>
  </r>
  <r>
    <n v="2"/>
    <x v="0"/>
    <s v="METHANOL"/>
    <s v="CH4O"/>
    <s v="MEOH"/>
    <n v="0.93023540589214981"/>
    <n v="0.93023540589214981"/>
    <n v="0.75861067917565661"/>
    <n v="0.17162472671649318"/>
    <n v="8.9795723410821121E-3"/>
    <n v="1.3795724056439142E-3"/>
  </r>
  <r>
    <n v="3"/>
    <x v="1"/>
    <s v="ETHANE"/>
    <s v="C2H6"/>
    <s v="C2"/>
    <n v="0.85144978553306494"/>
    <n v="1.7028995710661299"/>
    <n v="1.3887213838474184"/>
    <n v="0.3141781872187116"/>
    <n v="1.6438107807045636E-2"/>
    <n v="2.5254610208827744E-3"/>
  </r>
  <r>
    <n v="4"/>
    <x v="1"/>
    <s v="ETHYLENE"/>
    <s v="C2H4"/>
    <s v="C2-O"/>
    <n v="3.7332760249047356"/>
    <n v="7.4665520498094713"/>
    <n v="6.0890029402547317"/>
    <n v="1.3775491095547394"/>
    <n v="7.2074706945192704E-2"/>
    <n v="1.1073163962558736E-2"/>
  </r>
  <r>
    <n v="5"/>
    <x v="2"/>
    <s v="PROPANE"/>
    <s v="C3H8"/>
    <s v="C3"/>
    <n v="0.39016143535167691"/>
    <n v="1.1704843060550307"/>
    <n v="0.95453461431009079"/>
    <n v="0.21594969174493991"/>
    <n v="1.1298697548758976E-2"/>
    <n v="1.7358701245349076E-3"/>
  </r>
  <r>
    <n v="6"/>
    <x v="2"/>
    <s v="PROPYLENE"/>
    <s v="C3H6-2"/>
    <s v="C3-O"/>
    <n v="3.720086299119822"/>
    <n v="11.160258897359466"/>
    <n v="9.1012355886221759"/>
    <n v="2.0590233087372893"/>
    <n v="0.10773009872477733"/>
    <n v="1.6551063437402778E-2"/>
  </r>
  <r>
    <n v="7"/>
    <x v="3"/>
    <s v="N-BUTANE"/>
    <s v="C4H10-1"/>
    <s v="C4"/>
    <n v="0.28059486675993217"/>
    <n v="1.1223794670397287"/>
    <n v="0.91530492646345896"/>
    <n v="0.2070745405762697"/>
    <n v="1.0834341022273363E-2"/>
    <n v="1.6645289263144351E-3"/>
  </r>
  <r>
    <n v="8"/>
    <x v="3"/>
    <s v="ISOBUTANE"/>
    <s v="C4H10-2"/>
    <s v="C4-IP"/>
    <n v="7.6987156206226167E-3"/>
    <n v="3.0794862482490467E-2"/>
    <n v="2.5113333028383481E-2"/>
    <n v="5.6815294541069849E-3"/>
    <n v="2.9726313752807051E-4"/>
    <n v="4.5669883394406514E-5"/>
  </r>
  <r>
    <n v="9"/>
    <x v="3"/>
    <s v="1-BUTENE"/>
    <s v="C4H8-1"/>
    <s v="C4-O"/>
    <n v="2.2092539944376051"/>
    <n v="8.8370159777504202"/>
    <n v="7.2066217328483528"/>
    <n v="1.6303942449020672"/>
    <n v="8.5303809926912638E-2"/>
    <n v="1.3105611024820846E-2"/>
  </r>
  <r>
    <n v="10"/>
    <x v="4"/>
    <s v="N-PENTANE"/>
    <s v="C5H12-1"/>
    <s v="C5"/>
    <n v="2.6257785936464689E-2"/>
    <n v="0.13128892968232345"/>
    <n v="0.10706664515637623"/>
    <n v="2.422228452594722E-2"/>
    <n v="1.2673334450595489E-3"/>
    <n v="1.947061823373091E-4"/>
  </r>
  <r>
    <n v="11"/>
    <x v="4"/>
    <s v="2-METHYL-1-BUTANE"/>
    <s v="C5H12-5"/>
    <s v="C5-IP"/>
    <n v="8.7843466307430312E-2"/>
    <n v="0.43921733153715159"/>
    <n v="0.35818348352755375"/>
    <n v="8.1033848009597842E-2"/>
    <n v="4.239769607793405E-3"/>
    <n v="6.5137502489284933E-4"/>
  </r>
  <r>
    <n v="12"/>
    <x v="4"/>
    <s v="1-PENTENE"/>
    <s v="C5H10-2"/>
    <s v="C5-O"/>
    <n v="1.4620285249164708"/>
    <n v="7.3101426245823546"/>
    <n v="5.96145043091198"/>
    <n v="1.3486921936703746"/>
    <n v="7.056488508745877E-2"/>
    <n v="1.0841203186115259E-2"/>
  </r>
  <r>
    <n v="13"/>
    <x v="4"/>
    <s v="CYCLOPENTANE"/>
    <m/>
    <s v="C5-N"/>
    <n v="9.2919825558525175E-3"/>
    <n v="4.6459912779262591E-2"/>
    <n v="3.7888243948440314E-2"/>
    <n v="8.5716688308222783E-3"/>
    <n v="4.4847803590279835E-4"/>
    <n v="6.8901713730647646E-5"/>
  </r>
  <r>
    <n v="14"/>
    <x v="5"/>
    <s v="2,2-DIMETHYL-BUTANE"/>
    <s v="C6H14-4"/>
    <s v="C6-IP"/>
    <n v="0.34416377186333286"/>
    <n v="2.0649826311799973"/>
    <n v="1.6840015617584567"/>
    <n v="0.38098106942154053"/>
    <n v="1.9933299466252181E-2"/>
    <n v="3.062443160156574E-3"/>
  </r>
  <r>
    <n v="15"/>
    <x v="5"/>
    <s v="N-HEXANE"/>
    <s v="C6H14-1"/>
    <s v="C6"/>
    <n v="4.9116407679064113E-3"/>
    <n v="2.946984460743847E-2"/>
    <n v="2.4032775672958959E-2"/>
    <n v="5.4370689344795126E-3"/>
    <n v="2.8447272578186817E-4"/>
    <n v="4.3704834455365592E-5"/>
  </r>
  <r>
    <n v="16"/>
    <x v="5"/>
    <s v="2-METHYL-1-PENTENE"/>
    <s v="C6H12-D2"/>
    <s v="C6-O"/>
    <n v="0.63054996610516634"/>
    <n v="3.783299796630998"/>
    <n v="3.0852960552440152"/>
    <n v="0.69800374138698296"/>
    <n v="3.6520233477103328E-2"/>
    <n v="5.6107690254003084E-3"/>
  </r>
  <r>
    <n v="17"/>
    <x v="5"/>
    <s v="BENZENE"/>
    <m/>
    <s v="C6-A"/>
    <n v="2.4894795862967231E-3"/>
    <n v="1.4936877517780339E-2"/>
    <n v="1.218108311805181E-2"/>
    <n v="2.7557943997285291E-3"/>
    <n v="1.4418583873633171E-4"/>
    <n v="2.2151924039324094E-5"/>
  </r>
  <r>
    <n v="18"/>
    <x v="5"/>
    <s v="CYCLOHEXANE"/>
    <m/>
    <s v="C6-N"/>
    <n v="3.0001340864358388E-2"/>
    <n v="0.18000804518615032"/>
    <n v="0.14679727792642189"/>
    <n v="3.3210767259728442E-2"/>
    <n v="1.7376195890712175E-3"/>
    <n v="2.6695837457890454E-4"/>
  </r>
  <r>
    <n v="19"/>
    <x v="6"/>
    <s v="N-HEPTANE"/>
    <s v="C7H16-1"/>
    <s v="C7"/>
    <n v="1.5354985472503198E-5"/>
    <n v="1.0748489830752239E-4"/>
    <n v="8.7654362744874379E-5"/>
    <n v="1.983053556264802E-5"/>
    <n v="1.0375528751247638E-6"/>
    <n v="1.5940395171939082E-7"/>
  </r>
  <r>
    <n v="20"/>
    <x v="6"/>
    <s v="2-METHYLHEXANE"/>
    <s v="C7H16-2"/>
    <s v="C7-IP"/>
    <n v="0.25517737575835936"/>
    <n v="1.7862416303085156"/>
    <n v="1.4566871651596534"/>
    <n v="0.32955446514886227"/>
    <n v="1.7242609597970287E-2"/>
    <n v="2.6490602780515193E-3"/>
  </r>
  <r>
    <n v="21"/>
    <x v="6"/>
    <s v="1-HEPTENE"/>
    <s v="C7H14-7"/>
    <s v="C7-O"/>
    <n v="0.18837447528941109"/>
    <n v="1.3186213270258778"/>
    <n v="1.07534094502804"/>
    <n v="0.24328038199783775"/>
    <n v="1.2728665799563593E-2"/>
    <n v="1.9555626293473595E-3"/>
  </r>
  <r>
    <n v="22"/>
    <x v="6"/>
    <s v="TOLUENE"/>
    <s v="C7H8"/>
    <s v="C7-A"/>
    <n v="6.6562460438608648E-3"/>
    <n v="4.6593722307026054E-2"/>
    <n v="3.799736615137287E-2"/>
    <n v="8.5963561556531825E-3"/>
    <n v="4.4976970070814476E-4"/>
    <n v="6.9100158050166608E-5"/>
  </r>
  <r>
    <n v="23"/>
    <x v="6"/>
    <s v="1c,3-Dimethylcyclopentane"/>
    <m/>
    <s v="C7-N"/>
    <n v="2.7091761597874093E-2"/>
    <n v="0.18964233118511864"/>
    <n v="0.1546540765375653"/>
    <n v="3.4988254647553341E-2"/>
    <n v="1.8306194550561515E-3"/>
    <n v="2.8124636558426856E-4"/>
  </r>
  <r>
    <n v="24"/>
    <x v="7"/>
    <s v="N-OCTANE"/>
    <s v="C8H18-1"/>
    <s v="C8"/>
    <n v="2.505445756812455E-2"/>
    <n v="0.2004356605449964"/>
    <n v="0.1634560796266766"/>
    <n v="3.6979580918319786E-2"/>
    <n v="1.9348075790237575E-3"/>
    <n v="2.9725325938297656E-4"/>
  </r>
  <r>
    <n v="25"/>
    <x v="7"/>
    <s v="2,2,4-TRIMETHYLPENTANE"/>
    <s v="C8H18-13"/>
    <s v="C8-IP"/>
    <n v="0.10631633758228447"/>
    <n v="0.85053070065827574"/>
    <n v="0.693611174547067"/>
    <n v="0.15691952611120871"/>
    <n v="8.2101819673779559E-3"/>
    <n v="1.2613674746725133E-3"/>
  </r>
  <r>
    <n v="26"/>
    <x v="7"/>
    <s v="1-OCTENE"/>
    <s v="C8H16-16"/>
    <s v="C8-O"/>
    <n v="0.29186969854691081"/>
    <n v="2.3349575883752864"/>
    <n v="1.9041672148190565"/>
    <n v="0.43079037355623007"/>
    <n v="2.2539370620994609E-2"/>
    <n v="3.4628256857005429E-3"/>
  </r>
  <r>
    <n v="27"/>
    <x v="7"/>
    <s v="1-METHYL-1-ETHYLCYCLOPENTANE"/>
    <s v="C8H16-13"/>
    <s v="C8-N"/>
    <n v="4.7723323669308183E-2"/>
    <n v="0.38178658935446547"/>
    <n v="0.31134848449740427"/>
    <n v="7.0438104857061201E-2"/>
    <n v="3.6853900381006383E-3"/>
    <n v="5.6620317844512384E-4"/>
  </r>
  <r>
    <n v="28"/>
    <x v="7"/>
    <s v="M-XYLENE"/>
    <s v="C8H10-2"/>
    <s v="C8-A"/>
    <n v="9.0382566172806364E-2"/>
    <n v="0.72306052938245091"/>
    <n v="0.58965874208353419"/>
    <n v="0.13340178729891672"/>
    <n v="6.979711038136523E-3"/>
    <n v="1.0723246477483146E-3"/>
  </r>
  <r>
    <n v="29"/>
    <x v="8"/>
    <s v="N-NONANE"/>
    <s v="C9H20-1"/>
    <s v="C9"/>
    <n v="5.2091431438708896E-2"/>
    <n v="0.46882288294838004"/>
    <n v="0.38232692863960283"/>
    <n v="8.6495954308777184E-2"/>
    <n v="4.5255523128064339E-3"/>
    <n v="6.9528111739599599E-4"/>
  </r>
  <r>
    <n v="30"/>
    <x v="8"/>
    <s v="3-METHYLOCTANE"/>
    <s v="C9H20-D2"/>
    <s v="C9-IP"/>
    <n v="0.27953121534732756"/>
    <n v="2.5157809381259479"/>
    <n v="2.0516293768656713"/>
    <n v="0.46415156126027685"/>
    <n v="2.428486035376351E-2"/>
    <n v="3.7309931861332591E-3"/>
  </r>
  <r>
    <n v="31"/>
    <x v="8"/>
    <s v="1-NONENE"/>
    <s v="C9H18-3"/>
    <s v="C9-O"/>
    <n v="5.151355633944496E-2"/>
    <n v="0.46362200705500467"/>
    <n v="0.37808559363043076"/>
    <n v="8.5536413424573923E-2"/>
    <n v="4.4753482020773172E-3"/>
    <n v="6.8756803227557105E-4"/>
  </r>
  <r>
    <n v="32"/>
    <x v="8"/>
    <s v="ISOPROPYLCYCLOHEXANE"/>
    <s v="C9H18-2"/>
    <s v="C9-N"/>
    <n v="2.9039779374151278E-2"/>
    <n v="0.2613580143673615"/>
    <n v="0.21313850185811156"/>
    <n v="4.821951250924994E-2"/>
    <n v="2.5228917132889641E-3"/>
    <n v="3.8760329087807335E-4"/>
  </r>
  <r>
    <n v="33"/>
    <x v="8"/>
    <s v="INDANE"/>
    <s v="C9H10-E1"/>
    <s v="C9-A"/>
    <n v="7.2879304054369931E-2"/>
    <n v="0.65591373648932938"/>
    <n v="0.5349002649943233"/>
    <n v="0.12101347149500608"/>
    <n v="6.3315423268228742E-3"/>
    <n v="9.7274355030126981E-4"/>
  </r>
  <r>
    <n v="34"/>
    <x v="9"/>
    <s v="N-DECANE"/>
    <s v="C10H22-1"/>
    <s v="C10"/>
    <n v="7.7932189982597849E-2"/>
    <n v="0.77932189982597855"/>
    <n v="0.63554011380210973"/>
    <n v="0.14378178602386882"/>
    <n v="7.5228026499007047E-3"/>
    <n v="1.155762274048038E-3"/>
  </r>
  <r>
    <n v="35"/>
    <x v="9"/>
    <s v="2-METHYLNONANE"/>
    <s v="C10H22-E2"/>
    <s v="C10-IP"/>
    <n v="9.5023435808945927E-2"/>
    <n v="0.95023435808945922"/>
    <n v="0.77491990436006264"/>
    <n v="0.17531445372939661"/>
    <n v="9.172622440942968E-3"/>
    <n v="1.4092315676350012E-3"/>
  </r>
  <r>
    <n v="36"/>
    <x v="9"/>
    <s v="1-DECENE"/>
    <s v="C10H20-5"/>
    <s v="C10-O"/>
    <n v="0.10367126552184416"/>
    <n v="1.0367126552184416"/>
    <n v="0.84544330016228342"/>
    <n v="0.19126935505615822"/>
    <n v="1.0007398369793523E-2"/>
    <n v="1.5374819778543379E-3"/>
  </r>
  <r>
    <n v="37"/>
    <x v="9"/>
    <s v="1-PROPYL-1-METHYLCYCLOHEXANE"/>
    <s v="C10H20-N24"/>
    <s v="C10-N"/>
    <n v="6.0313866677003856E-2"/>
    <n v="0.60313866677003858"/>
    <n v="0.49186198540433368"/>
    <n v="0.1112766813657049"/>
    <n v="5.82210401330746E-3"/>
    <n v="8.9447623277120753E-4"/>
  </r>
  <r>
    <n v="38"/>
    <x v="9"/>
    <s v="1,2-DIMETHYL-3-ETHYLBENZENE"/>
    <s v="C10H14-D3"/>
    <s v="C10-A"/>
    <n v="7.3831740830595086E-2"/>
    <n v="0.73831740830595083"/>
    <n v="0.60210078762270269"/>
    <n v="0.13621662068324811"/>
    <n v="7.1269858538712634E-3"/>
    <n v="1.0949511453270907E-3"/>
  </r>
  <r>
    <n v="39"/>
    <x v="10"/>
    <s v="N-UNDECANE"/>
    <s v="C11H24"/>
    <s v="C11"/>
    <n v="8.9984230827715783E-2"/>
    <n v="0.98982653910487362"/>
    <n v="0.80720748569690037"/>
    <n v="0.18261905340797324"/>
    <n v="9.5548061885376602E-3"/>
    <n v="1.4679481893225411E-3"/>
  </r>
  <r>
    <n v="40"/>
    <x v="10"/>
    <s v="3-ETHYLNONANE"/>
    <s v="C11H24-N8"/>
    <s v="C11-IP"/>
    <n v="9.843091099268958E-2"/>
    <n v="1.0827400209195854"/>
    <n v="0.88297880024543041"/>
    <n v="0.19976122067415508"/>
    <n v="1.045170102411625E-2"/>
    <n v="1.6057422087846806E-3"/>
  </r>
  <r>
    <n v="41"/>
    <x v="10"/>
    <s v="1-ETHYL-2-ISOPROPYLBENZENE"/>
    <s v="C11H16-D1"/>
    <s v="C11-A"/>
    <n v="3.9455139593320178E-2"/>
    <n v="0.43400653552652196"/>
    <n v="0.35393405862324318"/>
    <n v="8.0072476903278775E-2"/>
    <n v="4.1894697380661329E-3"/>
    <n v="6.4364722788343566E-4"/>
  </r>
  <r>
    <n v="42"/>
    <x v="10"/>
    <s v="Undecene-1"/>
    <m/>
    <s v="C11-O"/>
    <n v="6.3372814718665973E-2"/>
    <n v="0.69710096190532567"/>
    <n v="0.56848861139382845"/>
    <n v="0.12861235051149719"/>
    <n v="6.7291230551081976E-3"/>
    <n v="1.0338256799310808E-3"/>
  </r>
  <r>
    <n v="43"/>
    <x v="11"/>
    <s v="2-METHYLUNDECANE"/>
    <s v="C12H26-N9"/>
    <s v="C12-IP"/>
    <n v="6.9381796070089666E-2"/>
    <n v="0.83258155284107604"/>
    <n v="0.67897357300020789"/>
    <n v="0.15360797984086821"/>
    <n v="8.0369186511631292E-3"/>
    <n v="1.234748245951925E-3"/>
  </r>
  <r>
    <n v="44"/>
    <x v="11"/>
    <s v="N-DODECANE"/>
    <s v="C12H26"/>
    <s v="C12"/>
    <n v="0.10087648909937987"/>
    <n v="1.2105178691925584"/>
    <n v="0.98718214452579456"/>
    <n v="0.22333572466676385"/>
    <n v="1.168514196270809E-2"/>
    <n v="1.7952413317092557E-3"/>
  </r>
  <r>
    <n v="45"/>
    <x v="11"/>
    <s v="1-DODECENE"/>
    <s v="C12H24-2"/>
    <s v="C12-O"/>
    <n v="6.8149503674872804E-3"/>
    <n v="8.1779404409847364E-2"/>
    <n v="6.6691430071333671E-2"/>
    <n v="1.5087974338513698E-2"/>
    <n v="7.8941746708141624E-4"/>
    <n v="1.2128178411529943E-4"/>
  </r>
  <r>
    <n v="46"/>
    <x v="11"/>
    <s v="1,2,4-TRIETHYLBENZENE"/>
    <s v="C12H18-D6"/>
    <s v="C12-A"/>
    <n v="2.4020366158280512E-2"/>
    <n v="0.28824439389936612"/>
    <n v="0.23506445147060484"/>
    <n v="5.3179942428761298E-2"/>
    <n v="2.7824262230143615E-3"/>
    <n v="4.2747675414885679E-4"/>
  </r>
  <r>
    <n v="47"/>
    <x v="11"/>
    <m/>
    <m/>
    <s v="C12-N"/>
    <n v="6.2423700626390334E-3"/>
    <n v="7.4908440751668401E-2"/>
    <n v="6.1088131837029824E-2"/>
    <n v="1.3820308914638575E-2"/>
    <n v="7.230919812627035E-4"/>
    <n v="1.1109189905721035E-4"/>
  </r>
  <r>
    <n v="48"/>
    <x v="12"/>
    <s v="2-METHYLDODECANE"/>
    <s v="C13H28-N1"/>
    <s v="C13-IP"/>
    <n v="2.5062835735042269E-2"/>
    <n v="0.32581686455554948"/>
    <n v="0.26570495096380436"/>
    <n v="6.0111913591745114E-2"/>
    <n v="3.1451136848690427E-3"/>
    <n v="4.8319807307610669E-4"/>
  </r>
  <r>
    <n v="49"/>
    <x v="12"/>
    <s v="1-TRIDECENE"/>
    <s v="C13H26-2"/>
    <s v="C13-O"/>
    <n v="2.165847240078149E-3"/>
    <n v="2.8156014121015937E-2"/>
    <n v="2.2961341677527659E-2"/>
    <n v="5.1946724434882774E-3"/>
    <n v="2.717903060179852E-4"/>
    <n v="4.175637681412592E-5"/>
  </r>
  <r>
    <n v="50"/>
    <x v="12"/>
    <s v="N-TRIDECANE"/>
    <s v="C13H28"/>
    <s v="C13"/>
    <n v="0.10471940296983243"/>
    <n v="1.3613522386078216"/>
    <n v="1.1101881736452786"/>
    <n v="0.25116406496254312"/>
    <n v="1.314114774695029E-2"/>
    <n v="2.0189341008190593E-3"/>
  </r>
  <r>
    <n v="51"/>
    <x v="13"/>
    <s v="2-METHYLTRIDECANE"/>
    <s v="C14H30-N1"/>
    <s v="C14-IP"/>
    <n v="5.7009082526194941E-3"/>
    <n v="7.9812715536672921E-2"/>
    <n v="6.5087587460790144E-2"/>
    <n v="1.4725128075882769E-2"/>
    <n v="7.7043299831446542E-4"/>
    <n v="1.1836511411678838E-4"/>
  </r>
  <r>
    <n v="52"/>
    <x v="13"/>
    <s v="N-TETRADECANE"/>
    <s v="C14H30"/>
    <s v=" C14 "/>
    <n v="0.10279794603460617"/>
    <n v="1.4391712444844864"/>
    <n v="1.1736498829362227"/>
    <n v="0.26552136154826372"/>
    <n v="1.3892335444552956E-2"/>
    <n v="2.1343424721432264E-3"/>
  </r>
  <r>
    <n v="53"/>
    <x v="14"/>
    <s v="2-METHYLTETRADECANE"/>
    <s v="C15H32-N1"/>
    <s v="C15-IP "/>
    <n v="4.496622502748457E-3"/>
    <n v="6.7449337541226853E-2"/>
    <n v="5.500520345495271E-2"/>
    <n v="1.2444134086274141E-2"/>
    <n v="6.5108917804374792E-4"/>
    <n v="1.0002978199007289E-4"/>
  </r>
  <r>
    <n v="54"/>
    <x v="14"/>
    <s v="N-PENTADECANE"/>
    <s v="C15H32"/>
    <s v="C15"/>
    <n v="9.1269204423248443E-2"/>
    <n v="1.3690380663487267"/>
    <n v="1.1164559967851249"/>
    <n v="0.25258206956360196"/>
    <n v="1.3215339124491294E-2"/>
    <n v="2.0303324584807058E-3"/>
  </r>
  <r>
    <n v="55"/>
    <x v="15"/>
    <s v="2-METHYLPENTADECANE"/>
    <s v="C16H34-N1"/>
    <s v="C16-IP"/>
    <n v="1.146716534437928E-2"/>
    <n v="0.18347464551006848"/>
    <n v="0.1496243043000697"/>
    <n v="3.3850341209998761E-2"/>
    <n v="1.7710827191446074E-3"/>
    <n v="2.7209946694969759E-4"/>
  </r>
  <r>
    <n v="56"/>
    <x v="15"/>
    <s v="N-HEXADECANE"/>
    <s v="C16H34"/>
    <s v="C16"/>
    <n v="7.3976092006211927E-2"/>
    <n v="1.1836174720993908"/>
    <n v="0.96524476353633282"/>
    <n v="0.21837270856305804"/>
    <n v="1.1425472141314581E-2"/>
    <n v="1.7553470798934948E-3"/>
  </r>
  <r>
    <n v="57"/>
    <x v="16"/>
    <s v="14-METHYLHEXADECANE"/>
    <s v="C17H36-N10"/>
    <s v="C17-IP"/>
    <n v="4.2476745441187838E-3"/>
    <n v="7.2210467250019325E-2"/>
    <n v="5.8887923698831716E-2"/>
    <n v="1.3322543551187609E-2"/>
    <n v="6.9704841414095354E-4"/>
    <n v="1.0709070777760743E-4"/>
  </r>
  <r>
    <n v="58"/>
    <x v="16"/>
    <s v="N-HEPTADECANE"/>
    <s v="C17H36"/>
    <s v="C17"/>
    <n v="6.436880733008038E-2"/>
    <n v="1.0942697246113664"/>
    <n v="0.8923813195356175"/>
    <n v="0.20188840507574887"/>
    <n v="1.056299737740039E-2"/>
    <n v="1.6228411720768561E-3"/>
  </r>
  <r>
    <n v="59"/>
    <x v="17"/>
    <s v="N-OCTADECANE"/>
    <s v="C18H38"/>
    <s v="C18"/>
    <n v="5.9565164992014807E-2"/>
    <n v="1.0721729698562665"/>
    <n v="0.87436132800856137"/>
    <n v="0.19781164184770522"/>
    <n v="1.0349697166970028E-2"/>
    <n v="1.5900708937996273E-3"/>
  </r>
  <r>
    <n v="60"/>
    <x v="18"/>
    <s v="N-NONADECANE"/>
    <s v="C19H40"/>
    <s v="C19"/>
    <n v="2.6900397093167962E-2"/>
    <n v="0.51110754477019127"/>
    <n v="0.41681023879977985"/>
    <n v="9.4297305970411388E-2"/>
    <n v="4.9337266064767484E-3"/>
    <n v="7.5799078449946338E-4"/>
  </r>
  <r>
    <n v="61"/>
    <x v="19"/>
    <s v="N-EICOSANE"/>
    <s v="C20H42"/>
    <s v="C20"/>
    <n v="2.1136026287489115E-2"/>
    <n v="0.42272052574978231"/>
    <n v="0.34473027269154732"/>
    <n v="7.7990253058234996E-2"/>
    <n v="4.080525764755206E-3"/>
    <n v="6.269096713905337E-4"/>
  </r>
  <r>
    <n v="62"/>
    <x v="20"/>
    <s v="N-HENEICOSANE"/>
    <s v="C21H44"/>
    <s v="C21"/>
    <n v="1.9214569352262831E-2"/>
    <n v="0.40350595639751946"/>
    <n v="0.3290607148419315"/>
    <n v="7.4445241555587946E-2"/>
    <n v="3.8950473209026963E-3"/>
    <n v="5.9841377723641846E-4"/>
  </r>
  <r>
    <n v="63"/>
    <x v="21"/>
    <s v="N-DOCOSANE"/>
    <s v="C22H46"/>
    <s v="C22"/>
    <n v="1.7293112417036547E-2"/>
    <n v="0.38044847317480401"/>
    <n v="0.31025724542239252"/>
    <n v="7.0191227752411489E-2"/>
    <n v="3.6724731882796847E-3"/>
    <n v="5.6421870425148028E-4"/>
  </r>
  <r>
    <n v="64"/>
    <x v="22"/>
    <s v="N-TRICOSANE"/>
    <s v="C23H48"/>
    <s v="C23"/>
    <n v="1.5371655481810267E-2"/>
    <n v="0.35354807608163613"/>
    <n v="0.28831986443293051"/>
    <n v="6.5228211648705639E-2"/>
    <n v="3.4128033668861728E-3"/>
    <n v="5.2432445243571916E-4"/>
  </r>
  <r>
    <n v="65"/>
    <x v="23"/>
    <s v="N-TETRACOSANE"/>
    <s v="C24H50"/>
    <s v="C24"/>
    <n v="1.4410927014197125E-2"/>
    <n v="0.34586224834073098"/>
    <n v="0.28205204129308414"/>
    <n v="6.3810207047646811E-2"/>
    <n v="3.3386119893451683E-3"/>
    <n v="5.1292609477407306E-4"/>
  </r>
  <r>
    <n v="66"/>
    <x v="24"/>
    <s v="N-PENTACOSANE"/>
    <s v="C25H52"/>
    <s v="C25"/>
    <n v="1.2489470078970839E-2"/>
    <n v="0.31223675197427098"/>
    <n v="0.2546303150562565"/>
    <n v="5.7606436918014474E-2"/>
    <n v="3.0140247126032769E-3"/>
    <n v="4.6305828000437138E-4"/>
  </r>
  <r>
    <n v="67"/>
    <x v="25"/>
    <s v="N-HEXACOSANE"/>
    <s v="C26H54"/>
    <s v="C26"/>
    <n v="1.0568013143744557E-2"/>
    <n v="0.27476834173735848"/>
    <n v="0.22407467724950575"/>
    <n v="5.0693664487852744E-2"/>
    <n v="2.6523417470908838E-3"/>
    <n v="4.0749128640384688E-4"/>
  </r>
  <r>
    <n v="68"/>
    <x v="26"/>
    <s v="N-HEPTACOSANE"/>
    <s v="C27H56"/>
    <s v="C27"/>
    <n v="8.6465562085182735E-3"/>
    <n v="0.23345701762999338"/>
    <n v="0.19038512787283179"/>
    <n v="4.3071889757161592E-2"/>
    <n v="2.2535630928079888E-3"/>
    <n v="3.4622511397249922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9EF06-95DA-294C-88E1-56F2E8947D6C}" name="Tabella pivot6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H5:AI33" firstHeaderRow="1" firstDataRow="1" firstDataCol="1"/>
  <pivotFields count="1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a di mmolC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5CBC2-C1DD-DE4F-935A-F958E4D5315D}" name="Tabella pivot4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N17:P98" firstHeaderRow="1" firstDataRow="1" firstDataCol="2"/>
  <pivotFields count="5">
    <pivotField axis="axisRow" compact="0" outline="0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sd="0" m="1"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4"/>
        <item x="3"/>
        <item x="5"/>
        <item x="2"/>
        <item x="0"/>
        <item x="1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1">
    <i>
      <x/>
      <x v="4"/>
    </i>
    <i r="1">
      <x v="5"/>
    </i>
    <i>
      <x v="1"/>
      <x v="3"/>
    </i>
    <i r="1">
      <x v="4"/>
    </i>
    <i r="1">
      <x v="5"/>
    </i>
    <i>
      <x v="2"/>
      <x v="3"/>
    </i>
    <i r="1">
      <x v="5"/>
    </i>
    <i>
      <x v="3"/>
      <x v="1"/>
    </i>
    <i r="1">
      <x v="3"/>
    </i>
    <i r="1">
      <x v="5"/>
    </i>
    <i>
      <x v="4"/>
      <x v="1"/>
    </i>
    <i r="1">
      <x v="2"/>
    </i>
    <i r="1">
      <x v="3"/>
    </i>
    <i r="1">
      <x v="5"/>
    </i>
    <i>
      <x v="5"/>
      <x/>
    </i>
    <i r="1">
      <x v="1"/>
    </i>
    <i r="1">
      <x v="2"/>
    </i>
    <i r="1">
      <x v="3"/>
    </i>
    <i r="1">
      <x v="5"/>
    </i>
    <i>
      <x v="6"/>
      <x/>
    </i>
    <i r="1">
      <x v="1"/>
    </i>
    <i r="1">
      <x v="2"/>
    </i>
    <i r="1">
      <x v="3"/>
    </i>
    <i r="1">
      <x v="5"/>
    </i>
    <i>
      <x v="7"/>
      <x/>
    </i>
    <i r="1">
      <x v="1"/>
    </i>
    <i r="1">
      <x v="2"/>
    </i>
    <i r="1">
      <x v="3"/>
    </i>
    <i r="1">
      <x v="5"/>
    </i>
    <i>
      <x v="8"/>
      <x/>
    </i>
    <i r="1">
      <x v="1"/>
    </i>
    <i r="1">
      <x v="2"/>
    </i>
    <i r="1">
      <x v="3"/>
    </i>
    <i r="1">
      <x v="5"/>
    </i>
    <i>
      <x v="9"/>
      <x/>
    </i>
    <i r="1">
      <x v="1"/>
    </i>
    <i r="1">
      <x v="2"/>
    </i>
    <i r="1">
      <x v="3"/>
    </i>
    <i r="1">
      <x v="5"/>
    </i>
    <i>
      <x v="10"/>
      <x/>
    </i>
    <i r="1">
      <x v="1"/>
    </i>
    <i r="1">
      <x v="3"/>
    </i>
    <i r="1">
      <x v="5"/>
    </i>
    <i>
      <x v="11"/>
      <x/>
    </i>
    <i r="1">
      <x v="1"/>
    </i>
    <i r="1">
      <x v="2"/>
    </i>
    <i r="1">
      <x v="3"/>
    </i>
    <i r="1">
      <x v="5"/>
    </i>
    <i>
      <x v="12"/>
      <x v="1"/>
    </i>
    <i r="1">
      <x v="3"/>
    </i>
    <i r="1">
      <x v="5"/>
    </i>
    <i>
      <x v="13"/>
      <x v="1"/>
    </i>
    <i r="1">
      <x v="5"/>
    </i>
    <i>
      <x v="14"/>
      <x v="1"/>
    </i>
    <i r="1">
      <x v="5"/>
    </i>
    <i>
      <x v="15"/>
      <x v="1"/>
    </i>
    <i r="1">
      <x v="5"/>
    </i>
    <i>
      <x v="16"/>
      <x v="1"/>
    </i>
    <i r="1">
      <x v="5"/>
    </i>
    <i>
      <x v="17"/>
      <x v="5"/>
    </i>
    <i>
      <x v="18"/>
      <x v="5"/>
    </i>
    <i>
      <x v="19"/>
      <x v="5"/>
    </i>
    <i>
      <x v="20"/>
      <x v="5"/>
    </i>
    <i>
      <x v="21"/>
      <x v="5"/>
    </i>
    <i>
      <x v="22"/>
      <x v="5"/>
    </i>
    <i>
      <x v="23"/>
      <x v="5"/>
    </i>
    <i>
      <x v="24"/>
      <x v="5"/>
    </i>
    <i>
      <x v="25"/>
      <x v="5"/>
    </i>
    <i>
      <x v="26"/>
      <x v="5"/>
    </i>
    <i>
      <x v="27"/>
      <x v="5"/>
    </i>
    <i>
      <x v="28"/>
      <x v="5"/>
    </i>
    <i>
      <x v="29"/>
      <x v="5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5"/>
    </i>
    <i>
      <x v="38"/>
      <x v="5"/>
    </i>
  </rowItems>
  <colItems count="1">
    <i/>
  </colItems>
  <dataFields count="1">
    <dataField name="Somma di mo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8F27D-B4AF-4842-832D-B585261AB7B2}" name="Tabella pivot4" cacheId="3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2">
  <location ref="N17:P98" firstHeaderRow="1" firstDataRow="1" firstDataCol="2"/>
  <pivotFields count="6">
    <pivotField axis="axisRow" compact="0" outline="0" showAll="0" sortType="ascending" defaultSubtotal="0">
      <items count="39">
        <item x="4"/>
        <item x="5"/>
        <item x="6"/>
        <item x="7"/>
        <item x="8"/>
        <item x="9"/>
        <item x="1"/>
        <item x="0"/>
        <item x="2"/>
        <item x="3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">
        <item x="1"/>
        <item x="4"/>
        <item x="5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1">
    <i>
      <x/>
      <x v="4"/>
    </i>
    <i r="1">
      <x v="5"/>
    </i>
    <i>
      <x v="1"/>
      <x v="3"/>
    </i>
    <i r="1">
      <x v="4"/>
    </i>
    <i r="1">
      <x v="5"/>
    </i>
    <i>
      <x v="2"/>
      <x v="3"/>
    </i>
    <i r="1">
      <x v="5"/>
    </i>
    <i>
      <x v="3"/>
      <x v="1"/>
    </i>
    <i r="1">
      <x v="3"/>
    </i>
    <i r="1">
      <x v="5"/>
    </i>
    <i>
      <x v="4"/>
      <x v="1"/>
    </i>
    <i r="1">
      <x v="2"/>
    </i>
    <i r="1">
      <x v="3"/>
    </i>
    <i r="1">
      <x v="5"/>
    </i>
    <i>
      <x v="5"/>
      <x/>
    </i>
    <i r="1">
      <x v="1"/>
    </i>
    <i r="1">
      <x v="2"/>
    </i>
    <i r="1">
      <x v="3"/>
    </i>
    <i r="1">
      <x v="5"/>
    </i>
    <i>
      <x v="6"/>
      <x/>
    </i>
    <i r="1">
      <x v="1"/>
    </i>
    <i r="1">
      <x v="2"/>
    </i>
    <i r="1">
      <x v="3"/>
    </i>
    <i r="1">
      <x v="5"/>
    </i>
    <i>
      <x v="7"/>
      <x/>
    </i>
    <i r="1">
      <x v="1"/>
    </i>
    <i r="1">
      <x v="2"/>
    </i>
    <i r="1">
      <x v="3"/>
    </i>
    <i r="1">
      <x v="5"/>
    </i>
    <i>
      <x v="8"/>
      <x/>
    </i>
    <i r="1">
      <x v="1"/>
    </i>
    <i r="1">
      <x v="2"/>
    </i>
    <i r="1">
      <x v="3"/>
    </i>
    <i r="1">
      <x v="5"/>
    </i>
    <i>
      <x v="9"/>
      <x/>
    </i>
    <i r="1">
      <x v="1"/>
    </i>
    <i r="1">
      <x v="2"/>
    </i>
    <i r="1">
      <x v="3"/>
    </i>
    <i r="1">
      <x v="5"/>
    </i>
    <i>
      <x v="10"/>
      <x/>
    </i>
    <i r="1">
      <x v="1"/>
    </i>
    <i r="1">
      <x v="3"/>
    </i>
    <i r="1">
      <x v="5"/>
    </i>
    <i>
      <x v="11"/>
      <x/>
    </i>
    <i r="1">
      <x v="1"/>
    </i>
    <i r="1">
      <x v="2"/>
    </i>
    <i r="1">
      <x v="3"/>
    </i>
    <i r="1">
      <x v="5"/>
    </i>
    <i>
      <x v="12"/>
      <x v="1"/>
    </i>
    <i r="1">
      <x v="3"/>
    </i>
    <i r="1">
      <x v="5"/>
    </i>
    <i>
      <x v="13"/>
      <x v="1"/>
    </i>
    <i r="1">
      <x v="5"/>
    </i>
    <i>
      <x v="14"/>
      <x v="1"/>
    </i>
    <i r="1">
      <x v="5"/>
    </i>
    <i>
      <x v="15"/>
      <x v="1"/>
    </i>
    <i r="1">
      <x v="5"/>
    </i>
    <i>
      <x v="16"/>
      <x v="1"/>
    </i>
    <i r="1">
      <x v="5"/>
    </i>
    <i>
      <x v="17"/>
      <x v="5"/>
    </i>
    <i>
      <x v="18"/>
      <x v="5"/>
    </i>
    <i>
      <x v="19"/>
      <x v="5"/>
    </i>
    <i>
      <x v="20"/>
      <x v="5"/>
    </i>
    <i>
      <x v="21"/>
      <x v="5"/>
    </i>
    <i>
      <x v="22"/>
      <x v="5"/>
    </i>
    <i>
      <x v="23"/>
      <x v="5"/>
    </i>
    <i>
      <x v="24"/>
      <x v="5"/>
    </i>
    <i>
      <x v="25"/>
      <x v="5"/>
    </i>
    <i>
      <x v="26"/>
      <x v="5"/>
    </i>
    <i>
      <x v="27"/>
      <x v="5"/>
    </i>
    <i>
      <x v="28"/>
      <x v="5"/>
    </i>
    <i>
      <x v="29"/>
      <x v="5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5"/>
    </i>
    <i>
      <x v="38"/>
      <x v="5"/>
    </i>
  </rowItems>
  <colItems count="1">
    <i/>
  </colItems>
  <dataFields count="1">
    <dataField name="Somma di mo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812E3-6EE9-EC4F-AA96-83EFF67BA247}" name="Tabella pivot5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H7:AI35" firstHeaderRow="1" firstDataRow="1" firstDataCol="1"/>
  <pivotFields count="1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a di mmolC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0E0FC-85BB-9C40-8473-6F8C283987B8}" name="Tabella pivot9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7:J35" firstHeaderRow="0" firstDataRow="1" firstDataCol="1"/>
  <pivotFields count="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dataField="1" showAll="0"/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5%" fld="2" showDataAs="percentOfCol" baseField="0" baseItem="0" numFmtId="10"/>
    <dataField name="Somma di 10%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091EB-DCA0-ED4A-8954-6B834A85728B}" name="Tabella27" displayName="Tabella27" ref="R1:U46" totalsRowShown="0" headerRowDxfId="28" dataDxfId="26" headerRowBorderDxfId="27" tableBorderDxfId="25" totalsRowBorderDxfId="24">
  <autoFilter ref="R1:U46" xr:uid="{6B2091EB-DCA0-ED4A-8954-6B834A85728B}"/>
  <sortState xmlns:xlrd2="http://schemas.microsoft.com/office/spreadsheetml/2017/richdata2" ref="R2:U46">
    <sortCondition ref="T1:T46"/>
  </sortState>
  <tableColumns count="4">
    <tableColumn id="1" xr3:uid="{C622D25B-5B03-664D-A954-10DFFD98688F}" name="Component name" dataDxfId="23"/>
    <tableColumn id="3" xr3:uid="{0BE04A57-C0A0-FC4C-AB01-F2858E780E95}" name="Vol %" dataDxfId="22"/>
    <tableColumn id="4" xr3:uid="{4C029D94-CA27-1A44-BCA0-13FD16CFFBDE}" name="Carbon number" dataDxfId="21"/>
    <tableColumn id="5" xr3:uid="{44051B5B-3D41-B54C-831F-97965C4E5B15}" name="Clas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784DA3-5442-374E-9504-39FEEBE1C6AB}" name="Tabella4" displayName="Tabella4" ref="B3:F127" totalsRowShown="0">
  <autoFilter ref="B3:F127" xr:uid="{D2784DA3-5442-374E-9504-39FEEBE1C6AB}"/>
  <sortState xmlns:xlrd2="http://schemas.microsoft.com/office/spreadsheetml/2017/richdata2" ref="B4:F127">
    <sortCondition ref="F3:F127"/>
  </sortState>
  <tableColumns count="5">
    <tableColumn id="1" xr3:uid="{45B18462-42CE-8F40-BEAC-0D8622AB68BE}" name="Cn"/>
    <tableColumn id="2" xr3:uid="{7C15CBCA-92AF-2F41-AE86-292B291D868B}" name="Class"/>
    <tableColumn id="3" xr3:uid="{7D6EF338-D6FD-6C47-B0FF-0B03AF5D71A7}" name="Name"/>
    <tableColumn id="4" xr3:uid="{C1785AD1-3A6D-1B45-9ED8-A9B2F393F369}" name="mol"/>
    <tableColumn id="5" xr3:uid="{126EF0F6-4C53-5A40-851E-04AE8DB02D5B}" name="Colon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D70BDC-5A42-6F40-964C-942BA14F7065}" name="Tabella11" displayName="Tabella11" ref="R5:AB73" totalsRowShown="0">
  <autoFilter ref="R5:AB73" xr:uid="{12D70BDC-5A42-6F40-964C-942BA14F7065}"/>
  <tableColumns count="11">
    <tableColumn id="1" xr3:uid="{C1AF629C-FE4D-3F49-90EF-BBA8466FB9FA}" name="Colonna1"/>
    <tableColumn id="2" xr3:uid="{3E153B20-A785-DA4F-93C8-8F2B775D9A92}" name="Nc" dataDxfId="19"/>
    <tableColumn id="3" xr3:uid="{D0AD0A3B-69BE-DC46-A9D5-724A3E16072C}" name="Colonna2" dataDxfId="18"/>
    <tableColumn id="4" xr3:uid="{1F7B6B67-C1D7-6D46-9DB3-FFAE316C8DF9}" name="Colonna3" dataDxfId="17"/>
    <tableColumn id="5" xr3:uid="{83509EE3-04F3-454A-8EE3-EEBD46DCDF55}" name="Colonna4" dataDxfId="16"/>
    <tableColumn id="6" xr3:uid="{569B8576-99D7-714B-9420-CD4D44CE2E97}" name="mmol"/>
    <tableColumn id="7" xr3:uid="{CE5D240F-0BF3-1B40-9E75-89A03FC0BEA5}" name="mmolC">
      <calculatedColumnFormula>+W6*S6</calculatedColumnFormula>
    </tableColumn>
    <tableColumn id="8" xr3:uid="{5F1A7835-C1F5-264B-808F-633FF9548938}" name="Colonna5">
      <calculatedColumnFormula>X6*$Y$4</calculatedColumnFormula>
    </tableColumn>
    <tableColumn id="9" xr3:uid="{133F5D63-13D9-F843-9405-D4F4CF1FA610}" name="Colonna6">
      <calculatedColumnFormula>+X6*$Z$4</calculatedColumnFormula>
    </tableColumn>
    <tableColumn id="10" xr3:uid="{25E5E7CF-D58E-0747-9907-67758E2527EA}" name="con CO">
      <calculatedColumnFormula>+Y6/$AA$3</calculatedColumnFormula>
    </tableColumn>
    <tableColumn id="11" xr3:uid="{5F9C425F-6331-B048-9428-D09225195DEA}" name="conv CO2">
      <calculatedColumnFormula>+Z6/$AB$3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49D64-0AC6-0348-AACF-C66CAEEDBDCF}" name="Tabella278" displayName="Tabella278" ref="R1:V46" totalsRowShown="0" headerRowDxfId="15" dataDxfId="13" headerRowBorderDxfId="14" tableBorderDxfId="12" totalsRowBorderDxfId="11">
  <autoFilter ref="R1:V46" xr:uid="{6B2091EB-DCA0-ED4A-8954-6B834A85728B}"/>
  <sortState xmlns:xlrd2="http://schemas.microsoft.com/office/spreadsheetml/2017/richdata2" ref="R2:U46">
    <sortCondition ref="T1:T46"/>
  </sortState>
  <tableColumns count="5">
    <tableColumn id="1" xr3:uid="{FAB61F38-05EA-4D47-97D1-DCB082EE3EC7}" name="Component name" dataDxfId="10"/>
    <tableColumn id="3" xr3:uid="{DC636FEE-E527-6D41-8244-BEC0FDEDF2F4}" name="Vol %" dataDxfId="9"/>
    <tableColumn id="4" xr3:uid="{B9393347-F11A-7244-ACA6-9491F701FC08}" name="Carbon number" dataDxfId="8"/>
    <tableColumn id="5" xr3:uid="{74F8FB8E-8DD3-6A40-8015-4C397619544A}" name="Class" dataDxfId="7"/>
    <tableColumn id="6" xr3:uid="{57C00F5F-2EE9-6649-80F9-5A3E6BFA0386}" name="Colonna1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8D31ED-2D5A-D64D-B823-581F261F17A5}" name="Tabella10" displayName="Tabella10" ref="B3:G127" totalsRowShown="0">
  <autoFilter ref="B3:G127" xr:uid="{D2784DA3-5442-374E-9504-39FEEBE1C6AB}"/>
  <sortState xmlns:xlrd2="http://schemas.microsoft.com/office/spreadsheetml/2017/richdata2" ref="B4:G127">
    <sortCondition ref="F3:F127"/>
  </sortState>
  <tableColumns count="6">
    <tableColumn id="1" xr3:uid="{803B00A6-D79C-9040-843A-20E63B45E588}" name="Cn"/>
    <tableColumn id="2" xr3:uid="{2C8CCA2F-9A46-1E4B-A2E8-DE715B4961B0}" name="Class"/>
    <tableColumn id="3" xr3:uid="{9E56EF25-A5CC-BB47-8BAE-7B5F87ACC028}" name="Name"/>
    <tableColumn id="4" xr3:uid="{E8F0EA69-32C4-CE46-8FEE-8E235EBDB8E6}" name="mol"/>
    <tableColumn id="5" xr3:uid="{7EC7AF52-88E1-B943-AD28-006A7CFAF1AF}" name="Colonna1"/>
    <tableColumn id="6" xr3:uid="{E2CA4E30-1A2A-9F41-9EAF-4E33DB9BF7D1}" name="Colonna2" dataDxfId="5">
      <calculatedColumnFormula>VLOOKUP(Tabella10[[#This Row],[Name]],'10% CO'!$C$8:$I$47,7,FALSE)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D1BB58-7974-CA47-9066-FBF7C3789BAD}" name="Tabella9" displayName="Tabella9" ref="R5:AB73" totalsRowShown="0">
  <autoFilter ref="R5:AB73" xr:uid="{0FD1BB58-7974-CA47-9066-FBF7C3789BAD}"/>
  <tableColumns count="11">
    <tableColumn id="1" xr3:uid="{8F1BB4E7-6757-EA46-9DE2-B0C2B14649BE}" name="Colonna1"/>
    <tableColumn id="2" xr3:uid="{15926D43-ACCB-2143-920E-86CA02D9E034}" name="Colonna2" dataDxfId="4"/>
    <tableColumn id="3" xr3:uid="{046F3550-8D6D-994F-BEB9-F52DD2C14411}" name="Colonna3" dataDxfId="3"/>
    <tableColumn id="4" xr3:uid="{4CF6EF74-2CD8-A547-B403-49E586BD66E9}" name="Colonna4" dataDxfId="2"/>
    <tableColumn id="5" xr3:uid="{D458DA9A-95E4-7E44-84DE-6028781F6612}" name="Colonna5" dataDxfId="1"/>
    <tableColumn id="6" xr3:uid="{66207D79-EBD2-5748-89C0-DE0C9EED710C}" name="mmol"/>
    <tableColumn id="7" xr3:uid="{764AAD36-108E-0346-B11B-D6FC229DD247}" name="mmolC">
      <calculatedColumnFormula>+W6*S6</calculatedColumnFormula>
    </tableColumn>
    <tableColumn id="8" xr3:uid="{13C94DD6-2C5B-C543-8EEA-1838E1D530AA}" name="Colonna6">
      <calculatedColumnFormula>X6*$Y$4</calculatedColumnFormula>
    </tableColumn>
    <tableColumn id="9" xr3:uid="{AE493748-35ED-4846-95D0-15DAD3548AC9}" name="Colonna7">
      <calculatedColumnFormula>+X6*$Z$4</calculatedColumnFormula>
    </tableColumn>
    <tableColumn id="10" xr3:uid="{6C4199EA-9041-2748-A64D-A4CAFEBA2473}" name="con CO">
      <calculatedColumnFormula>+Y6/$AA$3</calculatedColumnFormula>
    </tableColumn>
    <tableColumn id="11" xr3:uid="{CD68CB97-6E11-9A48-A871-6BF438BCDB18}" name="conv CO2">
      <calculatedColumnFormula>+Z6/$AB$3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084F15-75BC-BE4B-A9AB-8C829D2254AD}" name="Tabella14" displayName="Tabella14" ref="A3:D71" totalsRowShown="0">
  <autoFilter ref="A3:D71" xr:uid="{6D084F15-75BC-BE4B-A9AB-8C829D2254AD}"/>
  <tableColumns count="4">
    <tableColumn id="1" xr3:uid="{2EFF970B-C35C-7E43-A1EC-B181DD0A1F50}" name="Nc"/>
    <tableColumn id="2" xr3:uid="{B9451370-4EE6-B842-85D4-67957EE0C1A8}" name="Name" dataDxfId="0"/>
    <tableColumn id="3" xr3:uid="{B44F1AEA-9C03-C34D-BD9A-CA8E8EDC1732}" name="5%"/>
    <tableColumn id="4" xr3:uid="{58E5C421-0E30-8B4D-94DB-A196CDCFC80E}" name="1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A5DD-1684-C341-B921-4BDF7DC3806B}">
  <dimension ref="B1:AK54"/>
  <sheetViews>
    <sheetView zoomScale="88" workbookViewId="0">
      <selection activeCell="E18" sqref="E18"/>
    </sheetView>
  </sheetViews>
  <sheetFormatPr baseColWidth="10" defaultRowHeight="16" x14ac:dyDescent="0.2"/>
  <cols>
    <col min="3" max="3" width="17.83203125" customWidth="1"/>
    <col min="12" max="12" width="12.33203125" customWidth="1"/>
  </cols>
  <sheetData>
    <row r="1" spans="2:37" ht="17" x14ac:dyDescent="0.2">
      <c r="R1" s="7" t="s">
        <v>105</v>
      </c>
      <c r="S1" s="7" t="s">
        <v>106</v>
      </c>
      <c r="T1" s="7" t="s">
        <v>107</v>
      </c>
      <c r="U1" s="7" t="s">
        <v>108</v>
      </c>
      <c r="W1" s="1" t="s">
        <v>109</v>
      </c>
      <c r="X1" t="s">
        <v>110</v>
      </c>
      <c r="Y1" s="1" t="s">
        <v>46</v>
      </c>
      <c r="Z1" s="1" t="s">
        <v>111</v>
      </c>
    </row>
    <row r="2" spans="2:37" x14ac:dyDescent="0.2">
      <c r="D2" t="s">
        <v>46</v>
      </c>
      <c r="E2" t="s">
        <v>47</v>
      </c>
      <c r="F2" t="s">
        <v>45</v>
      </c>
      <c r="L2" t="s">
        <v>49</v>
      </c>
      <c r="N2" t="s">
        <v>50</v>
      </c>
      <c r="O2" t="s">
        <v>51</v>
      </c>
      <c r="Q2">
        <v>1</v>
      </c>
      <c r="R2" s="5" t="s">
        <v>79</v>
      </c>
      <c r="S2" s="5">
        <v>0.70520000000000005</v>
      </c>
      <c r="T2" s="6">
        <v>3</v>
      </c>
      <c r="U2" s="6" t="s">
        <v>76</v>
      </c>
      <c r="W2">
        <f t="shared" ref="W2:W45" si="0">S2*T2</f>
        <v>2.1156000000000001</v>
      </c>
      <c r="X2" s="8">
        <f>W2/$W$48</f>
        <v>2.7211692847438182E-3</v>
      </c>
      <c r="Y2">
        <f>X2*$N$5</f>
        <v>5.9651048755879704E-2</v>
      </c>
      <c r="Z2">
        <f>Y2/T2</f>
        <v>1.9883682918626567E-2</v>
      </c>
      <c r="AG2" t="s">
        <v>112</v>
      </c>
      <c r="AH2" s="1" t="s">
        <v>109</v>
      </c>
      <c r="AI2" t="s">
        <v>110</v>
      </c>
      <c r="AJ2" s="1" t="s">
        <v>46</v>
      </c>
      <c r="AK2" s="1" t="s">
        <v>111</v>
      </c>
    </row>
    <row r="3" spans="2:37" x14ac:dyDescent="0.2">
      <c r="D3" s="1" t="s">
        <v>43</v>
      </c>
      <c r="E3" s="1" t="s">
        <v>44</v>
      </c>
      <c r="L3">
        <f>+D5-E5</f>
        <v>31.196366269183159</v>
      </c>
      <c r="N3">
        <v>30.233902299984798</v>
      </c>
      <c r="O3">
        <v>12.792565285417638</v>
      </c>
      <c r="P3" t="s">
        <v>52</v>
      </c>
      <c r="Q3">
        <v>2</v>
      </c>
      <c r="R3" s="3" t="s">
        <v>64</v>
      </c>
      <c r="S3" s="3">
        <v>4.4340000000000002</v>
      </c>
      <c r="T3" s="4">
        <v>4</v>
      </c>
      <c r="U3" s="4" t="s">
        <v>60</v>
      </c>
      <c r="W3">
        <f t="shared" si="0"/>
        <v>17.736000000000001</v>
      </c>
      <c r="X3" s="8">
        <f t="shared" ref="X3:X46" si="1">W3/$W$48</f>
        <v>2.281275214322951E-2</v>
      </c>
      <c r="Y3">
        <f t="shared" ref="Y3:Y46" si="2">X3*$N$5</f>
        <v>0.50008082848094271</v>
      </c>
      <c r="Z3">
        <f t="shared" ref="Z3:Z46" si="3">Y3/T3</f>
        <v>0.12502020712023568</v>
      </c>
    </row>
    <row r="4" spans="2:37" x14ac:dyDescent="0.2">
      <c r="N4" s="2">
        <f>+N3/(N3+O3)</f>
        <v>0.70268148878301684</v>
      </c>
      <c r="O4" s="2">
        <f>1-N4</f>
        <v>0.29731851121698316</v>
      </c>
      <c r="P4" t="s">
        <v>53</v>
      </c>
      <c r="Q4">
        <v>3</v>
      </c>
      <c r="R4" s="5" t="s">
        <v>87</v>
      </c>
      <c r="S4" s="5">
        <v>0.42370000000000002</v>
      </c>
      <c r="T4" s="6">
        <v>4</v>
      </c>
      <c r="U4" s="6" t="s">
        <v>76</v>
      </c>
      <c r="W4">
        <f t="shared" si="0"/>
        <v>1.6948000000000001</v>
      </c>
      <c r="X4" s="8">
        <f t="shared" si="1"/>
        <v>2.1799195045300733E-3</v>
      </c>
      <c r="Y4">
        <f t="shared" si="2"/>
        <v>4.7786253276358916E-2</v>
      </c>
      <c r="Z4">
        <f t="shared" si="3"/>
        <v>1.1946563319089729E-2</v>
      </c>
      <c r="AF4">
        <v>1</v>
      </c>
      <c r="AG4">
        <v>0</v>
      </c>
      <c r="AH4">
        <f t="shared" ref="AH4:AH51" si="4">AG4*AF4</f>
        <v>0</v>
      </c>
      <c r="AI4" s="9">
        <f>AH4/$AH$54</f>
        <v>0</v>
      </c>
      <c r="AJ4">
        <f>AI4*$O$5</f>
        <v>0</v>
      </c>
      <c r="AK4">
        <f t="shared" ref="AK4:AK51" si="5">AJ4/AF4</f>
        <v>0</v>
      </c>
    </row>
    <row r="5" spans="2:37" x14ac:dyDescent="0.2">
      <c r="C5" t="s">
        <v>48</v>
      </c>
      <c r="D5">
        <f>+D6+D7</f>
        <v>217.50473522160928</v>
      </c>
      <c r="E5">
        <f>+SUM(E6:E47)</f>
        <v>186.30836895242612</v>
      </c>
      <c r="G5" s="1" t="s">
        <v>55</v>
      </c>
      <c r="L5" t="s">
        <v>358</v>
      </c>
      <c r="N5">
        <f>+N4*L3</f>
        <v>21.921109094649911</v>
      </c>
      <c r="O5">
        <f>+O4*L3</f>
        <v>9.2752571745332482</v>
      </c>
      <c r="P5" t="s">
        <v>54</v>
      </c>
      <c r="Q5">
        <v>4</v>
      </c>
      <c r="R5" s="5" t="s">
        <v>91</v>
      </c>
      <c r="S5" s="5">
        <v>0.24740000000000001</v>
      </c>
      <c r="T5" s="6">
        <v>4</v>
      </c>
      <c r="U5" s="6" t="s">
        <v>57</v>
      </c>
      <c r="W5">
        <f t="shared" si="0"/>
        <v>0.98960000000000004</v>
      </c>
      <c r="X5" s="8">
        <f t="shared" si="1"/>
        <v>1.2728630762821338E-3</v>
      </c>
      <c r="Y5">
        <f t="shared" si="2"/>
        <v>2.7902570357732345E-2</v>
      </c>
      <c r="Z5">
        <f t="shared" si="3"/>
        <v>6.9756425894330863E-3</v>
      </c>
      <c r="AF5">
        <v>2</v>
      </c>
      <c r="AG5">
        <v>0</v>
      </c>
      <c r="AH5">
        <f t="shared" si="4"/>
        <v>0</v>
      </c>
      <c r="AI5" s="9">
        <f t="shared" ref="AI5:AI51" si="6">AH5/$AH$54</f>
        <v>0</v>
      </c>
      <c r="AJ5">
        <f t="shared" ref="AJ5:AJ51" si="7">AI5*$O$5</f>
        <v>0</v>
      </c>
      <c r="AK5">
        <f t="shared" si="5"/>
        <v>0</v>
      </c>
    </row>
    <row r="6" spans="2:37" x14ac:dyDescent="0.2">
      <c r="C6" t="s">
        <v>41</v>
      </c>
      <c r="D6">
        <v>52.733113232800932</v>
      </c>
      <c r="E6">
        <v>13.424828135682759</v>
      </c>
      <c r="F6" s="9">
        <f>+(D6-E6)/D6</f>
        <v>0.74541938996819412</v>
      </c>
      <c r="G6" s="2"/>
      <c r="H6" s="2"/>
      <c r="I6" s="2"/>
      <c r="J6" s="2"/>
      <c r="L6">
        <f>+D7+D6-E6-E7</f>
        <v>77.437733835795399</v>
      </c>
      <c r="Q6">
        <v>5</v>
      </c>
      <c r="R6" s="5" t="s">
        <v>61</v>
      </c>
      <c r="S6" s="5">
        <v>9.5908000000000015</v>
      </c>
      <c r="T6" s="6">
        <v>5</v>
      </c>
      <c r="U6" s="6" t="s">
        <v>60</v>
      </c>
      <c r="W6">
        <f t="shared" si="0"/>
        <v>47.954000000000008</v>
      </c>
      <c r="X6" s="8">
        <f t="shared" si="1"/>
        <v>6.1680351616848678E-2</v>
      </c>
      <c r="Y6">
        <f t="shared" si="2"/>
        <v>1.3521017167893059</v>
      </c>
      <c r="Z6">
        <f t="shared" si="3"/>
        <v>0.27042034335786119</v>
      </c>
      <c r="AF6">
        <v>3</v>
      </c>
      <c r="AG6">
        <v>0</v>
      </c>
      <c r="AH6">
        <f t="shared" si="4"/>
        <v>0</v>
      </c>
      <c r="AI6" s="9">
        <f t="shared" si="6"/>
        <v>0</v>
      </c>
      <c r="AJ6">
        <f t="shared" si="7"/>
        <v>0</v>
      </c>
      <c r="AK6">
        <f t="shared" si="5"/>
        <v>0</v>
      </c>
    </row>
    <row r="7" spans="2:37" x14ac:dyDescent="0.2">
      <c r="B7">
        <v>1</v>
      </c>
      <c r="C7" t="s">
        <v>0</v>
      </c>
      <c r="D7">
        <v>164.77162198880833</v>
      </c>
      <c r="E7">
        <v>126.64217325013112</v>
      </c>
      <c r="F7" s="9">
        <f>+(D7-E7)/D7</f>
        <v>0.23140786185419143</v>
      </c>
      <c r="G7" s="2"/>
      <c r="H7" s="2"/>
      <c r="I7" s="2"/>
      <c r="J7" s="2"/>
      <c r="Q7">
        <v>6</v>
      </c>
      <c r="R7" s="3" t="s">
        <v>75</v>
      </c>
      <c r="S7" s="3">
        <v>0.84379999999999999</v>
      </c>
      <c r="T7" s="4">
        <v>5</v>
      </c>
      <c r="U7" s="4" t="s">
        <v>76</v>
      </c>
      <c r="W7">
        <f t="shared" si="0"/>
        <v>4.2190000000000003</v>
      </c>
      <c r="X7" s="8">
        <f t="shared" si="1"/>
        <v>5.4266464418293477E-3</v>
      </c>
      <c r="Y7">
        <f t="shared" si="2"/>
        <v>0.11895810866943489</v>
      </c>
      <c r="Z7">
        <f t="shared" si="3"/>
        <v>2.3791621733886978E-2</v>
      </c>
      <c r="AF7">
        <v>4</v>
      </c>
      <c r="AG7">
        <v>0</v>
      </c>
      <c r="AH7">
        <f t="shared" si="4"/>
        <v>0</v>
      </c>
      <c r="AI7" s="9">
        <f t="shared" si="6"/>
        <v>0</v>
      </c>
      <c r="AJ7">
        <f t="shared" si="7"/>
        <v>0</v>
      </c>
      <c r="AK7">
        <f t="shared" si="5"/>
        <v>0</v>
      </c>
    </row>
    <row r="8" spans="2:37" x14ac:dyDescent="0.2">
      <c r="B8">
        <v>8</v>
      </c>
      <c r="C8" t="s">
        <v>1</v>
      </c>
      <c r="E8">
        <v>0</v>
      </c>
      <c r="G8">
        <f>+E8/B8</f>
        <v>0</v>
      </c>
      <c r="H8" t="s">
        <v>60</v>
      </c>
      <c r="I8">
        <v>1</v>
      </c>
      <c r="Q8">
        <v>7</v>
      </c>
      <c r="R8" s="3" t="s">
        <v>81</v>
      </c>
      <c r="S8" s="3">
        <v>0.71390000000000009</v>
      </c>
      <c r="T8" s="4">
        <v>5</v>
      </c>
      <c r="U8" s="4" t="s">
        <v>57</v>
      </c>
      <c r="W8">
        <f t="shared" si="0"/>
        <v>3.5695000000000006</v>
      </c>
      <c r="X8" s="8">
        <f t="shared" si="1"/>
        <v>4.5912335800212985E-3</v>
      </c>
      <c r="Y8">
        <f t="shared" si="2"/>
        <v>0.10064493218666695</v>
      </c>
      <c r="Z8">
        <f t="shared" si="3"/>
        <v>2.012898643733339E-2</v>
      </c>
      <c r="AF8">
        <v>5</v>
      </c>
      <c r="AG8">
        <v>0</v>
      </c>
      <c r="AH8">
        <f t="shared" si="4"/>
        <v>0</v>
      </c>
      <c r="AI8" s="9">
        <f t="shared" si="6"/>
        <v>0</v>
      </c>
      <c r="AJ8">
        <f t="shared" si="7"/>
        <v>0</v>
      </c>
      <c r="AK8">
        <f t="shared" si="5"/>
        <v>0</v>
      </c>
    </row>
    <row r="9" spans="2:37" x14ac:dyDescent="0.2">
      <c r="B9">
        <v>7</v>
      </c>
      <c r="C9" t="s">
        <v>2</v>
      </c>
      <c r="E9">
        <v>0</v>
      </c>
      <c r="G9">
        <f t="shared" ref="G9:G47" si="8">+E9/B9</f>
        <v>0</v>
      </c>
      <c r="H9" t="s">
        <v>67</v>
      </c>
      <c r="I9">
        <v>2</v>
      </c>
      <c r="Q9">
        <v>8</v>
      </c>
      <c r="R9" s="3" t="s">
        <v>90</v>
      </c>
      <c r="S9" s="3">
        <v>0.29859999999999998</v>
      </c>
      <c r="T9" s="4">
        <v>5</v>
      </c>
      <c r="U9" s="4" t="s">
        <v>73</v>
      </c>
      <c r="W9">
        <f t="shared" si="0"/>
        <v>1.4929999999999999</v>
      </c>
      <c r="X9" s="8">
        <f t="shared" si="1"/>
        <v>1.9203562781823216E-3</v>
      </c>
      <c r="Y9">
        <f t="shared" si="2"/>
        <v>4.2096339474630547E-2</v>
      </c>
      <c r="Z9">
        <f t="shared" si="3"/>
        <v>8.41926789492611E-3</v>
      </c>
      <c r="AF9">
        <v>6</v>
      </c>
      <c r="AG9">
        <v>0</v>
      </c>
      <c r="AH9">
        <f t="shared" si="4"/>
        <v>0</v>
      </c>
      <c r="AI9" s="9">
        <f t="shared" si="6"/>
        <v>0</v>
      </c>
      <c r="AJ9">
        <f t="shared" si="7"/>
        <v>0</v>
      </c>
      <c r="AK9">
        <f t="shared" si="5"/>
        <v>0</v>
      </c>
    </row>
    <row r="10" spans="2:37" x14ac:dyDescent="0.2">
      <c r="B10">
        <v>9</v>
      </c>
      <c r="C10" t="s">
        <v>3</v>
      </c>
      <c r="E10">
        <v>0.27298183864583148</v>
      </c>
      <c r="G10">
        <f t="shared" si="8"/>
        <v>3.0331315405092388E-2</v>
      </c>
      <c r="H10" t="s">
        <v>67</v>
      </c>
      <c r="I10">
        <v>3</v>
      </c>
      <c r="Q10">
        <v>9</v>
      </c>
      <c r="R10" s="3" t="s">
        <v>56</v>
      </c>
      <c r="S10" s="3">
        <v>9.5949000000000009</v>
      </c>
      <c r="T10" s="4">
        <v>6</v>
      </c>
      <c r="U10" s="4" t="s">
        <v>57</v>
      </c>
      <c r="W10">
        <f t="shared" si="0"/>
        <v>57.569400000000002</v>
      </c>
      <c r="X10" s="8">
        <f t="shared" si="1"/>
        <v>7.4048063443529377E-2</v>
      </c>
      <c r="Y10">
        <f t="shared" si="2"/>
        <v>1.6232156769931654</v>
      </c>
      <c r="Z10">
        <f t="shared" si="3"/>
        <v>0.27053594616552756</v>
      </c>
      <c r="AF10">
        <v>7</v>
      </c>
      <c r="AG10">
        <v>0</v>
      </c>
      <c r="AH10">
        <f t="shared" si="4"/>
        <v>0</v>
      </c>
      <c r="AI10" s="9">
        <f t="shared" si="6"/>
        <v>0</v>
      </c>
      <c r="AJ10">
        <f t="shared" si="7"/>
        <v>0</v>
      </c>
      <c r="AK10">
        <f t="shared" si="5"/>
        <v>0</v>
      </c>
    </row>
    <row r="11" spans="2:37" x14ac:dyDescent="0.2">
      <c r="B11">
        <v>8</v>
      </c>
      <c r="C11" t="s">
        <v>4</v>
      </c>
      <c r="E11">
        <v>2.1952065544658156E-6</v>
      </c>
      <c r="G11">
        <f t="shared" si="8"/>
        <v>2.7440081930822695E-7</v>
      </c>
      <c r="H11" t="s">
        <v>67</v>
      </c>
      <c r="I11">
        <v>4</v>
      </c>
      <c r="Q11">
        <v>10</v>
      </c>
      <c r="R11" s="5" t="s">
        <v>69</v>
      </c>
      <c r="S11" s="5">
        <v>3.8918999999999997</v>
      </c>
      <c r="T11" s="6">
        <v>6</v>
      </c>
      <c r="U11" s="6" t="s">
        <v>60</v>
      </c>
      <c r="W11">
        <f t="shared" si="0"/>
        <v>23.351399999999998</v>
      </c>
      <c r="X11" s="8">
        <f t="shared" si="1"/>
        <v>3.0035504081946864E-2</v>
      </c>
      <c r="Y11">
        <f t="shared" si="2"/>
        <v>0.65841156169315995</v>
      </c>
      <c r="Z11">
        <f t="shared" si="3"/>
        <v>0.10973526028219333</v>
      </c>
      <c r="AF11">
        <v>8</v>
      </c>
      <c r="AG11">
        <v>2.5</v>
      </c>
      <c r="AH11">
        <f t="shared" si="4"/>
        <v>20</v>
      </c>
      <c r="AI11" s="9">
        <f t="shared" si="6"/>
        <v>1.3580498404291439E-2</v>
      </c>
      <c r="AJ11">
        <f t="shared" si="7"/>
        <v>0.12596261525814151</v>
      </c>
      <c r="AK11">
        <f t="shared" si="5"/>
        <v>1.5745326907267689E-2</v>
      </c>
    </row>
    <row r="12" spans="2:37" x14ac:dyDescent="0.2">
      <c r="B12">
        <v>8</v>
      </c>
      <c r="C12" t="s">
        <v>5</v>
      </c>
      <c r="E12">
        <v>0.3394795157533263</v>
      </c>
      <c r="G12">
        <f t="shared" si="8"/>
        <v>4.2434939469165787E-2</v>
      </c>
      <c r="H12" t="s">
        <v>67</v>
      </c>
      <c r="I12">
        <v>5</v>
      </c>
      <c r="Q12">
        <v>11</v>
      </c>
      <c r="R12" s="3" t="s">
        <v>72</v>
      </c>
      <c r="S12" s="3">
        <v>0.96410000000000007</v>
      </c>
      <c r="T12" s="4">
        <v>6</v>
      </c>
      <c r="U12" s="4" t="s">
        <v>73</v>
      </c>
      <c r="W12">
        <f t="shared" si="0"/>
        <v>5.7846000000000002</v>
      </c>
      <c r="X12" s="8">
        <f t="shared" si="1"/>
        <v>7.4403837419782046E-3</v>
      </c>
      <c r="Y12">
        <f t="shared" si="2"/>
        <v>0.16310146371396375</v>
      </c>
      <c r="Z12">
        <f t="shared" si="3"/>
        <v>2.7183577285660624E-2</v>
      </c>
      <c r="AF12">
        <v>9</v>
      </c>
      <c r="AG12">
        <v>3.0999999999999996</v>
      </c>
      <c r="AH12">
        <f t="shared" si="4"/>
        <v>27.9</v>
      </c>
      <c r="AI12" s="9">
        <f t="shared" si="6"/>
        <v>1.8944795273986556E-2</v>
      </c>
      <c r="AJ12">
        <f t="shared" si="7"/>
        <v>0.17571784828510736</v>
      </c>
      <c r="AK12">
        <f t="shared" si="5"/>
        <v>1.952420536501193E-2</v>
      </c>
    </row>
    <row r="13" spans="2:37" x14ac:dyDescent="0.2">
      <c r="B13">
        <v>8</v>
      </c>
      <c r="C13" t="s">
        <v>6</v>
      </c>
      <c r="E13">
        <v>0</v>
      </c>
      <c r="G13">
        <f t="shared" si="8"/>
        <v>0</v>
      </c>
      <c r="H13" t="s">
        <v>67</v>
      </c>
      <c r="I13">
        <v>6</v>
      </c>
      <c r="Q13">
        <v>12</v>
      </c>
      <c r="R13" s="5" t="s">
        <v>96</v>
      </c>
      <c r="S13" s="5">
        <v>0.109</v>
      </c>
      <c r="T13" s="6">
        <v>6</v>
      </c>
      <c r="U13" s="6" t="s">
        <v>76</v>
      </c>
      <c r="W13">
        <f t="shared" si="0"/>
        <v>0.65400000000000003</v>
      </c>
      <c r="X13" s="8">
        <f t="shared" si="1"/>
        <v>8.4120094168200837E-4</v>
      </c>
      <c r="Y13">
        <f t="shared" si="2"/>
        <v>1.8440057613133543E-2</v>
      </c>
      <c r="Z13">
        <f t="shared" si="3"/>
        <v>3.0733429355222571E-3</v>
      </c>
      <c r="AF13">
        <v>10</v>
      </c>
      <c r="AG13">
        <v>7.9</v>
      </c>
      <c r="AH13">
        <f t="shared" si="4"/>
        <v>79</v>
      </c>
      <c r="AI13" s="9">
        <f t="shared" si="6"/>
        <v>5.3642968696951183E-2</v>
      </c>
      <c r="AJ13">
        <f t="shared" si="7"/>
        <v>0.49755233026965889</v>
      </c>
      <c r="AK13">
        <f t="shared" si="5"/>
        <v>4.9755233026965891E-2</v>
      </c>
    </row>
    <row r="14" spans="2:37" x14ac:dyDescent="0.2">
      <c r="B14">
        <v>8</v>
      </c>
      <c r="C14" t="s">
        <v>7</v>
      </c>
      <c r="E14">
        <v>0</v>
      </c>
      <c r="G14">
        <f t="shared" si="8"/>
        <v>0</v>
      </c>
      <c r="H14" t="s">
        <v>67</v>
      </c>
      <c r="I14">
        <v>7</v>
      </c>
      <c r="Q14">
        <v>13</v>
      </c>
      <c r="R14" s="3" t="s">
        <v>98</v>
      </c>
      <c r="S14" s="3">
        <v>0.08</v>
      </c>
      <c r="T14" s="4">
        <v>6</v>
      </c>
      <c r="U14" s="4" t="s">
        <v>67</v>
      </c>
      <c r="W14">
        <f t="shared" si="0"/>
        <v>0.48</v>
      </c>
      <c r="X14" s="8">
        <f t="shared" si="1"/>
        <v>6.1739518655560242E-4</v>
      </c>
      <c r="Y14">
        <f t="shared" si="2"/>
        <v>1.3533987238997094E-2</v>
      </c>
      <c r="Z14">
        <f t="shared" si="3"/>
        <v>2.2556645398328491E-3</v>
      </c>
      <c r="AF14">
        <v>11</v>
      </c>
      <c r="AG14">
        <v>9.1000000000000014</v>
      </c>
      <c r="AH14">
        <f t="shared" si="4"/>
        <v>100.10000000000002</v>
      </c>
      <c r="AI14" s="9">
        <f t="shared" si="6"/>
        <v>6.7970394513478666E-2</v>
      </c>
      <c r="AJ14">
        <f t="shared" si="7"/>
        <v>0.63044288936699833</v>
      </c>
      <c r="AK14">
        <f t="shared" si="5"/>
        <v>5.7312989942454394E-2</v>
      </c>
    </row>
    <row r="15" spans="2:37" x14ac:dyDescent="0.2">
      <c r="B15">
        <v>9</v>
      </c>
      <c r="C15" t="s">
        <v>8</v>
      </c>
      <c r="E15">
        <v>0</v>
      </c>
      <c r="G15">
        <f t="shared" si="8"/>
        <v>0</v>
      </c>
      <c r="H15" t="s">
        <v>67</v>
      </c>
      <c r="I15">
        <v>8</v>
      </c>
      <c r="Q15">
        <v>14</v>
      </c>
      <c r="R15" s="5" t="s">
        <v>58</v>
      </c>
      <c r="S15" s="5">
        <v>8.1823999999999995</v>
      </c>
      <c r="T15" s="6">
        <v>7</v>
      </c>
      <c r="U15" s="6" t="s">
        <v>57</v>
      </c>
      <c r="W15">
        <f t="shared" si="0"/>
        <v>57.276799999999994</v>
      </c>
      <c r="X15" s="8">
        <f t="shared" si="1"/>
        <v>7.3671709627724846E-2</v>
      </c>
      <c r="Y15">
        <f t="shared" si="2"/>
        <v>1.6149655839387265</v>
      </c>
      <c r="Z15">
        <f t="shared" si="3"/>
        <v>0.23070936913410378</v>
      </c>
      <c r="AF15">
        <v>12</v>
      </c>
      <c r="AG15">
        <v>10.5</v>
      </c>
      <c r="AH15">
        <f t="shared" si="4"/>
        <v>126</v>
      </c>
      <c r="AI15" s="9">
        <f t="shared" si="6"/>
        <v>8.5557139947036065E-2</v>
      </c>
      <c r="AJ15">
        <f t="shared" si="7"/>
        <v>0.79356447612629144</v>
      </c>
      <c r="AK15">
        <f t="shared" si="5"/>
        <v>6.6130373010524282E-2</v>
      </c>
    </row>
    <row r="16" spans="2:37" x14ac:dyDescent="0.2">
      <c r="B16">
        <v>10</v>
      </c>
      <c r="C16" t="s">
        <v>9</v>
      </c>
      <c r="E16">
        <v>4.9085231091620912E-6</v>
      </c>
      <c r="G16">
        <f t="shared" si="8"/>
        <v>4.9085231091620912E-7</v>
      </c>
      <c r="H16" t="s">
        <v>60</v>
      </c>
      <c r="I16">
        <v>9</v>
      </c>
      <c r="Q16">
        <v>15</v>
      </c>
      <c r="R16" s="3" t="s">
        <v>70</v>
      </c>
      <c r="S16" s="3">
        <v>5.7110999999999992</v>
      </c>
      <c r="T16" s="4">
        <v>7</v>
      </c>
      <c r="U16" s="4" t="s">
        <v>60</v>
      </c>
      <c r="W16">
        <f t="shared" si="0"/>
        <v>39.977699999999992</v>
      </c>
      <c r="X16" s="8">
        <f t="shared" si="1"/>
        <v>5.1420915728258132E-2</v>
      </c>
      <c r="Y16">
        <f t="shared" si="2"/>
        <v>1.127203503425946</v>
      </c>
      <c r="Z16">
        <f t="shared" si="3"/>
        <v>0.16102907191799229</v>
      </c>
      <c r="AF16">
        <v>13</v>
      </c>
      <c r="AG16">
        <v>10.899999999999999</v>
      </c>
      <c r="AH16">
        <f t="shared" si="4"/>
        <v>141.69999999999999</v>
      </c>
      <c r="AI16" s="9">
        <f t="shared" si="6"/>
        <v>9.6217831194404843E-2</v>
      </c>
      <c r="AJ16">
        <f t="shared" si="7"/>
        <v>0.89244512910393248</v>
      </c>
      <c r="AK16">
        <f t="shared" si="5"/>
        <v>6.8649625315687107E-2</v>
      </c>
    </row>
    <row r="17" spans="2:37" x14ac:dyDescent="0.2">
      <c r="B17">
        <v>10</v>
      </c>
      <c r="C17" t="s">
        <v>10</v>
      </c>
      <c r="E17">
        <v>4.3389939217189498E-2</v>
      </c>
      <c r="G17">
        <f t="shared" si="8"/>
        <v>4.3389939217189496E-3</v>
      </c>
      <c r="H17" t="s">
        <v>76</v>
      </c>
      <c r="I17">
        <v>10</v>
      </c>
      <c r="Q17">
        <v>16</v>
      </c>
      <c r="R17" s="3" t="s">
        <v>83</v>
      </c>
      <c r="S17" s="3">
        <v>0.87059999999999993</v>
      </c>
      <c r="T17" s="4">
        <v>7</v>
      </c>
      <c r="U17" s="4" t="s">
        <v>73</v>
      </c>
      <c r="W17">
        <f t="shared" si="0"/>
        <v>6.0941999999999998</v>
      </c>
      <c r="X17" s="8">
        <f t="shared" si="1"/>
        <v>7.8386036373065682E-3</v>
      </c>
      <c r="Y17">
        <f t="shared" si="2"/>
        <v>0.17183088548311687</v>
      </c>
      <c r="Z17">
        <f t="shared" si="3"/>
        <v>2.4547269354730981E-2</v>
      </c>
      <c r="AF17">
        <v>14</v>
      </c>
      <c r="AG17">
        <v>10.700000000000003</v>
      </c>
      <c r="AH17">
        <f t="shared" si="4"/>
        <v>149.80000000000004</v>
      </c>
      <c r="AI17" s="9">
        <f t="shared" si="6"/>
        <v>0.1017179330481429</v>
      </c>
      <c r="AJ17">
        <f t="shared" si="7"/>
        <v>0.9434599882834801</v>
      </c>
      <c r="AK17">
        <f t="shared" si="5"/>
        <v>6.7389999163105715E-2</v>
      </c>
    </row>
    <row r="18" spans="2:37" x14ac:dyDescent="0.2">
      <c r="B18">
        <v>1</v>
      </c>
      <c r="C18" t="s">
        <v>11</v>
      </c>
      <c r="E18">
        <v>11.284207492384297</v>
      </c>
      <c r="G18">
        <f t="shared" si="8"/>
        <v>11.284207492384297</v>
      </c>
      <c r="H18" t="s">
        <v>76</v>
      </c>
      <c r="I18">
        <v>11</v>
      </c>
      <c r="Q18">
        <v>17</v>
      </c>
      <c r="R18" s="3" t="s">
        <v>2</v>
      </c>
      <c r="S18" s="3">
        <v>0.21390000000000001</v>
      </c>
      <c r="T18" s="4">
        <v>7</v>
      </c>
      <c r="U18" s="4" t="s">
        <v>67</v>
      </c>
      <c r="W18">
        <f t="shared" si="0"/>
        <v>1.4973000000000001</v>
      </c>
      <c r="X18" s="8">
        <f t="shared" si="1"/>
        <v>1.9258871100618826E-3</v>
      </c>
      <c r="Y18">
        <f t="shared" si="2"/>
        <v>4.2217581443646568E-2</v>
      </c>
      <c r="Z18">
        <f t="shared" si="3"/>
        <v>6.031083063378081E-3</v>
      </c>
      <c r="AF18">
        <v>15</v>
      </c>
      <c r="AG18">
        <v>9.5</v>
      </c>
      <c r="AH18">
        <f t="shared" si="4"/>
        <v>142.5</v>
      </c>
      <c r="AI18" s="9">
        <f t="shared" si="6"/>
        <v>9.6761051130576509E-2</v>
      </c>
      <c r="AJ18">
        <f t="shared" si="7"/>
        <v>0.89748363371425821</v>
      </c>
      <c r="AK18">
        <f t="shared" si="5"/>
        <v>5.9832242247617212E-2</v>
      </c>
    </row>
    <row r="19" spans="2:37" x14ac:dyDescent="0.2">
      <c r="B19">
        <v>2</v>
      </c>
      <c r="C19" t="s">
        <v>12</v>
      </c>
      <c r="E19">
        <v>5.9331211526280123</v>
      </c>
      <c r="G19">
        <f t="shared" si="8"/>
        <v>2.9665605763140062</v>
      </c>
      <c r="H19" t="s">
        <v>60</v>
      </c>
      <c r="I19">
        <v>12</v>
      </c>
      <c r="Q19">
        <v>18</v>
      </c>
      <c r="R19" s="3" t="s">
        <v>59</v>
      </c>
      <c r="S19" s="3">
        <v>9.3793000000000024</v>
      </c>
      <c r="T19" s="4">
        <v>8</v>
      </c>
      <c r="U19" s="4" t="s">
        <v>60</v>
      </c>
      <c r="W19">
        <f t="shared" si="0"/>
        <v>75.034400000000019</v>
      </c>
      <c r="X19" s="8">
        <f t="shared" si="1"/>
        <v>9.6512244554349397E-2</v>
      </c>
      <c r="Y19">
        <f t="shared" si="2"/>
        <v>2.115655441845425</v>
      </c>
      <c r="Z19">
        <f t="shared" si="3"/>
        <v>0.26445693023067812</v>
      </c>
      <c r="AF19">
        <v>16</v>
      </c>
      <c r="AG19">
        <v>7.7000000000000028</v>
      </c>
      <c r="AH19">
        <f t="shared" si="4"/>
        <v>123.20000000000005</v>
      </c>
      <c r="AI19" s="9">
        <f t="shared" si="6"/>
        <v>8.3655870170435298E-2</v>
      </c>
      <c r="AJ19">
        <f t="shared" si="7"/>
        <v>0.77592970999015198</v>
      </c>
      <c r="AK19">
        <f t="shared" si="5"/>
        <v>4.8495606874384499E-2</v>
      </c>
    </row>
    <row r="20" spans="2:37" x14ac:dyDescent="0.2">
      <c r="B20">
        <v>2</v>
      </c>
      <c r="C20" t="s">
        <v>13</v>
      </c>
      <c r="E20">
        <v>0</v>
      </c>
      <c r="G20">
        <f t="shared" si="8"/>
        <v>0</v>
      </c>
      <c r="H20" t="s">
        <v>60</v>
      </c>
      <c r="I20">
        <v>13</v>
      </c>
      <c r="Q20">
        <v>19</v>
      </c>
      <c r="R20" s="5" t="s">
        <v>66</v>
      </c>
      <c r="S20" s="5">
        <v>1.7669999999999999</v>
      </c>
      <c r="T20" s="6">
        <v>8</v>
      </c>
      <c r="U20" s="6" t="s">
        <v>67</v>
      </c>
      <c r="W20">
        <f t="shared" si="0"/>
        <v>14.135999999999999</v>
      </c>
      <c r="X20" s="8">
        <f t="shared" si="1"/>
        <v>1.818228824406249E-2</v>
      </c>
      <c r="Y20">
        <f t="shared" si="2"/>
        <v>0.39857592418846438</v>
      </c>
      <c r="Z20">
        <f t="shared" si="3"/>
        <v>4.9821990523558048E-2</v>
      </c>
      <c r="AF20">
        <v>17</v>
      </c>
      <c r="AG20">
        <v>6.6999999999999886</v>
      </c>
      <c r="AH20">
        <f t="shared" si="4"/>
        <v>113.89999999999981</v>
      </c>
      <c r="AI20" s="9">
        <f t="shared" si="6"/>
        <v>7.7340938412439608E-2</v>
      </c>
      <c r="AJ20">
        <f t="shared" si="7"/>
        <v>0.71735709389511459</v>
      </c>
      <c r="AK20">
        <f t="shared" si="5"/>
        <v>4.2197476111477332E-2</v>
      </c>
    </row>
    <row r="21" spans="2:37" x14ac:dyDescent="0.2">
      <c r="B21">
        <v>2</v>
      </c>
      <c r="C21" t="s">
        <v>14</v>
      </c>
      <c r="E21">
        <v>1.5050825544635154</v>
      </c>
      <c r="G21">
        <f t="shared" si="8"/>
        <v>0.75254127723175768</v>
      </c>
      <c r="H21" t="s">
        <v>76</v>
      </c>
      <c r="I21">
        <v>14</v>
      </c>
      <c r="Q21">
        <v>20</v>
      </c>
      <c r="R21" s="3" t="s">
        <v>68</v>
      </c>
      <c r="S21" s="3">
        <v>3.4165000000000005</v>
      </c>
      <c r="T21" s="4">
        <v>8</v>
      </c>
      <c r="U21" s="4" t="s">
        <v>57</v>
      </c>
      <c r="W21">
        <f t="shared" si="0"/>
        <v>27.332000000000004</v>
      </c>
      <c r="X21" s="8">
        <f t="shared" si="1"/>
        <v>3.5155510914453604E-2</v>
      </c>
      <c r="Y21">
        <f t="shared" si="2"/>
        <v>0.77064779003389305</v>
      </c>
      <c r="Z21">
        <f t="shared" si="3"/>
        <v>9.6330973754236632E-2</v>
      </c>
      <c r="AF21">
        <v>18</v>
      </c>
      <c r="AG21">
        <v>6.2000000000000028</v>
      </c>
      <c r="AH21">
        <f t="shared" si="4"/>
        <v>111.60000000000005</v>
      </c>
      <c r="AI21" s="9">
        <f t="shared" si="6"/>
        <v>7.5779181095946266E-2</v>
      </c>
      <c r="AJ21">
        <f t="shared" si="7"/>
        <v>0.7028713931404299</v>
      </c>
      <c r="AK21">
        <f t="shared" si="5"/>
        <v>3.904841073002388E-2</v>
      </c>
    </row>
    <row r="22" spans="2:37" x14ac:dyDescent="0.2">
      <c r="B22">
        <v>3</v>
      </c>
      <c r="C22" t="s">
        <v>15</v>
      </c>
      <c r="E22">
        <v>8.9473557122276119</v>
      </c>
      <c r="G22">
        <f t="shared" si="8"/>
        <v>2.9824519040758708</v>
      </c>
      <c r="H22" t="s">
        <v>60</v>
      </c>
      <c r="I22">
        <v>15</v>
      </c>
      <c r="Q22">
        <v>21</v>
      </c>
      <c r="R22" s="5" t="s">
        <v>80</v>
      </c>
      <c r="S22" s="5">
        <v>1.5335999999999999</v>
      </c>
      <c r="T22" s="6">
        <v>8</v>
      </c>
      <c r="U22" s="6" t="s">
        <v>73</v>
      </c>
      <c r="W22">
        <f t="shared" si="0"/>
        <v>12.268799999999999</v>
      </c>
      <c r="X22" s="8">
        <f t="shared" si="1"/>
        <v>1.5780620968361199E-2</v>
      </c>
      <c r="Y22">
        <f t="shared" si="2"/>
        <v>0.34592871382876578</v>
      </c>
      <c r="Z22">
        <f t="shared" si="3"/>
        <v>4.3241089228595722E-2</v>
      </c>
      <c r="AF22">
        <v>19</v>
      </c>
      <c r="AG22">
        <v>2.8</v>
      </c>
      <c r="AH22">
        <f t="shared" si="4"/>
        <v>53.199999999999996</v>
      </c>
      <c r="AI22" s="9">
        <f t="shared" si="6"/>
        <v>3.6124125755415223E-2</v>
      </c>
      <c r="AJ22">
        <f t="shared" si="7"/>
        <v>0.33506055658665634</v>
      </c>
      <c r="AK22">
        <f t="shared" si="5"/>
        <v>1.7634766136139807E-2</v>
      </c>
    </row>
    <row r="23" spans="2:37" x14ac:dyDescent="0.2">
      <c r="B23">
        <v>3</v>
      </c>
      <c r="C23" t="s">
        <v>16</v>
      </c>
      <c r="E23">
        <v>0.9186877660026268</v>
      </c>
      <c r="G23">
        <f t="shared" si="8"/>
        <v>0.30622925533420892</v>
      </c>
      <c r="H23" t="s">
        <v>76</v>
      </c>
      <c r="I23">
        <v>16</v>
      </c>
      <c r="Q23">
        <v>22</v>
      </c>
      <c r="R23" s="5" t="s">
        <v>104</v>
      </c>
      <c r="S23" s="5">
        <v>3.3300000000000003E-2</v>
      </c>
      <c r="T23" s="6">
        <v>8</v>
      </c>
      <c r="U23" s="6" t="s">
        <v>76</v>
      </c>
      <c r="W23">
        <f t="shared" si="0"/>
        <v>0.26640000000000003</v>
      </c>
      <c r="X23" s="8">
        <f t="shared" si="1"/>
        <v>3.426543285383594E-4</v>
      </c>
      <c r="Y23">
        <f t="shared" si="2"/>
        <v>7.511362917643389E-3</v>
      </c>
      <c r="Z23">
        <f t="shared" si="3"/>
        <v>9.3892036470542362E-4</v>
      </c>
      <c r="AF23">
        <v>20</v>
      </c>
      <c r="AG23">
        <v>2.2000000000000002</v>
      </c>
      <c r="AH23">
        <f t="shared" si="4"/>
        <v>44</v>
      </c>
      <c r="AI23" s="9">
        <f t="shared" si="6"/>
        <v>2.9877096489441167E-2</v>
      </c>
      <c r="AJ23">
        <f t="shared" si="7"/>
        <v>0.2771177535679113</v>
      </c>
      <c r="AK23">
        <f t="shared" si="5"/>
        <v>1.3855887678395564E-2</v>
      </c>
    </row>
    <row r="24" spans="2:37" x14ac:dyDescent="0.2">
      <c r="B24">
        <v>2</v>
      </c>
      <c r="C24" t="s">
        <v>17</v>
      </c>
      <c r="E24">
        <v>0</v>
      </c>
      <c r="G24">
        <f t="shared" si="8"/>
        <v>0</v>
      </c>
      <c r="H24" t="s">
        <v>337</v>
      </c>
      <c r="I24">
        <v>17</v>
      </c>
      <c r="Q24">
        <v>23</v>
      </c>
      <c r="R24" s="3" t="s">
        <v>62</v>
      </c>
      <c r="S24" s="3">
        <v>8.9827999999999992</v>
      </c>
      <c r="T24" s="4">
        <v>9</v>
      </c>
      <c r="U24" s="4" t="s">
        <v>57</v>
      </c>
      <c r="W24">
        <f t="shared" si="0"/>
        <v>80.845199999999991</v>
      </c>
      <c r="X24" s="8">
        <f t="shared" si="1"/>
        <v>0.10398632778359372</v>
      </c>
      <c r="Y24">
        <f t="shared" si="2"/>
        <v>2.2794956356961831</v>
      </c>
      <c r="Z24">
        <f t="shared" si="3"/>
        <v>0.25327729285513145</v>
      </c>
      <c r="AF24">
        <v>21</v>
      </c>
      <c r="AG24">
        <v>2</v>
      </c>
      <c r="AH24">
        <f t="shared" si="4"/>
        <v>42</v>
      </c>
      <c r="AI24" s="9">
        <f t="shared" si="6"/>
        <v>2.8519046649012024E-2</v>
      </c>
      <c r="AJ24">
        <f t="shared" si="7"/>
        <v>0.26452149204209718</v>
      </c>
      <c r="AK24">
        <f t="shared" si="5"/>
        <v>1.2596261525814152E-2</v>
      </c>
    </row>
    <row r="25" spans="2:37" x14ac:dyDescent="0.2">
      <c r="B25">
        <v>1</v>
      </c>
      <c r="C25" t="s">
        <v>18</v>
      </c>
      <c r="E25">
        <v>0.64499028268648395</v>
      </c>
      <c r="G25">
        <f t="shared" si="8"/>
        <v>0.64499028268648395</v>
      </c>
      <c r="H25" t="s">
        <v>337</v>
      </c>
      <c r="I25">
        <v>18</v>
      </c>
      <c r="Q25">
        <v>24</v>
      </c>
      <c r="R25" s="5" t="s">
        <v>74</v>
      </c>
      <c r="S25" s="5">
        <v>1.6554000000000002</v>
      </c>
      <c r="T25" s="6">
        <v>9</v>
      </c>
      <c r="U25" s="6" t="s">
        <v>60</v>
      </c>
      <c r="W25">
        <f t="shared" si="0"/>
        <v>14.898600000000002</v>
      </c>
      <c r="X25" s="8">
        <f t="shared" si="1"/>
        <v>1.916317484670271E-2</v>
      </c>
      <c r="Y25">
        <f t="shared" si="2"/>
        <v>0.42007804641442115</v>
      </c>
      <c r="Z25">
        <f t="shared" si="3"/>
        <v>4.6675338490491242E-2</v>
      </c>
      <c r="AF25">
        <v>22</v>
      </c>
      <c r="AG25">
        <v>1.8</v>
      </c>
      <c r="AH25">
        <f t="shared" si="4"/>
        <v>39.6</v>
      </c>
      <c r="AI25" s="9">
        <f t="shared" si="6"/>
        <v>2.6889386840497052E-2</v>
      </c>
      <c r="AJ25">
        <f t="shared" si="7"/>
        <v>0.24940597821112018</v>
      </c>
      <c r="AK25">
        <f t="shared" si="5"/>
        <v>1.1336635373232736E-2</v>
      </c>
    </row>
    <row r="26" spans="2:37" x14ac:dyDescent="0.2">
      <c r="B26">
        <v>4</v>
      </c>
      <c r="C26" t="s">
        <v>19</v>
      </c>
      <c r="E26">
        <v>9.2117112144943947E-2</v>
      </c>
      <c r="G26">
        <f t="shared" si="8"/>
        <v>2.3029278036235987E-2</v>
      </c>
      <c r="H26" t="s">
        <v>60</v>
      </c>
      <c r="I26">
        <v>19</v>
      </c>
      <c r="Q26">
        <v>25</v>
      </c>
      <c r="R26" s="3" t="s">
        <v>77</v>
      </c>
      <c r="S26" s="5">
        <v>2.3319999999999999</v>
      </c>
      <c r="T26" s="4">
        <v>9</v>
      </c>
      <c r="U26" s="4" t="s">
        <v>67</v>
      </c>
      <c r="W26">
        <f t="shared" si="0"/>
        <v>20.988</v>
      </c>
      <c r="X26" s="8">
        <f t="shared" si="1"/>
        <v>2.6995604532143717E-2</v>
      </c>
      <c r="Y26">
        <f t="shared" si="2"/>
        <v>0.59177359202514801</v>
      </c>
      <c r="Z26">
        <f t="shared" si="3"/>
        <v>6.5752621336127554E-2</v>
      </c>
      <c r="AF26">
        <v>23</v>
      </c>
      <c r="AG26">
        <v>1.6</v>
      </c>
      <c r="AH26">
        <f t="shared" si="4"/>
        <v>36.800000000000004</v>
      </c>
      <c r="AI26" s="9">
        <f t="shared" si="6"/>
        <v>2.498811706389625E-2</v>
      </c>
      <c r="AJ26">
        <f t="shared" si="7"/>
        <v>0.23177121207498039</v>
      </c>
      <c r="AK26">
        <f t="shared" si="5"/>
        <v>1.0077009220651321E-2</v>
      </c>
    </row>
    <row r="27" spans="2:37" x14ac:dyDescent="0.2">
      <c r="B27">
        <v>4</v>
      </c>
      <c r="C27" t="s">
        <v>20</v>
      </c>
      <c r="E27">
        <v>6.3457324055596782</v>
      </c>
      <c r="G27">
        <f t="shared" si="8"/>
        <v>1.5864331013899196</v>
      </c>
      <c r="H27" t="s">
        <v>60</v>
      </c>
      <c r="I27">
        <v>20</v>
      </c>
      <c r="Q27">
        <v>26</v>
      </c>
      <c r="R27" s="5" t="s">
        <v>78</v>
      </c>
      <c r="S27" s="5">
        <v>0.71689999999999998</v>
      </c>
      <c r="T27" s="6">
        <v>9</v>
      </c>
      <c r="U27" s="6" t="s">
        <v>76</v>
      </c>
      <c r="W27">
        <f t="shared" si="0"/>
        <v>6.4520999999999997</v>
      </c>
      <c r="X27" s="8">
        <f t="shared" si="1"/>
        <v>8.2989489232820884E-3</v>
      </c>
      <c r="Y27">
        <f t="shared" si="2"/>
        <v>0.18192216471819406</v>
      </c>
      <c r="Z27">
        <f t="shared" si="3"/>
        <v>2.0213573857577119E-2</v>
      </c>
      <c r="AF27">
        <v>24</v>
      </c>
      <c r="AG27">
        <v>1.5</v>
      </c>
      <c r="AH27">
        <f t="shared" si="4"/>
        <v>36</v>
      </c>
      <c r="AI27" s="9">
        <f t="shared" si="6"/>
        <v>2.4444897127724591E-2</v>
      </c>
      <c r="AJ27">
        <f t="shared" si="7"/>
        <v>0.22673270746465471</v>
      </c>
      <c r="AK27">
        <f t="shared" si="5"/>
        <v>9.4471961443606135E-3</v>
      </c>
    </row>
    <row r="28" spans="2:37" x14ac:dyDescent="0.2">
      <c r="B28">
        <v>4</v>
      </c>
      <c r="C28" t="s">
        <v>21</v>
      </c>
      <c r="E28">
        <v>0.89019618616183027</v>
      </c>
      <c r="G28">
        <f t="shared" si="8"/>
        <v>0.22254904654045757</v>
      </c>
      <c r="H28" t="s">
        <v>76</v>
      </c>
      <c r="I28">
        <v>21</v>
      </c>
      <c r="Q28">
        <v>27</v>
      </c>
      <c r="R28" s="5" t="s">
        <v>86</v>
      </c>
      <c r="S28" s="5">
        <v>0.93319999999999992</v>
      </c>
      <c r="T28" s="6">
        <v>9</v>
      </c>
      <c r="U28" s="6" t="s">
        <v>73</v>
      </c>
      <c r="W28">
        <f t="shared" si="0"/>
        <v>8.3987999999999996</v>
      </c>
      <c r="X28" s="8">
        <f t="shared" si="1"/>
        <v>1.0802872276756654E-2</v>
      </c>
      <c r="Y28">
        <f t="shared" si="2"/>
        <v>0.23681094171435166</v>
      </c>
      <c r="Z28">
        <f t="shared" si="3"/>
        <v>2.6312326857150185E-2</v>
      </c>
      <c r="AF28">
        <v>25</v>
      </c>
      <c r="AG28">
        <v>1.3</v>
      </c>
      <c r="AH28">
        <f t="shared" si="4"/>
        <v>32.5</v>
      </c>
      <c r="AI28" s="9">
        <f t="shared" si="6"/>
        <v>2.2068309906973588E-2</v>
      </c>
      <c r="AJ28">
        <f t="shared" si="7"/>
        <v>0.20468924979447992</v>
      </c>
      <c r="AK28">
        <f t="shared" si="5"/>
        <v>8.1875699917791974E-3</v>
      </c>
    </row>
    <row r="29" spans="2:37" x14ac:dyDescent="0.2">
      <c r="B29">
        <v>4</v>
      </c>
      <c r="C29" t="s">
        <v>22</v>
      </c>
      <c r="E29">
        <v>0.11341943956501314</v>
      </c>
      <c r="G29">
        <f t="shared" si="8"/>
        <v>2.8354859891253286E-2</v>
      </c>
      <c r="H29" t="s">
        <v>60</v>
      </c>
      <c r="I29">
        <v>22</v>
      </c>
      <c r="Q29">
        <v>28</v>
      </c>
      <c r="R29" s="5" t="s">
        <v>63</v>
      </c>
      <c r="S29" s="5">
        <v>3.3315000000000001</v>
      </c>
      <c r="T29" s="6">
        <v>10</v>
      </c>
      <c r="U29" s="6" t="s">
        <v>60</v>
      </c>
      <c r="W29">
        <f t="shared" si="0"/>
        <v>33.314999999999998</v>
      </c>
      <c r="X29" s="8">
        <f t="shared" si="1"/>
        <v>4.2851084666874782E-2</v>
      </c>
      <c r="Y29">
        <f t="shared" si="2"/>
        <v>0.93934330180664216</v>
      </c>
      <c r="Z29">
        <f t="shared" si="3"/>
        <v>9.3934330180664216E-2</v>
      </c>
      <c r="AF29">
        <v>26</v>
      </c>
      <c r="AG29">
        <v>1.1000000000000001</v>
      </c>
      <c r="AH29">
        <f t="shared" si="4"/>
        <v>28.6</v>
      </c>
      <c r="AI29" s="9">
        <f t="shared" si="6"/>
        <v>1.9420112718136758E-2</v>
      </c>
      <c r="AJ29">
        <f t="shared" si="7"/>
        <v>0.18012653981914234</v>
      </c>
      <c r="AK29">
        <f t="shared" si="5"/>
        <v>6.9279438391977822E-3</v>
      </c>
    </row>
    <row r="30" spans="2:37" x14ac:dyDescent="0.2">
      <c r="B30">
        <v>5</v>
      </c>
      <c r="C30" t="s">
        <v>23</v>
      </c>
      <c r="E30">
        <v>1.1329224900594741</v>
      </c>
      <c r="G30">
        <f t="shared" si="8"/>
        <v>0.22658449801189481</v>
      </c>
      <c r="H30" t="s">
        <v>60</v>
      </c>
      <c r="I30">
        <v>23</v>
      </c>
      <c r="Q30">
        <v>29</v>
      </c>
      <c r="R30" s="5" t="s">
        <v>84</v>
      </c>
      <c r="S30" s="5">
        <v>3.0536000000000003</v>
      </c>
      <c r="T30" s="6">
        <v>10</v>
      </c>
      <c r="U30" s="6" t="s">
        <v>57</v>
      </c>
      <c r="W30">
        <f t="shared" si="0"/>
        <v>30.536000000000001</v>
      </c>
      <c r="X30" s="8">
        <f t="shared" si="1"/>
        <v>3.9276623784712243E-2</v>
      </c>
      <c r="Y30">
        <f t="shared" si="2"/>
        <v>0.86098715485419852</v>
      </c>
      <c r="Z30">
        <f t="shared" si="3"/>
        <v>8.6098715485419849E-2</v>
      </c>
      <c r="AF30">
        <v>27</v>
      </c>
      <c r="AG30">
        <v>0.9</v>
      </c>
      <c r="AH30">
        <f t="shared" si="4"/>
        <v>24.3</v>
      </c>
      <c r="AI30" s="9">
        <f t="shared" si="6"/>
        <v>1.6500305561214099E-2</v>
      </c>
      <c r="AJ30">
        <f t="shared" si="7"/>
        <v>0.15304457753864192</v>
      </c>
      <c r="AK30">
        <f t="shared" si="5"/>
        <v>5.6683176866163679E-3</v>
      </c>
    </row>
    <row r="31" spans="2:37" x14ac:dyDescent="0.2">
      <c r="B31">
        <v>5</v>
      </c>
      <c r="C31" t="s">
        <v>24</v>
      </c>
      <c r="E31">
        <v>0</v>
      </c>
      <c r="G31">
        <f t="shared" si="8"/>
        <v>0</v>
      </c>
      <c r="H31" t="s">
        <v>57</v>
      </c>
      <c r="I31">
        <v>24</v>
      </c>
      <c r="Q31">
        <v>30</v>
      </c>
      <c r="R31" s="3" t="s">
        <v>85</v>
      </c>
      <c r="S31" s="3">
        <v>2.3726000000000003</v>
      </c>
      <c r="T31" s="4">
        <v>10</v>
      </c>
      <c r="U31" s="4" t="s">
        <v>67</v>
      </c>
      <c r="W31">
        <f t="shared" si="0"/>
        <v>23.726000000000003</v>
      </c>
      <c r="X31" s="8">
        <f t="shared" si="1"/>
        <v>3.0517329575454638E-2</v>
      </c>
      <c r="Y31">
        <f t="shared" si="2"/>
        <v>0.66897371090092739</v>
      </c>
      <c r="Z31">
        <f t="shared" si="3"/>
        <v>6.6897371090092736E-2</v>
      </c>
      <c r="AF31">
        <v>28</v>
      </c>
      <c r="AG31">
        <v>0</v>
      </c>
      <c r="AH31">
        <f t="shared" si="4"/>
        <v>0</v>
      </c>
      <c r="AI31" s="9">
        <f t="shared" si="6"/>
        <v>0</v>
      </c>
      <c r="AJ31">
        <f t="shared" si="7"/>
        <v>0</v>
      </c>
      <c r="AK31">
        <f t="shared" si="5"/>
        <v>0</v>
      </c>
    </row>
    <row r="32" spans="2:37" x14ac:dyDescent="0.2">
      <c r="B32">
        <v>5</v>
      </c>
      <c r="C32" t="s">
        <v>25</v>
      </c>
      <c r="E32">
        <v>0</v>
      </c>
      <c r="G32">
        <f t="shared" si="8"/>
        <v>0</v>
      </c>
      <c r="H32" t="s">
        <v>60</v>
      </c>
      <c r="I32">
        <v>25</v>
      </c>
      <c r="Q32">
        <v>31</v>
      </c>
      <c r="R32" s="5" t="s">
        <v>88</v>
      </c>
      <c r="S32" s="5">
        <v>1.9381999999999999</v>
      </c>
      <c r="T32" s="6">
        <v>10</v>
      </c>
      <c r="U32" s="6" t="s">
        <v>73</v>
      </c>
      <c r="W32">
        <f t="shared" si="0"/>
        <v>19.381999999999998</v>
      </c>
      <c r="X32" s="8">
        <f t="shared" si="1"/>
        <v>2.4929903137126428E-2</v>
      </c>
      <c r="Y32">
        <f t="shared" si="2"/>
        <v>0.54649112638800346</v>
      </c>
      <c r="Z32">
        <f t="shared" si="3"/>
        <v>5.4649112638800346E-2</v>
      </c>
      <c r="AF32">
        <v>29</v>
      </c>
      <c r="AG32">
        <v>0</v>
      </c>
      <c r="AH32">
        <f t="shared" si="4"/>
        <v>0</v>
      </c>
      <c r="AI32" s="9">
        <f t="shared" si="6"/>
        <v>0</v>
      </c>
      <c r="AJ32">
        <f t="shared" si="7"/>
        <v>0</v>
      </c>
      <c r="AK32">
        <f t="shared" si="5"/>
        <v>0</v>
      </c>
    </row>
    <row r="33" spans="2:37" x14ac:dyDescent="0.2">
      <c r="B33">
        <v>5</v>
      </c>
      <c r="C33" t="s">
        <v>26</v>
      </c>
      <c r="E33">
        <v>4.3897125865218616</v>
      </c>
      <c r="G33">
        <f t="shared" si="8"/>
        <v>0.87794251730437234</v>
      </c>
      <c r="H33" t="s">
        <v>60</v>
      </c>
      <c r="I33">
        <v>26</v>
      </c>
      <c r="Q33">
        <v>32</v>
      </c>
      <c r="R33" s="5" t="s">
        <v>65</v>
      </c>
      <c r="S33" s="5">
        <v>2.0365000000000002</v>
      </c>
      <c r="T33" s="6">
        <v>11</v>
      </c>
      <c r="U33" s="6" t="s">
        <v>60</v>
      </c>
      <c r="W33">
        <f t="shared" si="0"/>
        <v>22.401500000000002</v>
      </c>
      <c r="X33" s="8">
        <f t="shared" si="1"/>
        <v>2.8813704732552771E-2</v>
      </c>
      <c r="Y33">
        <f t="shared" si="2"/>
        <v>0.63162836486331975</v>
      </c>
      <c r="Z33">
        <f t="shared" si="3"/>
        <v>5.7420760442119974E-2</v>
      </c>
      <c r="AF33">
        <v>30</v>
      </c>
      <c r="AG33">
        <v>0</v>
      </c>
      <c r="AH33">
        <f t="shared" si="4"/>
        <v>0</v>
      </c>
      <c r="AI33" s="9">
        <f t="shared" si="6"/>
        <v>0</v>
      </c>
      <c r="AJ33">
        <f t="shared" si="7"/>
        <v>0</v>
      </c>
      <c r="AK33">
        <f t="shared" si="5"/>
        <v>0</v>
      </c>
    </row>
    <row r="34" spans="2:37" x14ac:dyDescent="0.2">
      <c r="B34">
        <v>5</v>
      </c>
      <c r="C34" t="s">
        <v>27</v>
      </c>
      <c r="E34">
        <v>0</v>
      </c>
      <c r="G34">
        <f t="shared" si="8"/>
        <v>0</v>
      </c>
      <c r="H34" t="s">
        <v>60</v>
      </c>
      <c r="I34">
        <v>27</v>
      </c>
      <c r="Q34">
        <v>33</v>
      </c>
      <c r="R34" s="5" t="s">
        <v>82</v>
      </c>
      <c r="S34" s="5">
        <v>3.1631000000000009</v>
      </c>
      <c r="T34" s="6">
        <v>11</v>
      </c>
      <c r="U34" s="6" t="s">
        <v>57</v>
      </c>
      <c r="W34">
        <f t="shared" si="0"/>
        <v>34.794100000000007</v>
      </c>
      <c r="X34" s="8">
        <f t="shared" si="1"/>
        <v>4.4753562209446443E-2</v>
      </c>
      <c r="Y34">
        <f t="shared" si="2"/>
        <v>0.98104771956747694</v>
      </c>
      <c r="Z34">
        <f t="shared" si="3"/>
        <v>8.918615632431609E-2</v>
      </c>
      <c r="AF34">
        <v>31</v>
      </c>
      <c r="AG34">
        <v>0</v>
      </c>
      <c r="AH34">
        <f t="shared" si="4"/>
        <v>0</v>
      </c>
      <c r="AI34" s="9">
        <f t="shared" si="6"/>
        <v>0</v>
      </c>
      <c r="AJ34">
        <f t="shared" si="7"/>
        <v>0</v>
      </c>
      <c r="AK34">
        <f t="shared" si="5"/>
        <v>0</v>
      </c>
    </row>
    <row r="35" spans="2:37" x14ac:dyDescent="0.2">
      <c r="B35">
        <v>5</v>
      </c>
      <c r="C35" t="s">
        <v>28</v>
      </c>
      <c r="E35">
        <v>0.63796152559409813</v>
      </c>
      <c r="G35">
        <f t="shared" si="8"/>
        <v>0.12759230511881964</v>
      </c>
      <c r="H35" t="s">
        <v>76</v>
      </c>
      <c r="I35">
        <v>28</v>
      </c>
      <c r="Q35">
        <v>34</v>
      </c>
      <c r="R35" s="5" t="s">
        <v>89</v>
      </c>
      <c r="S35" s="5">
        <v>1.2678999999999996</v>
      </c>
      <c r="T35" s="6">
        <v>11</v>
      </c>
      <c r="U35" s="6" t="s">
        <v>67</v>
      </c>
      <c r="W35">
        <f t="shared" si="0"/>
        <v>13.946899999999996</v>
      </c>
      <c r="X35" s="8">
        <f t="shared" si="1"/>
        <v>1.7939060265359019E-2</v>
      </c>
      <c r="Y35">
        <f t="shared" si="2"/>
        <v>0.39324409713243441</v>
      </c>
      <c r="Z35">
        <f t="shared" si="3"/>
        <v>3.5749463375675854E-2</v>
      </c>
      <c r="AF35">
        <v>32</v>
      </c>
      <c r="AG35">
        <v>0</v>
      </c>
      <c r="AH35">
        <f t="shared" si="4"/>
        <v>0</v>
      </c>
      <c r="AI35" s="9">
        <f t="shared" si="6"/>
        <v>0</v>
      </c>
      <c r="AJ35">
        <f t="shared" si="7"/>
        <v>0</v>
      </c>
      <c r="AK35">
        <f t="shared" si="5"/>
        <v>0</v>
      </c>
    </row>
    <row r="36" spans="2:37" x14ac:dyDescent="0.2">
      <c r="B36">
        <v>6</v>
      </c>
      <c r="C36" t="s">
        <v>29</v>
      </c>
      <c r="E36">
        <v>6.4692524114919131E-2</v>
      </c>
      <c r="G36">
        <f t="shared" si="8"/>
        <v>1.0782087352486522E-2</v>
      </c>
      <c r="H36" t="s">
        <v>60</v>
      </c>
      <c r="I36">
        <v>29</v>
      </c>
      <c r="Q36">
        <v>35</v>
      </c>
      <c r="R36" s="3" t="s">
        <v>97</v>
      </c>
      <c r="S36" s="3">
        <v>8.2199999999999995E-2</v>
      </c>
      <c r="T36" s="4">
        <v>11</v>
      </c>
      <c r="U36" s="4" t="s">
        <v>76</v>
      </c>
      <c r="W36">
        <f t="shared" si="0"/>
        <v>0.90419999999999989</v>
      </c>
      <c r="X36" s="8">
        <f t="shared" si="1"/>
        <v>1.1630181826741159E-3</v>
      </c>
      <c r="Y36">
        <f t="shared" si="2"/>
        <v>2.5494648461460774E-2</v>
      </c>
      <c r="Z36">
        <f t="shared" si="3"/>
        <v>2.317695314678252E-3</v>
      </c>
      <c r="AF36">
        <v>33</v>
      </c>
      <c r="AG36">
        <v>0</v>
      </c>
      <c r="AH36">
        <f t="shared" si="4"/>
        <v>0</v>
      </c>
      <c r="AI36" s="9">
        <f t="shared" si="6"/>
        <v>0</v>
      </c>
      <c r="AJ36">
        <f t="shared" si="7"/>
        <v>0</v>
      </c>
      <c r="AK36">
        <f t="shared" si="5"/>
        <v>0</v>
      </c>
    </row>
    <row r="37" spans="2:37" x14ac:dyDescent="0.2">
      <c r="B37">
        <v>6</v>
      </c>
      <c r="C37" t="s">
        <v>30</v>
      </c>
      <c r="E37">
        <v>0.86023384314672524</v>
      </c>
      <c r="G37">
        <f t="shared" si="8"/>
        <v>0.14337230719112087</v>
      </c>
      <c r="H37" t="s">
        <v>57</v>
      </c>
      <c r="I37">
        <v>30</v>
      </c>
      <c r="Q37">
        <v>36</v>
      </c>
      <c r="R37" s="5" t="s">
        <v>71</v>
      </c>
      <c r="S37" s="5">
        <v>2.2295999999999996</v>
      </c>
      <c r="T37" s="6">
        <v>12</v>
      </c>
      <c r="U37" s="6" t="s">
        <v>57</v>
      </c>
      <c r="W37">
        <f t="shared" si="0"/>
        <v>26.755199999999995</v>
      </c>
      <c r="X37" s="8">
        <f t="shared" si="1"/>
        <v>3.4413607698609273E-2</v>
      </c>
      <c r="Y37">
        <f t="shared" si="2"/>
        <v>0.75438444870169796</v>
      </c>
      <c r="Z37">
        <f t="shared" si="3"/>
        <v>6.2865370725141492E-2</v>
      </c>
      <c r="AF37">
        <v>34</v>
      </c>
      <c r="AG37">
        <v>0</v>
      </c>
      <c r="AH37">
        <f t="shared" si="4"/>
        <v>0</v>
      </c>
      <c r="AI37" s="9">
        <f t="shared" si="6"/>
        <v>0</v>
      </c>
      <c r="AJ37">
        <f t="shared" si="7"/>
        <v>0</v>
      </c>
      <c r="AK37">
        <f t="shared" si="5"/>
        <v>0</v>
      </c>
    </row>
    <row r="38" spans="2:37" x14ac:dyDescent="0.2">
      <c r="B38">
        <v>6</v>
      </c>
      <c r="C38" t="s">
        <v>31</v>
      </c>
      <c r="E38">
        <v>0</v>
      </c>
      <c r="G38">
        <f t="shared" si="8"/>
        <v>0</v>
      </c>
      <c r="H38" t="s">
        <v>60</v>
      </c>
      <c r="I38">
        <v>31</v>
      </c>
      <c r="Q38">
        <v>37</v>
      </c>
      <c r="R38" s="5" t="s">
        <v>92</v>
      </c>
      <c r="S38" s="5">
        <v>0.219</v>
      </c>
      <c r="T38" s="6">
        <v>12</v>
      </c>
      <c r="U38" s="6" t="s">
        <v>60</v>
      </c>
      <c r="W38">
        <f t="shared" si="0"/>
        <v>2.6280000000000001</v>
      </c>
      <c r="X38" s="8">
        <f t="shared" si="1"/>
        <v>3.3802386463919237E-3</v>
      </c>
      <c r="Y38">
        <f t="shared" si="2"/>
        <v>7.4098580133509104E-2</v>
      </c>
      <c r="Z38">
        <f t="shared" si="3"/>
        <v>6.1748816777924256E-3</v>
      </c>
      <c r="AF38">
        <v>35</v>
      </c>
      <c r="AG38">
        <v>0</v>
      </c>
      <c r="AH38">
        <f t="shared" si="4"/>
        <v>0</v>
      </c>
      <c r="AI38" s="9">
        <f t="shared" si="6"/>
        <v>0</v>
      </c>
      <c r="AJ38">
        <f t="shared" si="7"/>
        <v>0</v>
      </c>
      <c r="AK38">
        <f t="shared" si="5"/>
        <v>0</v>
      </c>
    </row>
    <row r="39" spans="2:37" x14ac:dyDescent="0.2">
      <c r="B39">
        <v>6</v>
      </c>
      <c r="C39" t="s">
        <v>32</v>
      </c>
      <c r="E39">
        <v>1.810290678436526</v>
      </c>
      <c r="G39">
        <f t="shared" si="8"/>
        <v>0.30171511307275434</v>
      </c>
      <c r="H39" t="s">
        <v>60</v>
      </c>
      <c r="I39">
        <v>32</v>
      </c>
      <c r="Q39">
        <v>38</v>
      </c>
      <c r="R39" s="3" t="s">
        <v>93</v>
      </c>
      <c r="S39" s="3">
        <v>0.2006</v>
      </c>
      <c r="T39" s="4">
        <v>12</v>
      </c>
      <c r="U39" s="4" t="s">
        <v>73</v>
      </c>
      <c r="W39">
        <f t="shared" si="0"/>
        <v>2.4072</v>
      </c>
      <c r="X39" s="8">
        <f t="shared" si="1"/>
        <v>3.0962368605763463E-3</v>
      </c>
      <c r="Y39">
        <f t="shared" si="2"/>
        <v>6.7872946003570439E-2</v>
      </c>
      <c r="Z39">
        <f t="shared" si="3"/>
        <v>5.6560788336308702E-3</v>
      </c>
      <c r="AF39">
        <v>36</v>
      </c>
      <c r="AG39">
        <v>0</v>
      </c>
      <c r="AH39">
        <f t="shared" si="4"/>
        <v>0</v>
      </c>
      <c r="AI39" s="9">
        <f t="shared" si="6"/>
        <v>0</v>
      </c>
      <c r="AJ39">
        <f t="shared" si="7"/>
        <v>0</v>
      </c>
      <c r="AK39">
        <f t="shared" si="5"/>
        <v>0</v>
      </c>
    </row>
    <row r="40" spans="2:37" x14ac:dyDescent="0.2">
      <c r="B40">
        <v>6</v>
      </c>
      <c r="C40" t="s">
        <v>33</v>
      </c>
      <c r="E40">
        <v>1.1484744966747103E-4</v>
      </c>
      <c r="G40">
        <f t="shared" si="8"/>
        <v>1.9141241611245173E-5</v>
      </c>
      <c r="H40" t="s">
        <v>60</v>
      </c>
      <c r="I40">
        <v>33</v>
      </c>
      <c r="Q40">
        <v>39</v>
      </c>
      <c r="R40" s="5" t="s">
        <v>94</v>
      </c>
      <c r="S40" s="5">
        <v>0.77190000000000003</v>
      </c>
      <c r="T40" s="6">
        <v>12</v>
      </c>
      <c r="U40" s="6" t="s">
        <v>67</v>
      </c>
      <c r="W40">
        <f t="shared" si="0"/>
        <v>9.2628000000000004</v>
      </c>
      <c r="X40" s="8">
        <f t="shared" si="1"/>
        <v>1.191418361255674E-2</v>
      </c>
      <c r="Y40">
        <f t="shared" si="2"/>
        <v>0.26117211874454649</v>
      </c>
      <c r="Z40">
        <f t="shared" si="3"/>
        <v>2.1764343228712207E-2</v>
      </c>
      <c r="AF40">
        <v>37</v>
      </c>
      <c r="AG40">
        <v>0</v>
      </c>
      <c r="AH40">
        <f t="shared" si="4"/>
        <v>0</v>
      </c>
      <c r="AI40" s="9">
        <f t="shared" si="6"/>
        <v>0</v>
      </c>
      <c r="AJ40">
        <f t="shared" si="7"/>
        <v>0</v>
      </c>
      <c r="AK40">
        <f t="shared" si="5"/>
        <v>0</v>
      </c>
    </row>
    <row r="41" spans="2:37" x14ac:dyDescent="0.2">
      <c r="B41">
        <v>6</v>
      </c>
      <c r="C41" t="s">
        <v>34</v>
      </c>
      <c r="E41">
        <v>1.1588022793737305E-2</v>
      </c>
      <c r="G41">
        <f t="shared" si="8"/>
        <v>1.9313371322895508E-3</v>
      </c>
      <c r="H41" t="s">
        <v>76</v>
      </c>
      <c r="I41">
        <v>34</v>
      </c>
      <c r="Q41">
        <v>40</v>
      </c>
      <c r="R41" s="3" t="s">
        <v>95</v>
      </c>
      <c r="S41" s="3">
        <v>0.80540000000000012</v>
      </c>
      <c r="T41" s="4">
        <v>13</v>
      </c>
      <c r="U41" s="4" t="s">
        <v>57</v>
      </c>
      <c r="W41">
        <f t="shared" si="0"/>
        <v>10.470200000000002</v>
      </c>
      <c r="X41" s="8">
        <f t="shared" si="1"/>
        <v>1.3467189754738479E-2</v>
      </c>
      <c r="Y41">
        <f t="shared" si="2"/>
        <v>0.2952157358119738</v>
      </c>
      <c r="Z41">
        <f t="shared" si="3"/>
        <v>2.2708902754767217E-2</v>
      </c>
      <c r="AF41">
        <v>38</v>
      </c>
      <c r="AG41">
        <v>0</v>
      </c>
      <c r="AH41">
        <f t="shared" si="4"/>
        <v>0</v>
      </c>
      <c r="AI41" s="9">
        <f t="shared" si="6"/>
        <v>0</v>
      </c>
      <c r="AJ41">
        <f t="shared" si="7"/>
        <v>0</v>
      </c>
      <c r="AK41">
        <f t="shared" si="5"/>
        <v>0</v>
      </c>
    </row>
    <row r="42" spans="2:37" x14ac:dyDescent="0.2">
      <c r="B42">
        <v>6</v>
      </c>
      <c r="C42" t="s">
        <v>35</v>
      </c>
      <c r="E42">
        <v>1.4141805128154895E-4</v>
      </c>
      <c r="G42">
        <f t="shared" si="8"/>
        <v>2.3569675213591491E-5</v>
      </c>
      <c r="H42" t="s">
        <v>60</v>
      </c>
      <c r="I42">
        <v>35</v>
      </c>
      <c r="Q42">
        <v>41</v>
      </c>
      <c r="R42" s="5" t="s">
        <v>100</v>
      </c>
      <c r="S42" s="5">
        <v>6.9599999999999995E-2</v>
      </c>
      <c r="T42" s="6">
        <v>13</v>
      </c>
      <c r="U42" s="6" t="s">
        <v>60</v>
      </c>
      <c r="W42">
        <f t="shared" si="0"/>
        <v>0.90479999999999994</v>
      </c>
      <c r="X42" s="8">
        <f t="shared" si="1"/>
        <v>1.1637899266573105E-3</v>
      </c>
      <c r="Y42">
        <f t="shared" si="2"/>
        <v>2.5511565945509521E-2</v>
      </c>
      <c r="Z42">
        <f t="shared" si="3"/>
        <v>1.9624281496545787E-3</v>
      </c>
      <c r="AF42">
        <v>39</v>
      </c>
      <c r="AG42">
        <v>0</v>
      </c>
      <c r="AH42">
        <f t="shared" si="4"/>
        <v>0</v>
      </c>
      <c r="AI42" s="9">
        <f t="shared" si="6"/>
        <v>0</v>
      </c>
      <c r="AJ42">
        <f t="shared" si="7"/>
        <v>0</v>
      </c>
      <c r="AK42">
        <f t="shared" si="5"/>
        <v>0</v>
      </c>
    </row>
    <row r="43" spans="2:37" x14ac:dyDescent="0.2">
      <c r="B43">
        <v>7</v>
      </c>
      <c r="C43" t="s">
        <v>36</v>
      </c>
      <c r="E43">
        <v>6.157042746280587E-5</v>
      </c>
      <c r="G43">
        <f t="shared" si="8"/>
        <v>8.7957753518294102E-6</v>
      </c>
      <c r="H43" t="s">
        <v>57</v>
      </c>
      <c r="I43">
        <v>36</v>
      </c>
      <c r="Q43">
        <v>42</v>
      </c>
      <c r="R43" s="3" t="s">
        <v>103</v>
      </c>
      <c r="S43" s="3">
        <v>0.18319999999999995</v>
      </c>
      <c r="T43" s="4">
        <v>14</v>
      </c>
      <c r="U43" s="4" t="s">
        <v>57</v>
      </c>
      <c r="W43">
        <f t="shared" si="0"/>
        <v>2.5647999999999991</v>
      </c>
      <c r="X43" s="8">
        <f t="shared" si="1"/>
        <v>3.2989482801621013E-3</v>
      </c>
      <c r="Y43">
        <f t="shared" si="2"/>
        <v>7.2316605147041121E-2</v>
      </c>
      <c r="Z43">
        <f t="shared" si="3"/>
        <v>5.1654717962172228E-3</v>
      </c>
      <c r="AF43">
        <v>40</v>
      </c>
      <c r="AG43">
        <v>0</v>
      </c>
      <c r="AH43">
        <f t="shared" si="4"/>
        <v>0</v>
      </c>
      <c r="AI43" s="9">
        <f t="shared" si="6"/>
        <v>0</v>
      </c>
      <c r="AJ43">
        <f t="shared" si="7"/>
        <v>0</v>
      </c>
      <c r="AK43">
        <f t="shared" si="5"/>
        <v>0</v>
      </c>
    </row>
    <row r="44" spans="2:37" x14ac:dyDescent="0.2">
      <c r="B44">
        <v>7</v>
      </c>
      <c r="C44" t="s">
        <v>37</v>
      </c>
      <c r="E44">
        <v>4.6000909921512916E-4</v>
      </c>
      <c r="G44">
        <f t="shared" si="8"/>
        <v>6.5715585602161303E-5</v>
      </c>
      <c r="H44" t="s">
        <v>60</v>
      </c>
      <c r="I44">
        <v>37</v>
      </c>
      <c r="Q44">
        <v>43</v>
      </c>
      <c r="R44" s="5" t="s">
        <v>99</v>
      </c>
      <c r="S44" s="5">
        <v>0.14449999999999999</v>
      </c>
      <c r="T44" s="6">
        <v>15</v>
      </c>
      <c r="U44" s="6" t="s">
        <v>57</v>
      </c>
      <c r="W44">
        <f t="shared" si="0"/>
        <v>2.1675</v>
      </c>
      <c r="X44" s="8">
        <f t="shared" si="1"/>
        <v>2.7879251392901425E-3</v>
      </c>
      <c r="Y44">
        <f t="shared" si="2"/>
        <v>6.1114411126096259E-2</v>
      </c>
      <c r="Z44">
        <f t="shared" si="3"/>
        <v>4.074294075073084E-3</v>
      </c>
      <c r="AF44">
        <v>48</v>
      </c>
      <c r="AH44">
        <f t="shared" si="4"/>
        <v>0</v>
      </c>
      <c r="AI44" s="9">
        <f t="shared" si="6"/>
        <v>0</v>
      </c>
      <c r="AJ44">
        <f t="shared" si="7"/>
        <v>0</v>
      </c>
      <c r="AK44">
        <f t="shared" si="5"/>
        <v>0</v>
      </c>
    </row>
    <row r="45" spans="2:37" x14ac:dyDescent="0.2">
      <c r="B45">
        <v>7</v>
      </c>
      <c r="C45" t="s">
        <v>38</v>
      </c>
      <c r="E45">
        <v>2.1357878685674216E-3</v>
      </c>
      <c r="G45">
        <f t="shared" si="8"/>
        <v>3.0511255265248878E-4</v>
      </c>
      <c r="H45" t="s">
        <v>60</v>
      </c>
      <c r="I45">
        <v>38</v>
      </c>
      <c r="Q45">
        <v>44</v>
      </c>
      <c r="R45" s="5" t="s">
        <v>101</v>
      </c>
      <c r="S45" s="5">
        <v>0.36849999999999994</v>
      </c>
      <c r="T45" s="6">
        <v>16</v>
      </c>
      <c r="U45" s="6" t="s">
        <v>57</v>
      </c>
      <c r="W45">
        <f t="shared" si="0"/>
        <v>5.895999999999999</v>
      </c>
      <c r="X45" s="8">
        <f t="shared" si="1"/>
        <v>7.5836708748579819E-3</v>
      </c>
      <c r="Y45">
        <f t="shared" si="2"/>
        <v>0.16624247658568095</v>
      </c>
      <c r="Z45">
        <f t="shared" si="3"/>
        <v>1.0390154786605059E-2</v>
      </c>
      <c r="AF45">
        <v>49</v>
      </c>
      <c r="AH45">
        <f t="shared" si="4"/>
        <v>0</v>
      </c>
      <c r="AI45" s="9">
        <f t="shared" si="6"/>
        <v>0</v>
      </c>
      <c r="AJ45">
        <f t="shared" si="7"/>
        <v>0</v>
      </c>
      <c r="AK45">
        <f t="shared" si="5"/>
        <v>0</v>
      </c>
    </row>
    <row r="46" spans="2:37" x14ac:dyDescent="0.2">
      <c r="B46">
        <v>7</v>
      </c>
      <c r="C46" t="s">
        <v>39</v>
      </c>
      <c r="E46">
        <v>2.5579854552552651E-4</v>
      </c>
      <c r="G46">
        <f t="shared" si="8"/>
        <v>3.6542649360789502E-5</v>
      </c>
      <c r="H46" t="s">
        <v>76</v>
      </c>
      <c r="I46">
        <v>39</v>
      </c>
      <c r="Q46">
        <v>45</v>
      </c>
      <c r="R46" s="5" t="s">
        <v>102</v>
      </c>
      <c r="S46" s="5">
        <v>0.13650000000000001</v>
      </c>
      <c r="T46" s="6">
        <v>17</v>
      </c>
      <c r="U46" s="6" t="s">
        <v>57</v>
      </c>
      <c r="W46">
        <f t="shared" ref="W46" si="9">S46*T46</f>
        <v>2.3205</v>
      </c>
      <c r="X46" s="8">
        <f t="shared" si="1"/>
        <v>2.9847198550047404E-3</v>
      </c>
      <c r="Y46">
        <f t="shared" si="2"/>
        <v>6.5428369558526572E-2</v>
      </c>
      <c r="Z46">
        <f t="shared" si="3"/>
        <v>3.8487276210897982E-3</v>
      </c>
      <c r="AF46">
        <v>50</v>
      </c>
      <c r="AH46">
        <f t="shared" si="4"/>
        <v>0</v>
      </c>
      <c r="AI46" s="9">
        <f t="shared" si="6"/>
        <v>0</v>
      </c>
      <c r="AJ46">
        <f t="shared" si="7"/>
        <v>0</v>
      </c>
      <c r="AK46">
        <f t="shared" si="5"/>
        <v>0</v>
      </c>
    </row>
    <row r="47" spans="2:37" x14ac:dyDescent="0.2">
      <c r="B47">
        <v>7</v>
      </c>
      <c r="C47" t="s">
        <v>40</v>
      </c>
      <c r="E47">
        <v>2.7963333153820093E-5</v>
      </c>
      <c r="G47">
        <f t="shared" si="8"/>
        <v>3.9947618791171563E-6</v>
      </c>
      <c r="H47" t="s">
        <v>60</v>
      </c>
      <c r="I47">
        <v>40</v>
      </c>
      <c r="AF47">
        <v>51</v>
      </c>
      <c r="AH47">
        <f t="shared" si="4"/>
        <v>0</v>
      </c>
      <c r="AI47" s="9">
        <f t="shared" si="6"/>
        <v>0</v>
      </c>
      <c r="AJ47">
        <f t="shared" si="7"/>
        <v>0</v>
      </c>
      <c r="AK47">
        <f t="shared" si="5"/>
        <v>0</v>
      </c>
    </row>
    <row r="48" spans="2:37" x14ac:dyDescent="0.2">
      <c r="B48">
        <v>1</v>
      </c>
      <c r="I48">
        <v>41</v>
      </c>
      <c r="W48">
        <f>SUM(W2:W46)</f>
        <v>777.45989999999995</v>
      </c>
      <c r="AF48">
        <v>52</v>
      </c>
      <c r="AH48">
        <f t="shared" si="4"/>
        <v>0</v>
      </c>
      <c r="AI48" s="9">
        <f t="shared" si="6"/>
        <v>0</v>
      </c>
      <c r="AJ48">
        <f t="shared" si="7"/>
        <v>0</v>
      </c>
      <c r="AK48">
        <f t="shared" si="5"/>
        <v>0</v>
      </c>
    </row>
    <row r="49" spans="2:37" x14ac:dyDescent="0.2">
      <c r="B49">
        <v>1</v>
      </c>
      <c r="I49">
        <v>42</v>
      </c>
      <c r="AF49">
        <v>53</v>
      </c>
      <c r="AH49">
        <f t="shared" si="4"/>
        <v>0</v>
      </c>
      <c r="AI49" s="9">
        <f t="shared" si="6"/>
        <v>0</v>
      </c>
      <c r="AJ49">
        <f t="shared" si="7"/>
        <v>0</v>
      </c>
      <c r="AK49">
        <f t="shared" si="5"/>
        <v>0</v>
      </c>
    </row>
    <row r="50" spans="2:37" x14ac:dyDescent="0.2">
      <c r="AF50">
        <v>54</v>
      </c>
      <c r="AH50">
        <f t="shared" si="4"/>
        <v>0</v>
      </c>
      <c r="AI50" s="9">
        <f t="shared" si="6"/>
        <v>0</v>
      </c>
      <c r="AJ50">
        <f t="shared" si="7"/>
        <v>0</v>
      </c>
      <c r="AK50">
        <f t="shared" si="5"/>
        <v>0</v>
      </c>
    </row>
    <row r="51" spans="2:37" x14ac:dyDescent="0.2">
      <c r="AF51">
        <v>55</v>
      </c>
      <c r="AH51">
        <f t="shared" si="4"/>
        <v>0</v>
      </c>
      <c r="AI51" s="9">
        <f t="shared" si="6"/>
        <v>0</v>
      </c>
      <c r="AJ51">
        <f t="shared" si="7"/>
        <v>0</v>
      </c>
      <c r="AK51">
        <f t="shared" si="5"/>
        <v>0</v>
      </c>
    </row>
    <row r="54" spans="2:37" x14ac:dyDescent="0.2">
      <c r="E54">
        <f>+SUM(E8:E49)</f>
        <v>46.241367566612226</v>
      </c>
      <c r="G54">
        <f>SUM(G4:G51)</f>
        <v>22.564836125359008</v>
      </c>
      <c r="Y54">
        <f>+SUM(Y1:Y49)</f>
        <v>21.921109094649911</v>
      </c>
      <c r="Z54">
        <f>+SUM(Z1:Z49)</f>
        <v>2.8195722160490369</v>
      </c>
      <c r="AH54">
        <f>SUM(AH4:AH51)</f>
        <v>1472.6999999999998</v>
      </c>
      <c r="AJ54">
        <f>SUM(AJ4:AJ51)</f>
        <v>9.2752571745332482</v>
      </c>
      <c r="AK54">
        <f>SUM(AK4:AK51)</f>
        <v>0.62981307629070749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56A9-42CD-BC42-951D-88DCD0AD5EC9}">
  <dimension ref="A2:AI127"/>
  <sheetViews>
    <sheetView topLeftCell="S1" zoomScale="75" workbookViewId="0">
      <selection activeCell="AM38" sqref="AM38"/>
    </sheetView>
  </sheetViews>
  <sheetFormatPr baseColWidth="10" defaultRowHeight="16" x14ac:dyDescent="0.2"/>
  <cols>
    <col min="3" max="3" width="15.5" bestFit="1" customWidth="1"/>
    <col min="4" max="4" width="26.33203125" bestFit="1" customWidth="1"/>
    <col min="14" max="14" width="17.5" bestFit="1" customWidth="1"/>
    <col min="15" max="15" width="11" bestFit="1" customWidth="1"/>
    <col min="16" max="16" width="13.6640625" bestFit="1" customWidth="1"/>
    <col min="17" max="17" width="13" bestFit="1" customWidth="1"/>
    <col min="18" max="18" width="11.83203125" customWidth="1"/>
    <col min="20" max="20" width="32.1640625" bestFit="1" customWidth="1"/>
    <col min="21" max="22" width="11.83203125" customWidth="1"/>
    <col min="23" max="23" width="13.6640625" bestFit="1" customWidth="1"/>
    <col min="25" max="26" width="11.83203125" customWidth="1"/>
    <col min="28" max="28" width="13.33203125" customWidth="1"/>
    <col min="34" max="34" width="18" bestFit="1" customWidth="1"/>
    <col min="35" max="35" width="16.1640625" bestFit="1" customWidth="1"/>
  </cols>
  <sheetData>
    <row r="2" spans="2:35" x14ac:dyDescent="0.2">
      <c r="Y2" t="s">
        <v>359</v>
      </c>
      <c r="Z2" t="s">
        <v>360</v>
      </c>
      <c r="AA2" t="s">
        <v>363</v>
      </c>
      <c r="AB2" t="s">
        <v>362</v>
      </c>
    </row>
    <row r="3" spans="2:35" x14ac:dyDescent="0.2">
      <c r="B3" t="s">
        <v>335</v>
      </c>
      <c r="C3" t="s">
        <v>108</v>
      </c>
      <c r="D3" t="s">
        <v>336</v>
      </c>
      <c r="E3" t="s">
        <v>111</v>
      </c>
      <c r="F3" t="s">
        <v>342</v>
      </c>
      <c r="Y3" s="21">
        <f>'5% CO'!D6-'5% CO'!E6</f>
        <v>39.308285097118173</v>
      </c>
      <c r="Z3" s="21">
        <f>+'5% CO'!D7-'5% CO'!E7</f>
        <v>38.129448738677212</v>
      </c>
      <c r="AA3" s="21">
        <f>+'5% CO'!D6</f>
        <v>52.733113232800932</v>
      </c>
      <c r="AB3" s="21">
        <f>+'5% CO'!D7</f>
        <v>164.77162198880833</v>
      </c>
    </row>
    <row r="4" spans="2:35" x14ac:dyDescent="0.2">
      <c r="B4">
        <f>'5% CO'!B25</f>
        <v>1</v>
      </c>
      <c r="C4" t="str">
        <f>'5% CO'!H25</f>
        <v>oxygenated</v>
      </c>
      <c r="D4" t="str">
        <f>'5% CO'!C25</f>
        <v>Metanolo</v>
      </c>
      <c r="E4">
        <f>'5% CO'!G25</f>
        <v>0.64499028268648395</v>
      </c>
      <c r="F4" t="s">
        <v>375</v>
      </c>
      <c r="Y4">
        <f>Y3/(Y3+Z3)</f>
        <v>0.50761151121067571</v>
      </c>
      <c r="Z4">
        <f>1-Y4</f>
        <v>0.49238848878932429</v>
      </c>
    </row>
    <row r="5" spans="2:35" x14ac:dyDescent="0.2">
      <c r="B5">
        <f>'5% CO'!B18</f>
        <v>1</v>
      </c>
      <c r="C5" t="str">
        <f>'5% CO'!H18</f>
        <v>paraffin</v>
      </c>
      <c r="D5" t="str">
        <f>'5% CO'!C18</f>
        <v>*CH4</v>
      </c>
      <c r="E5">
        <f>'5% CO'!G18</f>
        <v>11.284207492384297</v>
      </c>
      <c r="F5" t="s">
        <v>375</v>
      </c>
      <c r="R5" t="s">
        <v>342</v>
      </c>
      <c r="S5" t="s">
        <v>366</v>
      </c>
      <c r="T5" t="s">
        <v>343</v>
      </c>
      <c r="U5" t="s">
        <v>344</v>
      </c>
      <c r="V5" t="s">
        <v>345</v>
      </c>
      <c r="W5" t="s">
        <v>55</v>
      </c>
      <c r="X5" t="s">
        <v>46</v>
      </c>
      <c r="Y5" t="s">
        <v>377</v>
      </c>
      <c r="Z5" t="s">
        <v>378</v>
      </c>
      <c r="AA5" t="s">
        <v>364</v>
      </c>
      <c r="AB5" t="s">
        <v>361</v>
      </c>
      <c r="AH5" s="14" t="s">
        <v>346</v>
      </c>
      <c r="AI5" t="s">
        <v>380</v>
      </c>
    </row>
    <row r="6" spans="2:35" x14ac:dyDescent="0.2">
      <c r="B6">
        <f>'5% CO'!B20</f>
        <v>2</v>
      </c>
      <c r="C6" t="str">
        <f>'5% CO'!H20</f>
        <v>Olefin</v>
      </c>
      <c r="D6" t="str">
        <f>'5% CO'!C20</f>
        <v>*Acetilene</v>
      </c>
      <c r="E6">
        <f>'5% CO'!G20</f>
        <v>0</v>
      </c>
      <c r="F6" t="s">
        <v>375</v>
      </c>
      <c r="R6">
        <v>1</v>
      </c>
      <c r="S6" s="12">
        <v>1</v>
      </c>
      <c r="T6" s="10" t="s">
        <v>113</v>
      </c>
      <c r="U6" s="10" t="s">
        <v>114</v>
      </c>
      <c r="V6" s="10" t="s">
        <v>114</v>
      </c>
      <c r="W6">
        <f>GETPIVOTDATA("mol",$N$17,"Cn",1,"Class","paraffin")</f>
        <v>11.284207492384297</v>
      </c>
      <c r="X6">
        <f>+W6*S6</f>
        <v>11.284207492384297</v>
      </c>
      <c r="Y6">
        <f>X6*$Y$4</f>
        <v>5.7279936180240227</v>
      </c>
      <c r="Z6">
        <f>+X6*$Z$4</f>
        <v>5.5562138743602745</v>
      </c>
      <c r="AA6">
        <f>+Y6/$AA$3</f>
        <v>0.10862232982029039</v>
      </c>
      <c r="AB6">
        <f>+Z6/$AB$3</f>
        <v>3.3720696605982703E-2</v>
      </c>
      <c r="AD6">
        <f>+$AB$3*Tabella11[[#This Row],[conv CO2]]</f>
        <v>5.5562138743602745</v>
      </c>
      <c r="AH6" s="15">
        <v>1</v>
      </c>
      <c r="AI6">
        <v>11.929197775070781</v>
      </c>
    </row>
    <row r="7" spans="2:35" x14ac:dyDescent="0.2">
      <c r="B7">
        <f>'5% CO'!B19</f>
        <v>2</v>
      </c>
      <c r="C7" t="str">
        <f>'5% CO'!H19</f>
        <v>Olefin</v>
      </c>
      <c r="D7" t="str">
        <f>'5% CO'!C19</f>
        <v>*Etilene</v>
      </c>
      <c r="E7">
        <f>'5% CO'!G19</f>
        <v>2.9665605763140062</v>
      </c>
      <c r="F7" t="s">
        <v>375</v>
      </c>
      <c r="R7">
        <v>2</v>
      </c>
      <c r="S7" s="12">
        <v>1</v>
      </c>
      <c r="T7" s="11" t="s">
        <v>115</v>
      </c>
      <c r="U7" s="11" t="s">
        <v>116</v>
      </c>
      <c r="V7" s="11" t="s">
        <v>117</v>
      </c>
      <c r="W7">
        <f>+GETPIVOTDATA("mol",$N$17,"Cn",1,"Class","oxygenated")</f>
        <v>0.64499028268648395</v>
      </c>
      <c r="X7">
        <f t="shared" ref="X7:X70" si="0">+W7*S7</f>
        <v>0.64499028268648395</v>
      </c>
      <c r="Y7">
        <f t="shared" ref="Y7:Y70" si="1">X7*$Y$4</f>
        <v>0.32740449211068706</v>
      </c>
      <c r="Z7">
        <f t="shared" ref="Z7:Z70" si="2">+X7*$Z$4</f>
        <v>0.31758579057579689</v>
      </c>
      <c r="AA7">
        <f t="shared" ref="AA7:AA70" si="3">+Y7/$AA$3</f>
        <v>6.2087078125900533E-3</v>
      </c>
      <c r="AB7">
        <f t="shared" ref="AB7:AB70" si="4">+Z7/$AB$3</f>
        <v>1.9274301408368005E-3</v>
      </c>
      <c r="AD7">
        <f>+$AB$3*Tabella11[[#This Row],[conv CO2]]</f>
        <v>0.31758579057579689</v>
      </c>
      <c r="AH7" s="15">
        <v>2</v>
      </c>
      <c r="AI7">
        <v>7.4382037070915281</v>
      </c>
    </row>
    <row r="8" spans="2:35" x14ac:dyDescent="0.2">
      <c r="B8">
        <f>'5% CO'!B24</f>
        <v>2</v>
      </c>
      <c r="C8" t="str">
        <f>'5% CO'!H24</f>
        <v>oxygenated</v>
      </c>
      <c r="D8" t="str">
        <f>'5% CO'!C24</f>
        <v>*DME</v>
      </c>
      <c r="E8">
        <f>'5% CO'!G24</f>
        <v>0</v>
      </c>
      <c r="F8" t="s">
        <v>375</v>
      </c>
      <c r="R8">
        <v>3</v>
      </c>
      <c r="S8" s="12">
        <v>2</v>
      </c>
      <c r="T8" s="11" t="s">
        <v>118</v>
      </c>
      <c r="U8" s="11" t="s">
        <v>119</v>
      </c>
      <c r="V8" s="11" t="s">
        <v>120</v>
      </c>
      <c r="W8">
        <f>+GETPIVOTDATA("mol",$N$17,"Cn",2,"Class","paraffin")</f>
        <v>0.75254127723175768</v>
      </c>
      <c r="X8">
        <f t="shared" si="0"/>
        <v>1.5050825544635154</v>
      </c>
      <c r="Y8">
        <f>X8*$Y$4</f>
        <v>0.7639972299680492</v>
      </c>
      <c r="Z8">
        <f t="shared" si="2"/>
        <v>0.74108532449546616</v>
      </c>
      <c r="AA8">
        <f t="shared" si="3"/>
        <v>1.4487997827763929E-2</v>
      </c>
      <c r="AB8">
        <f t="shared" si="4"/>
        <v>4.4976514496276694E-3</v>
      </c>
      <c r="AD8">
        <f>+$AB$3*Tabella11[[#This Row],[conv CO2]]</f>
        <v>0.74108532449546616</v>
      </c>
      <c r="AH8" s="15">
        <v>3</v>
      </c>
      <c r="AI8">
        <v>9.9256945269861188</v>
      </c>
    </row>
    <row r="9" spans="2:35" x14ac:dyDescent="0.2">
      <c r="B9">
        <f>'5% CO'!B21</f>
        <v>2</v>
      </c>
      <c r="C9" t="str">
        <f>'5% CO'!H21</f>
        <v>paraffin</v>
      </c>
      <c r="D9" t="str">
        <f>'5% CO'!C21</f>
        <v>*Etano</v>
      </c>
      <c r="E9">
        <f>'5% CO'!G21</f>
        <v>0.75254127723175768</v>
      </c>
      <c r="F9" t="s">
        <v>375</v>
      </c>
      <c r="R9">
        <v>4</v>
      </c>
      <c r="S9" s="12">
        <v>2</v>
      </c>
      <c r="T9" s="10" t="s">
        <v>121</v>
      </c>
      <c r="U9" s="10" t="s">
        <v>122</v>
      </c>
      <c r="V9" s="10" t="s">
        <v>123</v>
      </c>
      <c r="W9">
        <f>+GETPIVOTDATA("mol",$N$17,"Cn",2,"Class","Olefin")</f>
        <v>2.9665605763140062</v>
      </c>
      <c r="X9">
        <f t="shared" si="0"/>
        <v>5.9331211526280123</v>
      </c>
      <c r="Y9">
        <f t="shared" si="1"/>
        <v>3.0117205944815315</v>
      </c>
      <c r="Z9">
        <f t="shared" si="2"/>
        <v>2.9214005581464808</v>
      </c>
      <c r="AA9">
        <f t="shared" si="3"/>
        <v>5.711251261016366E-2</v>
      </c>
      <c r="AB9">
        <f t="shared" si="4"/>
        <v>1.7729998181027246E-2</v>
      </c>
      <c r="AH9" s="15">
        <v>4</v>
      </c>
      <c r="AI9">
        <v>8.0172347955465</v>
      </c>
    </row>
    <row r="10" spans="2:35" x14ac:dyDescent="0.2">
      <c r="B10">
        <f>'5% CO'!B22</f>
        <v>3</v>
      </c>
      <c r="C10" t="str">
        <f>'5% CO'!H22</f>
        <v>Olefin</v>
      </c>
      <c r="D10" t="str">
        <f>'5% CO'!C22</f>
        <v>*Propilene</v>
      </c>
      <c r="E10">
        <f>'5% CO'!G22</f>
        <v>2.9824519040758708</v>
      </c>
      <c r="F10" t="s">
        <v>375</v>
      </c>
      <c r="R10">
        <v>5</v>
      </c>
      <c r="S10" s="12">
        <v>3</v>
      </c>
      <c r="T10" s="10" t="s">
        <v>124</v>
      </c>
      <c r="U10" s="10" t="s">
        <v>125</v>
      </c>
      <c r="V10" s="10" t="s">
        <v>126</v>
      </c>
      <c r="W10">
        <f>+GETPIVOTDATA("mol",$N$17,"Cn",3,"Class","paraffin")</f>
        <v>0.32611293825283549</v>
      </c>
      <c r="X10">
        <f t="shared" si="0"/>
        <v>0.97833881475850648</v>
      </c>
      <c r="Y10">
        <f t="shared" si="1"/>
        <v>0.49661604423562683</v>
      </c>
      <c r="Z10">
        <f t="shared" si="2"/>
        <v>0.48172277052287965</v>
      </c>
      <c r="AA10">
        <f t="shared" si="3"/>
        <v>9.417536985597939E-3</v>
      </c>
      <c r="AB10">
        <f t="shared" si="4"/>
        <v>2.9235784943332011E-3</v>
      </c>
      <c r="AH10" s="15">
        <v>5</v>
      </c>
      <c r="AI10">
        <v>7.7743976992954718</v>
      </c>
    </row>
    <row r="11" spans="2:35" x14ac:dyDescent="0.2">
      <c r="B11">
        <f>'5% CO'!B23</f>
        <v>3</v>
      </c>
      <c r="C11" t="str">
        <f>'5% CO'!H23</f>
        <v>paraffin</v>
      </c>
      <c r="D11" t="str">
        <f>'5% CO'!C23</f>
        <v>*Propano</v>
      </c>
      <c r="E11">
        <f>'5% CO'!G23</f>
        <v>0.30622925533420892</v>
      </c>
      <c r="F11" t="s">
        <v>375</v>
      </c>
      <c r="R11">
        <v>6</v>
      </c>
      <c r="S11" s="12">
        <v>3</v>
      </c>
      <c r="T11" s="11" t="s">
        <v>127</v>
      </c>
      <c r="U11" s="11" t="s">
        <v>128</v>
      </c>
      <c r="V11" s="11" t="s">
        <v>129</v>
      </c>
      <c r="W11">
        <f>+GETPIVOTDATA("mol",$N$17,"Cn",3,"Class","Olefin")</f>
        <v>2.9824519040758708</v>
      </c>
      <c r="X11">
        <f t="shared" si="0"/>
        <v>8.9473557122276119</v>
      </c>
      <c r="Y11">
        <f t="shared" si="1"/>
        <v>4.5417807544233302</v>
      </c>
      <c r="Z11">
        <f t="shared" si="2"/>
        <v>4.4055749578042818</v>
      </c>
      <c r="AA11">
        <f t="shared" si="3"/>
        <v>8.6127680995672029E-2</v>
      </c>
      <c r="AB11">
        <f t="shared" si="4"/>
        <v>2.673746185555859E-2</v>
      </c>
      <c r="AH11" s="15">
        <v>6</v>
      </c>
      <c r="AI11">
        <v>5.2237640812452755</v>
      </c>
    </row>
    <row r="12" spans="2:35" x14ac:dyDescent="0.2">
      <c r="B12">
        <f>'5% CO'!B27</f>
        <v>4</v>
      </c>
      <c r="C12" t="str">
        <f>'5% CO'!H27</f>
        <v>Olefin</v>
      </c>
      <c r="D12" t="str">
        <f>'5% CO'!C27</f>
        <v>*1-Butene</v>
      </c>
      <c r="E12">
        <f>'5% CO'!G27</f>
        <v>1.5864331013899196</v>
      </c>
      <c r="F12" t="s">
        <v>375</v>
      </c>
      <c r="R12">
        <v>7</v>
      </c>
      <c r="S12" s="12">
        <v>4</v>
      </c>
      <c r="T12" s="10" t="s">
        <v>130</v>
      </c>
      <c r="U12" s="10" t="s">
        <v>131</v>
      </c>
      <c r="V12" s="10" t="s">
        <v>132</v>
      </c>
      <c r="W12">
        <f>+GETPIVOTDATA("mol",$N$17,"Cn",4,"Class","paraffin")</f>
        <v>0.23449560985954729</v>
      </c>
      <c r="X12">
        <f t="shared" si="0"/>
        <v>0.93798243943818915</v>
      </c>
      <c r="Y12">
        <f t="shared" si="1"/>
        <v>0.47613068357229532</v>
      </c>
      <c r="Z12">
        <f t="shared" si="2"/>
        <v>0.46185175586589383</v>
      </c>
      <c r="AA12">
        <f t="shared" si="3"/>
        <v>9.0290645551367437E-3</v>
      </c>
      <c r="AB12">
        <f t="shared" si="4"/>
        <v>2.8029811826290321E-3</v>
      </c>
      <c r="AH12" s="15">
        <v>7</v>
      </c>
      <c r="AI12">
        <v>2.9591586835653607</v>
      </c>
    </row>
    <row r="13" spans="2:35" x14ac:dyDescent="0.2">
      <c r="B13">
        <f>'5% CO'!B29</f>
        <v>4</v>
      </c>
      <c r="C13" t="str">
        <f>'5% CO'!H29</f>
        <v>Olefin</v>
      </c>
      <c r="D13" t="str">
        <f>'5% CO'!C29</f>
        <v>2-Butene</v>
      </c>
      <c r="E13">
        <f>'5% CO'!G29</f>
        <v>2.8354859891253286E-2</v>
      </c>
      <c r="F13" t="s">
        <v>375</v>
      </c>
      <c r="R13">
        <v>8</v>
      </c>
      <c r="S13" s="12">
        <v>4</v>
      </c>
      <c r="T13" s="11" t="s">
        <v>133</v>
      </c>
      <c r="U13" s="11" t="s">
        <v>134</v>
      </c>
      <c r="V13" s="11" t="s">
        <v>135</v>
      </c>
      <c r="W13">
        <f>+GETPIVOTDATA("mol",$N$17,"Cn",4,"Class","iso-paraffin")</f>
        <v>6.9756425894330863E-3</v>
      </c>
      <c r="X13">
        <f t="shared" si="0"/>
        <v>2.7902570357732345E-2</v>
      </c>
      <c r="Y13">
        <f t="shared" si="1"/>
        <v>1.416366590595072E-2</v>
      </c>
      <c r="Z13">
        <f t="shared" si="2"/>
        <v>1.3738904451781626E-2</v>
      </c>
      <c r="AA13">
        <f t="shared" si="3"/>
        <v>2.6859149854138839E-4</v>
      </c>
      <c r="AB13">
        <f t="shared" si="4"/>
        <v>8.3381496679779018E-5</v>
      </c>
      <c r="AH13" s="15">
        <v>8</v>
      </c>
      <c r="AI13">
        <v>4.1037635590322141</v>
      </c>
    </row>
    <row r="14" spans="2:35" x14ac:dyDescent="0.2">
      <c r="B14">
        <f>'5% CO'!B26</f>
        <v>4</v>
      </c>
      <c r="C14" t="str">
        <f>'5% CO'!H26</f>
        <v>Olefin</v>
      </c>
      <c r="D14" t="str">
        <f>'5% CO'!C26</f>
        <v>2-Metilpropene</v>
      </c>
      <c r="E14">
        <f>'5% CO'!G26</f>
        <v>2.3029278036235987E-2</v>
      </c>
      <c r="F14" t="s">
        <v>375</v>
      </c>
      <c r="R14">
        <v>9</v>
      </c>
      <c r="S14" s="12">
        <v>4</v>
      </c>
      <c r="T14" s="11" t="s">
        <v>136</v>
      </c>
      <c r="U14" s="11" t="s">
        <v>137</v>
      </c>
      <c r="V14" s="11" t="s">
        <v>138</v>
      </c>
      <c r="W14">
        <f>+GETPIVOTDATA("mol",$N$17,"Cn",4,"Class","Olefin")</f>
        <v>1.7628374464376446</v>
      </c>
      <c r="X14">
        <f t="shared" si="0"/>
        <v>7.0513497857505785</v>
      </c>
      <c r="Y14">
        <f t="shared" si="1"/>
        <v>3.5793463208199254</v>
      </c>
      <c r="Z14">
        <f t="shared" si="2"/>
        <v>3.472003464930653</v>
      </c>
      <c r="AA14">
        <f t="shared" si="3"/>
        <v>6.7876635787046766E-2</v>
      </c>
      <c r="AB14">
        <f t="shared" si="4"/>
        <v>2.1071610651295765E-2</v>
      </c>
      <c r="AH14" s="15">
        <v>9</v>
      </c>
      <c r="AI14">
        <v>4.1587800674992366</v>
      </c>
    </row>
    <row r="15" spans="2:35" x14ac:dyDescent="0.2">
      <c r="B15">
        <f>'5% CO'!B28</f>
        <v>4</v>
      </c>
      <c r="C15" t="str">
        <f>'5% CO'!H28</f>
        <v>paraffin</v>
      </c>
      <c r="D15" t="str">
        <f>'5% CO'!C28</f>
        <v>*N-Butano</v>
      </c>
      <c r="E15">
        <f>'5% CO'!G28</f>
        <v>0.22254904654045757</v>
      </c>
      <c r="F15" t="s">
        <v>375</v>
      </c>
      <c r="R15">
        <v>10</v>
      </c>
      <c r="S15" s="12">
        <v>5</v>
      </c>
      <c r="T15" s="10" t="s">
        <v>139</v>
      </c>
      <c r="U15" s="10" t="s">
        <v>140</v>
      </c>
      <c r="V15" s="10" t="s">
        <v>141</v>
      </c>
      <c r="W15">
        <f>+GETPIVOTDATA("mol",$N$17,"Cn",5,"Class","paraffin")</f>
        <v>0.15138392685270663</v>
      </c>
      <c r="X15">
        <f t="shared" si="0"/>
        <v>0.75691963426353315</v>
      </c>
      <c r="Y15">
        <f t="shared" si="1"/>
        <v>0.38422111941354403</v>
      </c>
      <c r="Z15">
        <f t="shared" si="2"/>
        <v>0.37269851484998912</v>
      </c>
      <c r="AA15">
        <f t="shared" si="3"/>
        <v>7.2861451914913999E-3</v>
      </c>
      <c r="AB15">
        <f t="shared" si="4"/>
        <v>2.261909607682952E-3</v>
      </c>
      <c r="AH15" s="15">
        <v>10</v>
      </c>
      <c r="AI15">
        <v>3.5567424719597294</v>
      </c>
    </row>
    <row r="16" spans="2:35" x14ac:dyDescent="0.2">
      <c r="B16">
        <f>'5% CO'!B31</f>
        <v>5</v>
      </c>
      <c r="C16" t="str">
        <f>'5% CO'!H31</f>
        <v>iso-paraffin</v>
      </c>
      <c r="D16" t="str">
        <f>'5% CO'!C31</f>
        <v>2-Metilbutano</v>
      </c>
      <c r="E16">
        <f>'5% CO'!G31</f>
        <v>0</v>
      </c>
      <c r="F16" t="s">
        <v>375</v>
      </c>
      <c r="R16">
        <v>11</v>
      </c>
      <c r="S16" s="12">
        <v>5</v>
      </c>
      <c r="T16" s="11" t="s">
        <v>370</v>
      </c>
      <c r="U16" s="11" t="s">
        <v>371</v>
      </c>
      <c r="V16" s="11" t="s">
        <v>142</v>
      </c>
      <c r="W16">
        <f>+GETPIVOTDATA("mol",$N$17,"Cn",5,"Class","iso-paraffin")</f>
        <v>2.012898643733339E-2</v>
      </c>
      <c r="X16">
        <f t="shared" si="0"/>
        <v>0.10064493218666695</v>
      </c>
      <c r="Y16">
        <f t="shared" si="1"/>
        <v>5.1088526122969991E-2</v>
      </c>
      <c r="Z16">
        <f t="shared" si="2"/>
        <v>4.9556406063696962E-2</v>
      </c>
      <c r="AA16">
        <f t="shared" si="3"/>
        <v>9.6881300934062854E-4</v>
      </c>
      <c r="AB16">
        <f t="shared" si="4"/>
        <v>3.0075813702351578E-4</v>
      </c>
      <c r="AH16" s="15">
        <v>11</v>
      </c>
      <c r="AI16">
        <v>2.6618577193916901</v>
      </c>
    </row>
    <row r="17" spans="2:35" x14ac:dyDescent="0.2">
      <c r="B17">
        <f>'5% CO'!B33</f>
        <v>5</v>
      </c>
      <c r="C17" t="str">
        <f>'5% CO'!H33</f>
        <v>Olefin</v>
      </c>
      <c r="D17" t="str">
        <f>'5% CO'!C33</f>
        <v>*1-Pentene</v>
      </c>
      <c r="E17">
        <f>'5% CO'!G33</f>
        <v>0.87794251730437234</v>
      </c>
      <c r="F17" t="s">
        <v>375</v>
      </c>
      <c r="N17" s="14" t="s">
        <v>335</v>
      </c>
      <c r="O17" s="14" t="s">
        <v>108</v>
      </c>
      <c r="P17" t="s">
        <v>348</v>
      </c>
      <c r="R17">
        <v>12</v>
      </c>
      <c r="S17" s="12">
        <v>5</v>
      </c>
      <c r="T17" s="10" t="s">
        <v>143</v>
      </c>
      <c r="U17" s="10" t="s">
        <v>144</v>
      </c>
      <c r="V17" s="10" t="s">
        <v>145</v>
      </c>
      <c r="W17">
        <f>+GETPIVOTDATA("mol",$N$17,"Cn",5,"Class","Olefin")</f>
        <v>1.3749473586741283</v>
      </c>
      <c r="X17">
        <f t="shared" si="0"/>
        <v>6.8747367933706416</v>
      </c>
      <c r="Y17">
        <f t="shared" si="1"/>
        <v>3.4896955328585064</v>
      </c>
      <c r="Z17">
        <f t="shared" si="2"/>
        <v>3.3850412605121352</v>
      </c>
      <c r="AA17">
        <f t="shared" si="3"/>
        <v>6.6176550537658266E-2</v>
      </c>
      <c r="AB17">
        <f t="shared" si="4"/>
        <v>2.0543836491104365E-2</v>
      </c>
      <c r="AH17" s="15">
        <v>12</v>
      </c>
      <c r="AI17">
        <v>1.9510925697096155</v>
      </c>
    </row>
    <row r="18" spans="2:35" x14ac:dyDescent="0.2">
      <c r="B18">
        <f>'5% CO'!B32</f>
        <v>5</v>
      </c>
      <c r="C18" t="str">
        <f>'5% CO'!H32</f>
        <v>Olefin</v>
      </c>
      <c r="D18" t="str">
        <f>'5% CO'!C32</f>
        <v>2-Metilbut-1-ene</v>
      </c>
      <c r="E18">
        <f>'5% CO'!G32</f>
        <v>0</v>
      </c>
      <c r="F18" t="s">
        <v>375</v>
      </c>
      <c r="N18">
        <v>1</v>
      </c>
      <c r="O18" t="s">
        <v>337</v>
      </c>
      <c r="P18">
        <v>0.64499028268648395</v>
      </c>
      <c r="R18">
        <v>13</v>
      </c>
      <c r="S18" s="12">
        <v>5</v>
      </c>
      <c r="T18" s="11" t="s">
        <v>349</v>
      </c>
      <c r="V18" t="s">
        <v>350</v>
      </c>
      <c r="W18">
        <f>+GETPIVOTDATA("mol",$N$17,"Cn",5,"Class","Naphthene")</f>
        <v>8.41926789492611E-3</v>
      </c>
      <c r="X18">
        <f t="shared" si="0"/>
        <v>4.2096339474630554E-2</v>
      </c>
      <c r="Y18">
        <f t="shared" si="1"/>
        <v>2.1368586497154837E-2</v>
      </c>
      <c r="Z18">
        <f t="shared" si="2"/>
        <v>2.0727752977475717E-2</v>
      </c>
      <c r="AA18">
        <f t="shared" si="3"/>
        <v>4.0522140998614881E-4</v>
      </c>
      <c r="AB18">
        <f t="shared" si="4"/>
        <v>1.2579686190674019E-4</v>
      </c>
      <c r="AH18" s="15">
        <v>13</v>
      </c>
      <c r="AI18">
        <v>1.2131724308614156</v>
      </c>
    </row>
    <row r="19" spans="2:35" x14ac:dyDescent="0.2">
      <c r="B19">
        <f>'5% CO'!B34</f>
        <v>5</v>
      </c>
      <c r="C19" t="str">
        <f>'5% CO'!H34</f>
        <v>Olefin</v>
      </c>
      <c r="D19" t="str">
        <f>'5% CO'!C34</f>
        <v>2-Pentene</v>
      </c>
      <c r="E19">
        <f>'5% CO'!G34</f>
        <v>0</v>
      </c>
      <c r="F19" t="s">
        <v>375</v>
      </c>
      <c r="N19">
        <v>1</v>
      </c>
      <c r="O19" t="s">
        <v>76</v>
      </c>
      <c r="P19">
        <v>11.284207492384297</v>
      </c>
      <c r="R19">
        <v>14</v>
      </c>
      <c r="S19" s="12">
        <v>6</v>
      </c>
      <c r="T19" s="10" t="s">
        <v>146</v>
      </c>
      <c r="U19" s="10" t="s">
        <v>147</v>
      </c>
      <c r="V19" s="10" t="s">
        <v>148</v>
      </c>
      <c r="W19">
        <f>+GETPIVOTDATA("mol",$N$17,"Cn",6,"Class","iso-paraffin")</f>
        <v>0.41390825335664844</v>
      </c>
      <c r="X19">
        <f t="shared" si="0"/>
        <v>2.4834495201398905</v>
      </c>
      <c r="Y19">
        <f t="shared" si="1"/>
        <v>1.2606275639336373</v>
      </c>
      <c r="Z19">
        <f t="shared" si="2"/>
        <v>1.2228219562062532</v>
      </c>
      <c r="AA19">
        <f t="shared" si="3"/>
        <v>2.3905805795465619E-2</v>
      </c>
      <c r="AB19">
        <f t="shared" si="4"/>
        <v>7.4213140675966037E-3</v>
      </c>
      <c r="AH19" s="15">
        <v>14</v>
      </c>
      <c r="AI19">
        <v>1.0157765934305212</v>
      </c>
    </row>
    <row r="20" spans="2:35" x14ac:dyDescent="0.2">
      <c r="B20">
        <f>'5% CO'!B30</f>
        <v>5</v>
      </c>
      <c r="C20" t="str">
        <f>'5% CO'!H30</f>
        <v>Olefin</v>
      </c>
      <c r="D20" t="str">
        <f>'5% CO'!C30</f>
        <v>3-Metilbut-1-ene</v>
      </c>
      <c r="E20">
        <f>'5% CO'!G30</f>
        <v>0.22658449801189481</v>
      </c>
      <c r="F20" t="s">
        <v>375</v>
      </c>
      <c r="N20">
        <v>2</v>
      </c>
      <c r="O20" t="s">
        <v>60</v>
      </c>
      <c r="P20">
        <v>2.9665605763140062</v>
      </c>
      <c r="R20">
        <v>15</v>
      </c>
      <c r="S20" s="12">
        <v>6</v>
      </c>
      <c r="T20" s="11" t="s">
        <v>149</v>
      </c>
      <c r="U20" s="11" t="s">
        <v>150</v>
      </c>
      <c r="V20" s="11" t="s">
        <v>151</v>
      </c>
      <c r="W20">
        <f>+GETPIVOTDATA("mol",$N$17,"Cn",6,"Class","paraffin")</f>
        <v>5.0046800678118075E-3</v>
      </c>
      <c r="X20">
        <f t="shared" si="0"/>
        <v>3.0028080406870845E-2</v>
      </c>
      <c r="Y20">
        <f t="shared" si="1"/>
        <v>1.5242599274087391E-2</v>
      </c>
      <c r="Z20">
        <f t="shared" si="2"/>
        <v>1.4785481132783454E-2</v>
      </c>
      <c r="AA20">
        <f t="shared" si="3"/>
        <v>2.8905176159040469E-4</v>
      </c>
      <c r="AB20">
        <f t="shared" si="4"/>
        <v>8.9733177074555461E-5</v>
      </c>
      <c r="AH20" s="15">
        <v>15</v>
      </c>
      <c r="AI20">
        <v>0.95859804484035449</v>
      </c>
    </row>
    <row r="21" spans="2:35" x14ac:dyDescent="0.2">
      <c r="B21">
        <f>'5% CO'!B35</f>
        <v>5</v>
      </c>
      <c r="C21" t="str">
        <f>'5% CO'!H35</f>
        <v>paraffin</v>
      </c>
      <c r="D21" t="str">
        <f>'5% CO'!C35</f>
        <v>*Pentano</v>
      </c>
      <c r="E21">
        <f>'5% CO'!G35</f>
        <v>0.12759230511881964</v>
      </c>
      <c r="F21" t="s">
        <v>375</v>
      </c>
      <c r="N21">
        <v>2</v>
      </c>
      <c r="O21" t="s">
        <v>337</v>
      </c>
      <c r="P21">
        <v>0</v>
      </c>
      <c r="R21">
        <v>16</v>
      </c>
      <c r="S21" s="18">
        <v>6</v>
      </c>
      <c r="T21" s="11" t="s">
        <v>152</v>
      </c>
      <c r="U21" s="11" t="s">
        <v>153</v>
      </c>
      <c r="V21" s="11" t="s">
        <v>154</v>
      </c>
      <c r="W21">
        <f>+GETPIVOTDATA("mol",$N$17,"Cn",6,"Class","Olefin")</f>
        <v>0.42227517162425904</v>
      </c>
      <c r="X21">
        <f t="shared" si="0"/>
        <v>2.5336510297455543</v>
      </c>
      <c r="Y21">
        <f t="shared" si="1"/>
        <v>1.2861104280896256</v>
      </c>
      <c r="Z21">
        <f t="shared" si="2"/>
        <v>1.2475406016559287</v>
      </c>
      <c r="AA21">
        <f t="shared" si="3"/>
        <v>2.4389047967106219E-2</v>
      </c>
      <c r="AB21">
        <f t="shared" si="4"/>
        <v>7.5713316807712464E-3</v>
      </c>
      <c r="AH21" s="15">
        <v>16</v>
      </c>
      <c r="AI21">
        <v>0.9421721865758329</v>
      </c>
    </row>
    <row r="22" spans="2:35" x14ac:dyDescent="0.2">
      <c r="B22">
        <f>'5% CO'!B37</f>
        <v>6</v>
      </c>
      <c r="C22" t="str">
        <f>'5% CO'!H37</f>
        <v>iso-paraffin</v>
      </c>
      <c r="D22" t="str">
        <f>'5% CO'!C37</f>
        <v>2,2-Dimetilbutano</v>
      </c>
      <c r="E22">
        <f>'5% CO'!G37</f>
        <v>0.14337230719112087</v>
      </c>
      <c r="F22" t="s">
        <v>375</v>
      </c>
      <c r="N22">
        <v>2</v>
      </c>
      <c r="O22" t="s">
        <v>76</v>
      </c>
      <c r="P22">
        <v>0.75254127723175768</v>
      </c>
      <c r="R22">
        <v>17</v>
      </c>
      <c r="S22" s="12">
        <v>6</v>
      </c>
      <c r="T22" t="s">
        <v>354</v>
      </c>
      <c r="V22" t="s">
        <v>353</v>
      </c>
      <c r="W22">
        <f>+GETPIVOTDATA("mol",$N$17,"Cn",6,"Class","Aromatic")</f>
        <v>2.2556645398328491E-3</v>
      </c>
      <c r="X22">
        <f t="shared" si="0"/>
        <v>1.3533987238997094E-2</v>
      </c>
      <c r="Y22">
        <f t="shared" si="1"/>
        <v>6.8700077150933153E-3</v>
      </c>
      <c r="Z22">
        <f t="shared" si="2"/>
        <v>6.6639795239037784E-3</v>
      </c>
      <c r="AA22">
        <f t="shared" si="3"/>
        <v>1.3027881901764998E-4</v>
      </c>
      <c r="AB22">
        <f t="shared" si="4"/>
        <v>4.0443733231905739E-5</v>
      </c>
      <c r="AH22" s="15">
        <v>17</v>
      </c>
      <c r="AI22">
        <v>0.78278546345364119</v>
      </c>
    </row>
    <row r="23" spans="2:35" x14ac:dyDescent="0.2">
      <c r="B23">
        <f>'5% CO'!B40</f>
        <v>6</v>
      </c>
      <c r="C23" t="str">
        <f>'5% CO'!H40</f>
        <v>Olefin</v>
      </c>
      <c r="D23" t="str">
        <f>'5% CO'!C40</f>
        <v>1-Esene</v>
      </c>
      <c r="E23">
        <f>'5% CO'!G40</f>
        <v>1.9141241611245173E-5</v>
      </c>
      <c r="F23" t="s">
        <v>375</v>
      </c>
      <c r="N23">
        <v>3</v>
      </c>
      <c r="O23" t="s">
        <v>60</v>
      </c>
      <c r="P23">
        <v>2.9824519040758708</v>
      </c>
      <c r="R23">
        <v>18</v>
      </c>
      <c r="S23" s="12">
        <v>6</v>
      </c>
      <c r="T23" t="s">
        <v>352</v>
      </c>
      <c r="V23" t="s">
        <v>351</v>
      </c>
      <c r="W23">
        <f>+GETPIVOTDATA("mol",$N$17,"Cn",6,"Class","Naphthene")</f>
        <v>2.7183577285660624E-2</v>
      </c>
      <c r="X23">
        <f t="shared" si="0"/>
        <v>0.16310146371396375</v>
      </c>
      <c r="Y23">
        <f t="shared" si="1"/>
        <v>8.2792180476518332E-2</v>
      </c>
      <c r="Z23">
        <f t="shared" si="2"/>
        <v>8.030928323744542E-2</v>
      </c>
      <c r="AA23">
        <f t="shared" si="3"/>
        <v>1.5700226176864544E-3</v>
      </c>
      <c r="AB23">
        <f t="shared" si="4"/>
        <v>4.8739754011100413E-4</v>
      </c>
      <c r="AH23" s="15">
        <v>18</v>
      </c>
      <c r="AI23">
        <v>0.70287139314042979</v>
      </c>
    </row>
    <row r="24" spans="2:35" x14ac:dyDescent="0.2">
      <c r="B24">
        <f>'5% CO'!B36</f>
        <v>6</v>
      </c>
      <c r="C24" t="str">
        <f>'5% CO'!H36</f>
        <v>Olefin</v>
      </c>
      <c r="D24" t="str">
        <f>'5% CO'!C36</f>
        <v>2-Metilbut-2-ene</v>
      </c>
      <c r="E24">
        <f>'5% CO'!G36</f>
        <v>1.0782087352486522E-2</v>
      </c>
      <c r="F24" t="s">
        <v>375</v>
      </c>
      <c r="N24">
        <v>3</v>
      </c>
      <c r="O24" t="s">
        <v>76</v>
      </c>
      <c r="P24">
        <v>0.32611293825283549</v>
      </c>
      <c r="R24">
        <v>19</v>
      </c>
      <c r="S24" s="12">
        <v>7</v>
      </c>
      <c r="T24" s="11" t="s">
        <v>155</v>
      </c>
      <c r="U24" s="11" t="s">
        <v>156</v>
      </c>
      <c r="V24" s="11" t="s">
        <v>157</v>
      </c>
      <c r="W24">
        <f>+GETPIVOTDATA("mol",$N$17,"Cn",7,"Class","paraffin")</f>
        <v>3.6542649360789502E-5</v>
      </c>
      <c r="X24">
        <f t="shared" si="0"/>
        <v>2.5579854552552651E-4</v>
      </c>
      <c r="Y24">
        <f t="shared" si="1"/>
        <v>1.2984628625970534E-4</v>
      </c>
      <c r="Z24">
        <f t="shared" si="2"/>
        <v>1.2595225926582116E-4</v>
      </c>
      <c r="AA24">
        <f t="shared" si="3"/>
        <v>2.4623292329901479E-6</v>
      </c>
      <c r="AB24">
        <f t="shared" si="4"/>
        <v>7.6440504587844699E-7</v>
      </c>
      <c r="AH24" s="15">
        <v>19</v>
      </c>
      <c r="AI24">
        <v>0.33506055658665634</v>
      </c>
    </row>
    <row r="25" spans="2:35" x14ac:dyDescent="0.2">
      <c r="B25">
        <f>'5% CO'!B42</f>
        <v>6</v>
      </c>
      <c r="C25" t="str">
        <f>'5% CO'!H42</f>
        <v>Olefin</v>
      </c>
      <c r="D25" t="str">
        <f>'5% CO'!C42</f>
        <v>2,3-Dimetilbut-2-ene</v>
      </c>
      <c r="E25">
        <f>'5% CO'!G42</f>
        <v>2.3569675213591491E-5</v>
      </c>
      <c r="F25" t="s">
        <v>375</v>
      </c>
      <c r="N25">
        <v>4</v>
      </c>
      <c r="O25" t="s">
        <v>57</v>
      </c>
      <c r="P25">
        <v>6.9756425894330863E-3</v>
      </c>
      <c r="R25">
        <v>20</v>
      </c>
      <c r="S25" s="12">
        <v>7</v>
      </c>
      <c r="T25" s="10" t="s">
        <v>158</v>
      </c>
      <c r="U25" s="10" t="s">
        <v>159</v>
      </c>
      <c r="V25" s="10" t="s">
        <v>160</v>
      </c>
      <c r="W25">
        <f>+GETPIVOTDATA("mol",$N$17,"Cn",7,"Class","iso-paraffin")</f>
        <v>0.2307181649094556</v>
      </c>
      <c r="X25">
        <f t="shared" si="0"/>
        <v>1.6150271543661892</v>
      </c>
      <c r="Y25">
        <f t="shared" si="1"/>
        <v>0.81980637447409854</v>
      </c>
      <c r="Z25">
        <f t="shared" si="2"/>
        <v>0.79522077989209061</v>
      </c>
      <c r="AA25">
        <f t="shared" si="3"/>
        <v>1.5546329890573661E-2</v>
      </c>
      <c r="AB25">
        <f t="shared" si="4"/>
        <v>4.8261998655697146E-3</v>
      </c>
      <c r="AH25" s="15">
        <v>20</v>
      </c>
      <c r="AI25">
        <v>0.2771177535679113</v>
      </c>
    </row>
    <row r="26" spans="2:35" x14ac:dyDescent="0.2">
      <c r="B26">
        <f>'5% CO'!B38</f>
        <v>6</v>
      </c>
      <c r="C26" t="str">
        <f>'5% CO'!H38</f>
        <v>Olefin</v>
      </c>
      <c r="D26" t="str">
        <f>'5% CO'!C38</f>
        <v>3-Metilpent-1-ene</v>
      </c>
      <c r="E26">
        <f>'5% CO'!G38</f>
        <v>0</v>
      </c>
      <c r="F26" t="s">
        <v>375</v>
      </c>
      <c r="N26">
        <v>4</v>
      </c>
      <c r="O26" t="s">
        <v>60</v>
      </c>
      <c r="P26">
        <v>1.7628374464376446</v>
      </c>
      <c r="R26">
        <v>21</v>
      </c>
      <c r="S26" s="18">
        <v>7</v>
      </c>
      <c r="T26" s="11" t="s">
        <v>161</v>
      </c>
      <c r="U26" s="11" t="s">
        <v>162</v>
      </c>
      <c r="V26" s="11" t="s">
        <v>163</v>
      </c>
      <c r="W26">
        <f>+GETPIVOTDATA("mol",$N$17,"Cn",7,"Class","Olefin")</f>
        <v>0.16140389481812606</v>
      </c>
      <c r="X26">
        <f t="shared" si="0"/>
        <v>1.1298272637268825</v>
      </c>
      <c r="Y26">
        <f t="shared" si="1"/>
        <v>0.57351332474742545</v>
      </c>
      <c r="Z26">
        <f t="shared" si="2"/>
        <v>0.55631393897945702</v>
      </c>
      <c r="AA26">
        <f t="shared" si="3"/>
        <v>1.0875772158862223E-2</v>
      </c>
      <c r="AB26">
        <f t="shared" si="4"/>
        <v>3.3762727602283551E-3</v>
      </c>
      <c r="AH26" s="15">
        <v>21</v>
      </c>
      <c r="AI26">
        <v>0.26452149204209718</v>
      </c>
    </row>
    <row r="27" spans="2:35" x14ac:dyDescent="0.2">
      <c r="B27">
        <f>'5% CO'!B39</f>
        <v>6</v>
      </c>
      <c r="C27" t="str">
        <f>'5% CO'!H39</f>
        <v>Olefin</v>
      </c>
      <c r="D27" t="str">
        <f>'5% CO'!C39</f>
        <v>4-Metilpent-2-ene</v>
      </c>
      <c r="E27">
        <f>'5% CO'!G39</f>
        <v>0.30171511307275434</v>
      </c>
      <c r="F27" t="s">
        <v>375</v>
      </c>
      <c r="N27">
        <v>4</v>
      </c>
      <c r="O27" t="s">
        <v>76</v>
      </c>
      <c r="P27">
        <v>0.23449560985954729</v>
      </c>
      <c r="R27">
        <v>22</v>
      </c>
      <c r="S27" s="18">
        <v>7</v>
      </c>
      <c r="T27" s="10" t="s">
        <v>164</v>
      </c>
      <c r="U27" s="10" t="s">
        <v>165</v>
      </c>
      <c r="V27" s="10" t="s">
        <v>166</v>
      </c>
      <c r="W27">
        <f>+GETPIVOTDATA("mol",$N$17,"Cn",7,"Class","Aromatic")</f>
        <v>6.031083063378081E-3</v>
      </c>
      <c r="X27">
        <f t="shared" si="0"/>
        <v>4.2217581443646568E-2</v>
      </c>
      <c r="Y27">
        <f t="shared" si="1"/>
        <v>2.1430130316269214E-2</v>
      </c>
      <c r="Z27">
        <f t="shared" si="2"/>
        <v>2.0787451127377354E-2</v>
      </c>
      <c r="AA27">
        <f t="shared" si="3"/>
        <v>4.0638849107318194E-4</v>
      </c>
      <c r="AB27">
        <f t="shared" si="4"/>
        <v>1.26159170350276E-4</v>
      </c>
      <c r="AH27" s="15">
        <v>22</v>
      </c>
      <c r="AI27">
        <v>0.24940597821112018</v>
      </c>
    </row>
    <row r="28" spans="2:35" x14ac:dyDescent="0.2">
      <c r="B28">
        <f>'5% CO'!B41</f>
        <v>6</v>
      </c>
      <c r="C28" t="str">
        <f>'5% CO'!H41</f>
        <v>paraffin</v>
      </c>
      <c r="D28" t="str">
        <f>'5% CO'!C41</f>
        <v>Esano</v>
      </c>
      <c r="E28">
        <f>'5% CO'!G41</f>
        <v>1.9313371322895508E-3</v>
      </c>
      <c r="F28" t="s">
        <v>375</v>
      </c>
      <c r="N28">
        <v>5</v>
      </c>
      <c r="O28" t="s">
        <v>57</v>
      </c>
      <c r="P28">
        <v>2.012898643733339E-2</v>
      </c>
      <c r="R28">
        <v>23</v>
      </c>
      <c r="S28" s="18">
        <v>7</v>
      </c>
      <c r="T28" t="s">
        <v>83</v>
      </c>
      <c r="V28" t="s">
        <v>356</v>
      </c>
      <c r="W28">
        <f>+GETPIVOTDATA("mol",$N$17,"Cn",7,"Class","Naphthene")</f>
        <v>2.4547269354730981E-2</v>
      </c>
      <c r="X28">
        <f t="shared" si="0"/>
        <v>0.17183088548311687</v>
      </c>
      <c r="Y28">
        <f t="shared" si="1"/>
        <v>8.7223335452753514E-2</v>
      </c>
      <c r="Z28">
        <f t="shared" si="2"/>
        <v>8.4607550030363354E-2</v>
      </c>
      <c r="AA28">
        <f t="shared" si="3"/>
        <v>1.6540524559528387E-3</v>
      </c>
      <c r="AB28">
        <f t="shared" si="4"/>
        <v>5.1348374804558328E-4</v>
      </c>
      <c r="AH28" s="15">
        <v>23</v>
      </c>
      <c r="AI28">
        <v>0.23177121207498039</v>
      </c>
    </row>
    <row r="29" spans="2:35" x14ac:dyDescent="0.2">
      <c r="B29">
        <f>'5% CO'!B9</f>
        <v>7</v>
      </c>
      <c r="C29" t="str">
        <f>'5% CO'!H9</f>
        <v>Aromatic</v>
      </c>
      <c r="D29" t="str">
        <f>'5% CO'!C9</f>
        <v>Toluene</v>
      </c>
      <c r="E29">
        <f>'5% CO'!G9</f>
        <v>0</v>
      </c>
      <c r="F29" t="s">
        <v>375</v>
      </c>
      <c r="N29">
        <v>5</v>
      </c>
      <c r="O29" t="s">
        <v>73</v>
      </c>
      <c r="P29">
        <v>8.41926789492611E-3</v>
      </c>
      <c r="R29">
        <v>24</v>
      </c>
      <c r="S29" s="12">
        <v>8</v>
      </c>
      <c r="T29" s="11" t="s">
        <v>167</v>
      </c>
      <c r="U29" s="11" t="s">
        <v>168</v>
      </c>
      <c r="V29" s="11" t="s">
        <v>169</v>
      </c>
      <c r="W29">
        <f>+GETPIVOTDATA("mol",$N$17,"Cn",8,"Class","paraffin")</f>
        <v>1.6684247271973113E-2</v>
      </c>
      <c r="X29">
        <f t="shared" si="0"/>
        <v>0.13347397817578491</v>
      </c>
      <c r="Y29">
        <f t="shared" si="1"/>
        <v>6.7752927769110932E-2</v>
      </c>
      <c r="Z29">
        <f t="shared" si="2"/>
        <v>6.5721050406673975E-2</v>
      </c>
      <c r="AA29">
        <f t="shared" si="3"/>
        <v>1.2848270017740467E-3</v>
      </c>
      <c r="AB29">
        <f t="shared" si="4"/>
        <v>3.9886146420976484E-4</v>
      </c>
      <c r="AH29" s="15">
        <v>24</v>
      </c>
      <c r="AI29">
        <v>0.22673270746465474</v>
      </c>
    </row>
    <row r="30" spans="2:35" x14ac:dyDescent="0.2">
      <c r="B30">
        <f>'5% CO'!B43</f>
        <v>7</v>
      </c>
      <c r="C30" t="str">
        <f>'5% CO'!H43</f>
        <v>iso-paraffin</v>
      </c>
      <c r="D30" t="str">
        <f>'5% CO'!C43</f>
        <v>2,2-Dimetilpentano</v>
      </c>
      <c r="E30">
        <f>'5% CO'!G43</f>
        <v>8.7957753518294102E-6</v>
      </c>
      <c r="F30" t="s">
        <v>375</v>
      </c>
      <c r="N30">
        <v>5</v>
      </c>
      <c r="O30" t="s">
        <v>60</v>
      </c>
      <c r="P30">
        <v>1.3749473586741283</v>
      </c>
      <c r="R30">
        <v>25</v>
      </c>
      <c r="S30" s="12">
        <v>8</v>
      </c>
      <c r="T30" s="10" t="s">
        <v>170</v>
      </c>
      <c r="U30" s="10" t="s">
        <v>171</v>
      </c>
      <c r="V30" s="10" t="s">
        <v>172</v>
      </c>
      <c r="W30">
        <f>+GETPIVOTDATA("mol",$N$17,"Cn",8,"Class","iso-paraffin")</f>
        <v>9.6330973754236632E-2</v>
      </c>
      <c r="X30">
        <f t="shared" si="0"/>
        <v>0.77064779003389305</v>
      </c>
      <c r="Y30">
        <f t="shared" si="1"/>
        <v>0.39118968931027198</v>
      </c>
      <c r="Z30">
        <f t="shared" si="2"/>
        <v>0.37945810072362107</v>
      </c>
      <c r="AA30">
        <f t="shared" si="3"/>
        <v>7.4182930862300208E-3</v>
      </c>
      <c r="AB30">
        <f t="shared" si="4"/>
        <v>2.3029335764467667E-3</v>
      </c>
      <c r="AH30" s="15">
        <v>25</v>
      </c>
      <c r="AI30">
        <v>0.20468924979447994</v>
      </c>
    </row>
    <row r="31" spans="2:35" x14ac:dyDescent="0.2">
      <c r="B31">
        <f>'5% CO'!B45</f>
        <v>7</v>
      </c>
      <c r="C31" t="str">
        <f>'5% CO'!H45</f>
        <v>Olefin</v>
      </c>
      <c r="D31" t="str">
        <f>'5% CO'!C45</f>
        <v>1-eptene</v>
      </c>
      <c r="E31">
        <f>'5% CO'!G45</f>
        <v>3.0511255265248878E-4</v>
      </c>
      <c r="F31" t="s">
        <v>375</v>
      </c>
      <c r="N31">
        <v>5</v>
      </c>
      <c r="O31" t="s">
        <v>76</v>
      </c>
      <c r="P31">
        <v>0.15138392685270663</v>
      </c>
      <c r="R31">
        <v>26</v>
      </c>
      <c r="S31" s="12">
        <v>8</v>
      </c>
      <c r="T31" s="10" t="s">
        <v>173</v>
      </c>
      <c r="U31" s="10" t="s">
        <v>174</v>
      </c>
      <c r="V31" s="10" t="s">
        <v>175</v>
      </c>
      <c r="W31">
        <f>+GETPIVOTDATA("mol",$N$17,"Cn",8,"Class","Olefin")</f>
        <v>0.26445693023067812</v>
      </c>
      <c r="X31">
        <f t="shared" si="0"/>
        <v>2.115655441845425</v>
      </c>
      <c r="Y31">
        <f t="shared" si="1"/>
        <v>1.0739310560362461</v>
      </c>
      <c r="Z31">
        <f t="shared" si="2"/>
        <v>1.0417243858091789</v>
      </c>
      <c r="AA31">
        <f t="shared" si="3"/>
        <v>2.0365402120204084E-2</v>
      </c>
      <c r="AB31">
        <f t="shared" si="4"/>
        <v>6.3222317850335609E-3</v>
      </c>
      <c r="AH31" s="15">
        <v>26</v>
      </c>
      <c r="AI31">
        <v>0.18012653981914234</v>
      </c>
    </row>
    <row r="32" spans="2:35" x14ac:dyDescent="0.2">
      <c r="B32">
        <f>'5% CO'!B47</f>
        <v>7</v>
      </c>
      <c r="C32" t="str">
        <f>'5% CO'!H47</f>
        <v>Olefin</v>
      </c>
      <c r="D32" t="str">
        <f>'5% CO'!C47</f>
        <v>2-Eptene</v>
      </c>
      <c r="E32">
        <f>'5% CO'!G47</f>
        <v>3.9947618791171563E-6</v>
      </c>
      <c r="F32" t="s">
        <v>375</v>
      </c>
      <c r="N32">
        <v>6</v>
      </c>
      <c r="O32" t="s">
        <v>67</v>
      </c>
      <c r="P32">
        <v>2.2556645398328491E-3</v>
      </c>
      <c r="R32">
        <v>27</v>
      </c>
      <c r="S32" s="12">
        <v>8</v>
      </c>
      <c r="T32" s="11" t="s">
        <v>176</v>
      </c>
      <c r="U32" s="11" t="s">
        <v>177</v>
      </c>
      <c r="V32" s="11" t="s">
        <v>178</v>
      </c>
      <c r="W32">
        <f>+GETPIVOTDATA("mol",$N$17,"Cn",8,"Class","Naphthene")</f>
        <v>4.3241089228595722E-2</v>
      </c>
      <c r="X32">
        <f t="shared" si="0"/>
        <v>0.34592871382876578</v>
      </c>
      <c r="Y32">
        <f t="shared" si="1"/>
        <v>0.17559739719778517</v>
      </c>
      <c r="Z32">
        <f t="shared" si="2"/>
        <v>0.17033131663098061</v>
      </c>
      <c r="AA32">
        <f t="shared" si="3"/>
        <v>3.3299266140911338E-3</v>
      </c>
      <c r="AB32">
        <f t="shared" si="4"/>
        <v>1.0337418214075109E-3</v>
      </c>
      <c r="AH32" s="15">
        <v>27</v>
      </c>
      <c r="AI32">
        <v>0.15304457753864192</v>
      </c>
    </row>
    <row r="33" spans="1:35" x14ac:dyDescent="0.2">
      <c r="B33">
        <f>'5% CO'!B44</f>
        <v>7</v>
      </c>
      <c r="C33" t="str">
        <f>'5% CO'!H44</f>
        <v>Olefin</v>
      </c>
      <c r="D33" t="str">
        <f>'5% CO'!C44</f>
        <v>2-Metiles-1-ene</v>
      </c>
      <c r="E33">
        <f>'5% CO'!G44</f>
        <v>6.5715585602161303E-5</v>
      </c>
      <c r="F33" t="s">
        <v>375</v>
      </c>
      <c r="N33">
        <v>6</v>
      </c>
      <c r="O33" t="s">
        <v>57</v>
      </c>
      <c r="P33">
        <v>0.41390825335664844</v>
      </c>
      <c r="R33">
        <v>28</v>
      </c>
      <c r="S33" s="12">
        <v>8</v>
      </c>
      <c r="T33" s="10" t="s">
        <v>179</v>
      </c>
      <c r="U33" s="10" t="s">
        <v>180</v>
      </c>
      <c r="V33" s="10" t="s">
        <v>181</v>
      </c>
      <c r="W33">
        <f>+GETPIVOTDATA("mol",$N$17,"Cn",8,"Class","Aromatic")</f>
        <v>9.2257204393543152E-2</v>
      </c>
      <c r="X33">
        <f t="shared" si="0"/>
        <v>0.73805763514834521</v>
      </c>
      <c r="Y33">
        <f t="shared" si="1"/>
        <v>0.37464655153822907</v>
      </c>
      <c r="Z33">
        <f t="shared" si="2"/>
        <v>0.36341108361011615</v>
      </c>
      <c r="AA33">
        <f t="shared" si="3"/>
        <v>7.1045786711714997E-3</v>
      </c>
      <c r="AB33">
        <f t="shared" si="4"/>
        <v>2.2055441296487321E-3</v>
      </c>
      <c r="AH33" s="15" t="s">
        <v>347</v>
      </c>
      <c r="AI33">
        <v>77.43773383579537</v>
      </c>
    </row>
    <row r="34" spans="1:35" x14ac:dyDescent="0.2">
      <c r="B34">
        <f>'5% CO'!B46</f>
        <v>7</v>
      </c>
      <c r="C34" t="str">
        <f>'5% CO'!H46</f>
        <v>paraffin</v>
      </c>
      <c r="D34" t="str">
        <f>'5% CO'!C46</f>
        <v>Eptano</v>
      </c>
      <c r="E34">
        <f>'5% CO'!G46</f>
        <v>3.6542649360789502E-5</v>
      </c>
      <c r="F34" t="s">
        <v>375</v>
      </c>
      <c r="N34">
        <v>6</v>
      </c>
      <c r="O34" t="s">
        <v>73</v>
      </c>
      <c r="P34">
        <v>2.7183577285660624E-2</v>
      </c>
      <c r="R34">
        <v>29</v>
      </c>
      <c r="S34" s="13">
        <v>9</v>
      </c>
      <c r="T34" s="10" t="s">
        <v>182</v>
      </c>
      <c r="U34" s="10" t="s">
        <v>183</v>
      </c>
      <c r="V34" s="10" t="s">
        <v>184</v>
      </c>
      <c r="W34">
        <f>+GETPIVOTDATA("mol",$N$17,"Cn",9,"Class","paraffin")</f>
        <v>3.9737779222589045E-2</v>
      </c>
      <c r="X34">
        <f t="shared" si="0"/>
        <v>0.35764001300330139</v>
      </c>
      <c r="Y34">
        <f t="shared" si="1"/>
        <v>0.18154218747001152</v>
      </c>
      <c r="Z34">
        <f t="shared" si="2"/>
        <v>0.17609782553328987</v>
      </c>
      <c r="AA34">
        <f t="shared" si="3"/>
        <v>3.4426601492037277E-3</v>
      </c>
      <c r="AB34">
        <f t="shared" si="4"/>
        <v>1.0687387998477725E-3</v>
      </c>
    </row>
    <row r="35" spans="1:35" x14ac:dyDescent="0.2">
      <c r="B35">
        <f>'5% CO'!B13</f>
        <v>8</v>
      </c>
      <c r="C35" t="str">
        <f>'5% CO'!H13</f>
        <v>Aromatic</v>
      </c>
      <c r="D35" t="str">
        <f>'5% CO'!C13</f>
        <v>Etilbenzene</v>
      </c>
      <c r="E35">
        <f>'5% CO'!G13</f>
        <v>0</v>
      </c>
      <c r="F35" t="s">
        <v>375</v>
      </c>
      <c r="N35">
        <v>6</v>
      </c>
      <c r="O35" t="s">
        <v>60</v>
      </c>
      <c r="P35">
        <v>0.42227517162425904</v>
      </c>
      <c r="R35">
        <v>30</v>
      </c>
      <c r="S35" s="12">
        <v>9</v>
      </c>
      <c r="T35" s="11" t="s">
        <v>185</v>
      </c>
      <c r="U35" s="11" t="s">
        <v>186</v>
      </c>
      <c r="V35" s="11" t="s">
        <v>187</v>
      </c>
      <c r="W35">
        <f>+GETPIVOTDATA("mol",$N$17,"Cn",9,"Class","iso-paraffin")</f>
        <v>0.25327729285513145</v>
      </c>
      <c r="X35">
        <f t="shared" si="0"/>
        <v>2.2794956356961831</v>
      </c>
      <c r="Y35">
        <f t="shared" si="1"/>
        <v>1.1570982244338794</v>
      </c>
      <c r="Z35">
        <f t="shared" si="2"/>
        <v>1.1223974112623036</v>
      </c>
      <c r="AA35">
        <f t="shared" si="3"/>
        <v>2.1942535790095242E-2</v>
      </c>
      <c r="AB35">
        <f t="shared" si="4"/>
        <v>6.8118368789168039E-3</v>
      </c>
    </row>
    <row r="36" spans="1:35" x14ac:dyDescent="0.2">
      <c r="B36">
        <f>'5% CO'!B12</f>
        <v>8</v>
      </c>
      <c r="C36" t="str">
        <f>'5% CO'!H12</f>
        <v>Aromatic</v>
      </c>
      <c r="D36" t="str">
        <f>'5% CO'!C12</f>
        <v>m-Xilene</v>
      </c>
      <c r="E36">
        <f>'5% CO'!G12</f>
        <v>4.2434939469165787E-2</v>
      </c>
      <c r="F36" t="s">
        <v>375</v>
      </c>
      <c r="N36">
        <v>6</v>
      </c>
      <c r="O36" t="s">
        <v>76</v>
      </c>
      <c r="P36">
        <v>5.0046800678118075E-3</v>
      </c>
      <c r="R36">
        <v>31</v>
      </c>
      <c r="S36" s="12">
        <v>9</v>
      </c>
      <c r="T36" s="10" t="s">
        <v>188</v>
      </c>
      <c r="U36" s="10" t="s">
        <v>189</v>
      </c>
      <c r="V36" s="10" t="s">
        <v>190</v>
      </c>
      <c r="W36">
        <f>+GETPIVOTDATA("mol",$N$17,"Cn",9,"Class","Olefin")</f>
        <v>4.6675338490491242E-2</v>
      </c>
      <c r="X36">
        <f t="shared" si="0"/>
        <v>0.42007804641442115</v>
      </c>
      <c r="Y36">
        <f t="shared" si="1"/>
        <v>0.2132364519668527</v>
      </c>
      <c r="Z36">
        <f t="shared" si="2"/>
        <v>0.20684159444756844</v>
      </c>
      <c r="AA36">
        <f t="shared" si="3"/>
        <v>4.0436916937840843E-3</v>
      </c>
      <c r="AB36">
        <f t="shared" si="4"/>
        <v>1.2553229248518146E-3</v>
      </c>
    </row>
    <row r="37" spans="1:35" x14ac:dyDescent="0.2">
      <c r="B37">
        <f>'5% CO'!B14</f>
        <v>8</v>
      </c>
      <c r="C37" t="str">
        <f>'5% CO'!H14</f>
        <v>Aromatic</v>
      </c>
      <c r="D37" t="str">
        <f>'5% CO'!C14</f>
        <v>o-Xilene</v>
      </c>
      <c r="E37">
        <f>'5% CO'!G14</f>
        <v>0</v>
      </c>
      <c r="F37" t="s">
        <v>375</v>
      </c>
      <c r="N37">
        <v>7</v>
      </c>
      <c r="O37" t="s">
        <v>67</v>
      </c>
      <c r="P37">
        <v>6.031083063378081E-3</v>
      </c>
      <c r="R37">
        <v>32</v>
      </c>
      <c r="S37" s="12">
        <v>9</v>
      </c>
      <c r="T37" s="11" t="s">
        <v>191</v>
      </c>
      <c r="U37" s="11" t="s">
        <v>192</v>
      </c>
      <c r="V37" s="11" t="s">
        <v>193</v>
      </c>
      <c r="W37">
        <f>+GETPIVOTDATA("mol",$N$17,"Cn",9,"Class","Naphthene")</f>
        <v>2.6312326857150185E-2</v>
      </c>
      <c r="X37">
        <f t="shared" si="0"/>
        <v>0.23681094171435166</v>
      </c>
      <c r="Y37">
        <f t="shared" si="1"/>
        <v>0.12020795999484529</v>
      </c>
      <c r="Z37">
        <f t="shared" si="2"/>
        <v>0.11660298171950637</v>
      </c>
      <c r="AA37">
        <f t="shared" si="3"/>
        <v>2.2795536357613304E-3</v>
      </c>
      <c r="AB37">
        <f t="shared" si="4"/>
        <v>7.0766422222527073E-4</v>
      </c>
    </row>
    <row r="38" spans="1:35" x14ac:dyDescent="0.2">
      <c r="B38">
        <f>'5% CO'!B11</f>
        <v>8</v>
      </c>
      <c r="C38" t="str">
        <f>'5% CO'!H11</f>
        <v>Aromatic</v>
      </c>
      <c r="D38" t="str">
        <f>'5% CO'!C11</f>
        <v>p-Xilene</v>
      </c>
      <c r="E38">
        <f>'5% CO'!G11</f>
        <v>2.7440081930822695E-7</v>
      </c>
      <c r="F38" t="s">
        <v>375</v>
      </c>
      <c r="N38">
        <v>7</v>
      </c>
      <c r="O38" t="s">
        <v>57</v>
      </c>
      <c r="P38">
        <v>0.2307181649094556</v>
      </c>
      <c r="R38">
        <v>33</v>
      </c>
      <c r="S38" s="12">
        <v>9</v>
      </c>
      <c r="T38" s="10" t="s">
        <v>194</v>
      </c>
      <c r="U38" s="10" t="s">
        <v>195</v>
      </c>
      <c r="V38" s="10" t="s">
        <v>196</v>
      </c>
      <c r="W38">
        <f>+GETPIVOTDATA("mol",$N$17,"Cn",9,"Class","Aromatic")</f>
        <v>9.6083936741219941E-2</v>
      </c>
      <c r="X38">
        <f t="shared" si="0"/>
        <v>0.86475543067097949</v>
      </c>
      <c r="Y38">
        <f t="shared" si="1"/>
        <v>0.4389598109905346</v>
      </c>
      <c r="Z38">
        <f t="shared" si="2"/>
        <v>0.42579561968044488</v>
      </c>
      <c r="AA38">
        <f t="shared" si="3"/>
        <v>8.324177809352129E-3</v>
      </c>
      <c r="AB38">
        <f t="shared" si="4"/>
        <v>2.5841562675723729E-3</v>
      </c>
    </row>
    <row r="39" spans="1:35" x14ac:dyDescent="0.2">
      <c r="B39">
        <f>'5% CO'!B8</f>
        <v>8</v>
      </c>
      <c r="C39" t="str">
        <f>'5% CO'!H8</f>
        <v>Olefin</v>
      </c>
      <c r="D39" t="str">
        <f>'5% CO'!C8</f>
        <v>Ottene</v>
      </c>
      <c r="E39">
        <f>'5% CO'!G8</f>
        <v>0</v>
      </c>
      <c r="F39" t="s">
        <v>375</v>
      </c>
      <c r="N39">
        <v>7</v>
      </c>
      <c r="O39" t="s">
        <v>73</v>
      </c>
      <c r="P39">
        <v>2.4547269354730981E-2</v>
      </c>
      <c r="R39">
        <v>34</v>
      </c>
      <c r="S39" s="12">
        <v>10</v>
      </c>
      <c r="T39" s="11" t="s">
        <v>197</v>
      </c>
      <c r="U39" s="11" t="s">
        <v>198</v>
      </c>
      <c r="V39" s="11" t="s">
        <v>199</v>
      </c>
      <c r="W39">
        <f>+GETPIVOTDATA("mol",$N$17,"Cn",10,"Class","paraffin")</f>
        <v>5.4094226948684841E-2</v>
      </c>
      <c r="X39">
        <f t="shared" si="0"/>
        <v>0.54094226948684843</v>
      </c>
      <c r="Y39">
        <f t="shared" si="1"/>
        <v>0.27458852289195174</v>
      </c>
      <c r="Z39">
        <f t="shared" si="2"/>
        <v>0.26635374659489669</v>
      </c>
      <c r="AA39">
        <f t="shared" si="3"/>
        <v>5.2071365800028819E-3</v>
      </c>
      <c r="AB39">
        <f t="shared" si="4"/>
        <v>1.6165025468583907E-3</v>
      </c>
    </row>
    <row r="40" spans="1:35" x14ac:dyDescent="0.2">
      <c r="B40">
        <f>'5% CO'!B10</f>
        <v>9</v>
      </c>
      <c r="C40" t="str">
        <f>'5% CO'!H10</f>
        <v>Aromatic</v>
      </c>
      <c r="D40" t="str">
        <f>'5% CO'!C10</f>
        <v>Nonene</v>
      </c>
      <c r="E40">
        <f>'5% CO'!G10</f>
        <v>3.0331315405092388E-2</v>
      </c>
      <c r="F40" t="s">
        <v>375</v>
      </c>
      <c r="N40">
        <v>7</v>
      </c>
      <c r="O40" t="s">
        <v>60</v>
      </c>
      <c r="P40">
        <v>0.16140389481812606</v>
      </c>
      <c r="R40">
        <v>35</v>
      </c>
      <c r="S40" s="12">
        <v>10</v>
      </c>
      <c r="T40" s="10" t="s">
        <v>200</v>
      </c>
      <c r="U40" s="10" t="s">
        <v>201</v>
      </c>
      <c r="V40" s="10" t="s">
        <v>202</v>
      </c>
      <c r="W40">
        <f>+GETPIVOTDATA("mol",$N$17,"Cn",10,"Class","iso-paraffin")</f>
        <v>8.6098715485419849E-2</v>
      </c>
      <c r="X40">
        <f t="shared" si="0"/>
        <v>0.86098715485419852</v>
      </c>
      <c r="Y40">
        <f t="shared" si="1"/>
        <v>0.43704699080851978</v>
      </c>
      <c r="Z40">
        <f t="shared" si="2"/>
        <v>0.42394016404567875</v>
      </c>
      <c r="AA40">
        <f t="shared" si="3"/>
        <v>8.2879042031728332E-3</v>
      </c>
      <c r="AB40">
        <f t="shared" si="4"/>
        <v>2.5728954957697373E-3</v>
      </c>
    </row>
    <row r="41" spans="1:35" x14ac:dyDescent="0.2">
      <c r="B41">
        <f>'5% CO'!B15</f>
        <v>9</v>
      </c>
      <c r="C41" t="str">
        <f>'5% CO'!H15</f>
        <v>Aromatic</v>
      </c>
      <c r="D41" t="str">
        <f>'5% CO'!C15</f>
        <v>Trimetilbenzene</v>
      </c>
      <c r="E41">
        <f>'5% CO'!G15</f>
        <v>0</v>
      </c>
      <c r="F41" t="s">
        <v>375</v>
      </c>
      <c r="N41">
        <v>7</v>
      </c>
      <c r="O41" t="s">
        <v>76</v>
      </c>
      <c r="P41">
        <v>3.6542649360789502E-5</v>
      </c>
      <c r="R41">
        <v>36</v>
      </c>
      <c r="S41" s="12">
        <v>10</v>
      </c>
      <c r="T41" s="11" t="s">
        <v>203</v>
      </c>
      <c r="U41" s="11" t="s">
        <v>204</v>
      </c>
      <c r="V41" s="11" t="s">
        <v>205</v>
      </c>
      <c r="W41">
        <f>+GETPIVOTDATA("mol",$N$17,"Cn",10,"Class","Olefin")</f>
        <v>9.3934821032975138E-2</v>
      </c>
      <c r="X41">
        <f t="shared" si="0"/>
        <v>0.93934821032975135</v>
      </c>
      <c r="Y41">
        <f t="shared" si="1"/>
        <v>0.47682396459852877</v>
      </c>
      <c r="Z41">
        <f t="shared" si="2"/>
        <v>0.46252424573122258</v>
      </c>
      <c r="AA41">
        <f t="shared" si="3"/>
        <v>9.0422115321258101E-3</v>
      </c>
      <c r="AB41">
        <f t="shared" si="4"/>
        <v>2.8070625278097845E-3</v>
      </c>
    </row>
    <row r="42" spans="1:35" x14ac:dyDescent="0.2">
      <c r="B42">
        <f>'5% CO'!B16</f>
        <v>10</v>
      </c>
      <c r="C42" t="str">
        <f>'5% CO'!H16</f>
        <v>Olefin</v>
      </c>
      <c r="D42" t="str">
        <f>'5% CO'!C16</f>
        <v>Decene</v>
      </c>
      <c r="E42">
        <f>'5% CO'!G16</f>
        <v>4.9085231091620912E-7</v>
      </c>
      <c r="F42" t="s">
        <v>375</v>
      </c>
      <c r="N42">
        <v>8</v>
      </c>
      <c r="O42" t="s">
        <v>67</v>
      </c>
      <c r="P42">
        <v>9.2257204393543152E-2</v>
      </c>
      <c r="R42">
        <v>37</v>
      </c>
      <c r="S42" s="12">
        <v>10</v>
      </c>
      <c r="T42" s="10" t="s">
        <v>206</v>
      </c>
      <c r="U42" s="10" t="s">
        <v>207</v>
      </c>
      <c r="V42" s="10" t="s">
        <v>208</v>
      </c>
      <c r="W42">
        <f>+GETPIVOTDATA("mol",$N$17,"Cn",10,"Class","Naphthene")</f>
        <v>5.4649112638800346E-2</v>
      </c>
      <c r="X42">
        <f t="shared" si="0"/>
        <v>0.54649112638800346</v>
      </c>
      <c r="Y42">
        <f t="shared" si="1"/>
        <v>0.27740518652903884</v>
      </c>
      <c r="Z42">
        <f t="shared" si="2"/>
        <v>0.26908593985896462</v>
      </c>
      <c r="AA42">
        <f t="shared" si="3"/>
        <v>5.2605501462501909E-3</v>
      </c>
      <c r="AB42">
        <f t="shared" si="4"/>
        <v>1.633084244793327E-3</v>
      </c>
    </row>
    <row r="43" spans="1:35" x14ac:dyDescent="0.2">
      <c r="B43">
        <f>'5% CO'!B17</f>
        <v>10</v>
      </c>
      <c r="C43" t="str">
        <f>'5% CO'!H17</f>
        <v>paraffin</v>
      </c>
      <c r="D43" t="str">
        <f>'5% CO'!C17</f>
        <v>Decano</v>
      </c>
      <c r="E43">
        <f>'5% CO'!G17</f>
        <v>4.3389939217189496E-3</v>
      </c>
      <c r="F43" t="s">
        <v>375</v>
      </c>
      <c r="N43">
        <v>8</v>
      </c>
      <c r="O43" t="s">
        <v>57</v>
      </c>
      <c r="P43">
        <v>9.6330973754236632E-2</v>
      </c>
      <c r="R43">
        <v>38</v>
      </c>
      <c r="S43" s="12">
        <v>10</v>
      </c>
      <c r="T43" s="11" t="s">
        <v>209</v>
      </c>
      <c r="U43" s="11" t="s">
        <v>210</v>
      </c>
      <c r="V43" s="11" t="s">
        <v>211</v>
      </c>
      <c r="W43">
        <f>+GETPIVOTDATA("mol",$N$17,"Cn",10,"Class","Aromatic")</f>
        <v>6.6897371090092736E-2</v>
      </c>
      <c r="X43">
        <f t="shared" si="0"/>
        <v>0.66897371090092739</v>
      </c>
      <c r="Y43">
        <f t="shared" si="1"/>
        <v>0.33957875635063345</v>
      </c>
      <c r="Z43">
        <f t="shared" si="2"/>
        <v>0.32939495455029394</v>
      </c>
      <c r="AA43">
        <f t="shared" si="3"/>
        <v>6.4395734583599252E-3</v>
      </c>
      <c r="AB43">
        <f t="shared" si="4"/>
        <v>1.9991000305420747E-3</v>
      </c>
    </row>
    <row r="44" spans="1:35" x14ac:dyDescent="0.2">
      <c r="A44" t="s">
        <v>338</v>
      </c>
      <c r="B44">
        <f>+'5% CO'!T2</f>
        <v>3</v>
      </c>
      <c r="C44" t="str">
        <f>+'5% CO'!U2</f>
        <v>paraffin</v>
      </c>
      <c r="D44" t="str">
        <f>+'5% CO'!R2</f>
        <v>Propane</v>
      </c>
      <c r="E44">
        <f>+'5% CO'!Z2</f>
        <v>1.9883682918626567E-2</v>
      </c>
      <c r="F44" t="s">
        <v>376</v>
      </c>
      <c r="N44">
        <v>8</v>
      </c>
      <c r="O44" t="s">
        <v>73</v>
      </c>
      <c r="P44">
        <v>4.3241089228595722E-2</v>
      </c>
      <c r="R44">
        <v>39</v>
      </c>
      <c r="S44" s="12">
        <v>11</v>
      </c>
      <c r="T44" s="11" t="s">
        <v>212</v>
      </c>
      <c r="U44" s="11" t="s">
        <v>213</v>
      </c>
      <c r="V44" s="11" t="s">
        <v>214</v>
      </c>
      <c r="W44">
        <f>+GETPIVOTDATA("mol",$N$17,"Cn",11,"Class","paraffin")</f>
        <v>5.9630685257132644E-2</v>
      </c>
      <c r="X44">
        <f t="shared" si="0"/>
        <v>0.65593753782845909</v>
      </c>
      <c r="Y44">
        <f t="shared" si="1"/>
        <v>0.33296144483691387</v>
      </c>
      <c r="Z44">
        <f t="shared" si="2"/>
        <v>0.32297609299154523</v>
      </c>
      <c r="AA44">
        <f t="shared" si="3"/>
        <v>6.3140866227068488E-3</v>
      </c>
      <c r="AB44">
        <f t="shared" si="4"/>
        <v>1.9601439197672187E-3</v>
      </c>
    </row>
    <row r="45" spans="1:35" x14ac:dyDescent="0.2">
      <c r="B45">
        <f>+'5% CO'!T5</f>
        <v>4</v>
      </c>
      <c r="C45" t="str">
        <f>+'5% CO'!U5</f>
        <v>iso-paraffin</v>
      </c>
      <c r="D45" t="str">
        <f>+'5% CO'!R5</f>
        <v>i-Butane</v>
      </c>
      <c r="E45">
        <f>+'5% CO'!Z5</f>
        <v>6.9756425894330863E-3</v>
      </c>
      <c r="F45" t="s">
        <v>376</v>
      </c>
      <c r="N45">
        <v>8</v>
      </c>
      <c r="O45" t="s">
        <v>60</v>
      </c>
      <c r="P45">
        <v>0.26445693023067812</v>
      </c>
      <c r="R45">
        <v>40</v>
      </c>
      <c r="S45" s="12">
        <v>11</v>
      </c>
      <c r="T45" s="10" t="s">
        <v>215</v>
      </c>
      <c r="U45" s="10" t="s">
        <v>216</v>
      </c>
      <c r="V45" s="10" t="s">
        <v>217</v>
      </c>
      <c r="W45">
        <f>+GETPIVOTDATA("mol",$N$17,"Cn",11,"Class","iso-paraffin")</f>
        <v>8.918615632431609E-2</v>
      </c>
      <c r="X45">
        <f t="shared" si="0"/>
        <v>0.98104771956747694</v>
      </c>
      <c r="Y45">
        <f t="shared" si="1"/>
        <v>0.49799111549943414</v>
      </c>
      <c r="Z45">
        <f t="shared" si="2"/>
        <v>0.48305660406804279</v>
      </c>
      <c r="AA45">
        <f t="shared" si="3"/>
        <v>9.4436130349625329E-3</v>
      </c>
      <c r="AB45">
        <f t="shared" si="4"/>
        <v>2.9316735384255252E-3</v>
      </c>
    </row>
    <row r="46" spans="1:35" x14ac:dyDescent="0.2">
      <c r="B46">
        <f>+'5% CO'!T3</f>
        <v>4</v>
      </c>
      <c r="C46" t="str">
        <f>+'5% CO'!U3</f>
        <v>Olefin</v>
      </c>
      <c r="D46" t="str">
        <f>+'5% CO'!R3</f>
        <v>Butene-1</v>
      </c>
      <c r="E46">
        <f>+'5% CO'!Z3</f>
        <v>0.12502020712023568</v>
      </c>
      <c r="F46" t="s">
        <v>376</v>
      </c>
      <c r="N46">
        <v>8</v>
      </c>
      <c r="O46" t="s">
        <v>76</v>
      </c>
      <c r="P46">
        <v>1.6684247271973113E-2</v>
      </c>
      <c r="R46">
        <v>41</v>
      </c>
      <c r="S46" s="12">
        <v>11</v>
      </c>
      <c r="T46" s="10" t="s">
        <v>219</v>
      </c>
      <c r="U46" s="10" t="s">
        <v>220</v>
      </c>
      <c r="V46" s="10" t="s">
        <v>221</v>
      </c>
      <c r="W46">
        <f>+GETPIVOTDATA("mol",$N$17,"Cn",11,"Class","Aromatic")</f>
        <v>3.5749463375675854E-2</v>
      </c>
      <c r="X46">
        <f t="shared" si="0"/>
        <v>0.39324409713243441</v>
      </c>
      <c r="Y46">
        <f t="shared" si="1"/>
        <v>0.19961523042007279</v>
      </c>
      <c r="Z46">
        <f t="shared" si="2"/>
        <v>0.19362886671236162</v>
      </c>
      <c r="AA46">
        <f t="shared" si="3"/>
        <v>3.7853867936609624E-3</v>
      </c>
      <c r="AB46">
        <f t="shared" si="4"/>
        <v>1.1751347979418042E-3</v>
      </c>
    </row>
    <row r="47" spans="1:35" x14ac:dyDescent="0.2">
      <c r="B47">
        <f>+'5% CO'!T4</f>
        <v>4</v>
      </c>
      <c r="C47" t="str">
        <f>+'5% CO'!U4</f>
        <v>paraffin</v>
      </c>
      <c r="D47" t="str">
        <f>+'5% CO'!R4</f>
        <v>n-Butane</v>
      </c>
      <c r="E47">
        <f>+'5% CO'!Z4</f>
        <v>1.1946563319089729E-2</v>
      </c>
      <c r="F47" t="s">
        <v>376</v>
      </c>
      <c r="N47">
        <v>9</v>
      </c>
      <c r="O47" t="s">
        <v>67</v>
      </c>
      <c r="P47">
        <v>9.6083936741219941E-2</v>
      </c>
      <c r="R47">
        <v>42</v>
      </c>
      <c r="S47" s="12">
        <v>11</v>
      </c>
      <c r="T47" s="17" t="s">
        <v>65</v>
      </c>
      <c r="V47" s="16" t="s">
        <v>357</v>
      </c>
      <c r="W47">
        <f>+GETPIVOTDATA("mol",$N$17,"Cn",11,"Class","Olefin")</f>
        <v>5.7420760442119974E-2</v>
      </c>
      <c r="X47">
        <f t="shared" si="0"/>
        <v>0.63162836486331975</v>
      </c>
      <c r="Y47">
        <f t="shared" si="1"/>
        <v>0.32062182881179779</v>
      </c>
      <c r="Z47">
        <f t="shared" si="2"/>
        <v>0.31100653605152195</v>
      </c>
      <c r="AA47">
        <f t="shared" si="3"/>
        <v>6.0800853421330969E-3</v>
      </c>
      <c r="AB47">
        <f t="shared" si="4"/>
        <v>1.8875006041552849E-3</v>
      </c>
    </row>
    <row r="48" spans="1:35" x14ac:dyDescent="0.2">
      <c r="B48">
        <f>+'5% CO'!T8</f>
        <v>5</v>
      </c>
      <c r="C48" t="str">
        <f>+'5% CO'!U8</f>
        <v>iso-paraffin</v>
      </c>
      <c r="D48" t="str">
        <f>+'5% CO'!R8</f>
        <v>(C5-IsoParaffin)</v>
      </c>
      <c r="E48">
        <f>+'5% CO'!Z8</f>
        <v>2.012898643733339E-2</v>
      </c>
      <c r="F48" t="s">
        <v>376</v>
      </c>
      <c r="N48">
        <v>9</v>
      </c>
      <c r="O48" t="s">
        <v>57</v>
      </c>
      <c r="P48">
        <v>0.25327729285513145</v>
      </c>
      <c r="R48">
        <v>43</v>
      </c>
      <c r="S48" s="12">
        <v>12</v>
      </c>
      <c r="T48" s="10" t="s">
        <v>222</v>
      </c>
      <c r="U48" s="10" t="s">
        <v>223</v>
      </c>
      <c r="V48" s="10" t="s">
        <v>224</v>
      </c>
      <c r="W48">
        <f>+GETPIVOTDATA("mol",$N$17,"Cn",12,"Class","iso-paraffin")</f>
        <v>6.2865370725141492E-2</v>
      </c>
      <c r="X48">
        <f t="shared" si="0"/>
        <v>0.75438444870169796</v>
      </c>
      <c r="Y48">
        <f t="shared" si="1"/>
        <v>0.38293423003930138</v>
      </c>
      <c r="Z48">
        <f t="shared" si="2"/>
        <v>0.37145021866239658</v>
      </c>
      <c r="AA48">
        <f t="shared" si="3"/>
        <v>7.2617413720438093E-3</v>
      </c>
      <c r="AB48">
        <f t="shared" si="4"/>
        <v>2.2543336903464257E-3</v>
      </c>
    </row>
    <row r="49" spans="2:28" x14ac:dyDescent="0.2">
      <c r="B49">
        <f>+'5% CO'!T9</f>
        <v>5</v>
      </c>
      <c r="C49" t="str">
        <f>+'5% CO'!U9</f>
        <v>Naphthene</v>
      </c>
      <c r="D49" t="str">
        <f>+'5% CO'!R9</f>
        <v>Cyclopentane</v>
      </c>
      <c r="E49">
        <f>+'5% CO'!Z9</f>
        <v>8.41926789492611E-3</v>
      </c>
      <c r="F49" t="s">
        <v>376</v>
      </c>
      <c r="N49">
        <v>9</v>
      </c>
      <c r="O49" t="s">
        <v>73</v>
      </c>
      <c r="P49">
        <v>2.6312326857150185E-2</v>
      </c>
      <c r="R49">
        <v>44</v>
      </c>
      <c r="S49" s="12">
        <v>12</v>
      </c>
      <c r="T49" s="11" t="s">
        <v>225</v>
      </c>
      <c r="U49" s="11" t="s">
        <v>226</v>
      </c>
      <c r="V49" s="11" t="s">
        <v>227</v>
      </c>
      <c r="W49">
        <f>+GETPIVOTDATA("mol",$N$17,"Cn",12,"Class","paraffin")</f>
        <v>6.6130373010524282E-2</v>
      </c>
      <c r="X49">
        <f t="shared" si="0"/>
        <v>0.79356447612629144</v>
      </c>
      <c r="Y49">
        <f t="shared" si="1"/>
        <v>0.40282246296957497</v>
      </c>
      <c r="Z49">
        <f t="shared" si="2"/>
        <v>0.39074201315671647</v>
      </c>
      <c r="AA49">
        <f t="shared" si="3"/>
        <v>7.6388902204812788E-3</v>
      </c>
      <c r="AB49">
        <f t="shared" si="4"/>
        <v>2.3714157112761599E-3</v>
      </c>
    </row>
    <row r="50" spans="2:28" x14ac:dyDescent="0.2">
      <c r="B50">
        <f>+'5% CO'!T6</f>
        <v>5</v>
      </c>
      <c r="C50" t="str">
        <f>+'5% CO'!U6</f>
        <v>Olefin</v>
      </c>
      <c r="D50" t="str">
        <f>+'5% CO'!R6</f>
        <v>1,4-Pentadiene</v>
      </c>
      <c r="E50">
        <f>+'5% CO'!Z6</f>
        <v>0.27042034335786119</v>
      </c>
      <c r="F50" t="s">
        <v>376</v>
      </c>
      <c r="N50">
        <v>9</v>
      </c>
      <c r="O50" t="s">
        <v>60</v>
      </c>
      <c r="P50">
        <v>4.6675338490491242E-2</v>
      </c>
      <c r="R50">
        <v>45</v>
      </c>
      <c r="S50" s="12">
        <v>12</v>
      </c>
      <c r="T50" s="11" t="s">
        <v>228</v>
      </c>
      <c r="U50" s="11" t="s">
        <v>229</v>
      </c>
      <c r="V50" s="11" t="s">
        <v>230</v>
      </c>
      <c r="W50">
        <f>+GETPIVOTDATA("mol",$N$17,"Cn",12,"Class","Olefin")</f>
        <v>6.1748816777924256E-3</v>
      </c>
      <c r="X50">
        <f t="shared" si="0"/>
        <v>7.4098580133509104E-2</v>
      </c>
      <c r="Y50">
        <f t="shared" si="1"/>
        <v>3.7613292240135911E-2</v>
      </c>
      <c r="Z50">
        <f t="shared" si="2"/>
        <v>3.6485287893373193E-2</v>
      </c>
      <c r="AA50">
        <f t="shared" si="3"/>
        <v>7.1327653412163374E-4</v>
      </c>
      <c r="AB50">
        <f t="shared" si="4"/>
        <v>2.2142943944468397E-4</v>
      </c>
    </row>
    <row r="51" spans="2:28" x14ac:dyDescent="0.2">
      <c r="B51">
        <f>+'5% CO'!T7</f>
        <v>5</v>
      </c>
      <c r="C51" t="str">
        <f>+'5% CO'!U7</f>
        <v>paraffin</v>
      </c>
      <c r="D51" t="str">
        <f>+'5% CO'!R7</f>
        <v>n-Pentane</v>
      </c>
      <c r="E51">
        <f>+'5% CO'!Z7</f>
        <v>2.3791621733886978E-2</v>
      </c>
      <c r="F51" t="s">
        <v>376</v>
      </c>
      <c r="N51">
        <v>9</v>
      </c>
      <c r="O51" t="s">
        <v>76</v>
      </c>
      <c r="P51">
        <v>3.9737779222589045E-2</v>
      </c>
      <c r="R51">
        <v>46</v>
      </c>
      <c r="S51" s="12">
        <v>12</v>
      </c>
      <c r="T51" s="10" t="s">
        <v>231</v>
      </c>
      <c r="U51" s="10" t="s">
        <v>232</v>
      </c>
      <c r="V51" s="10" t="s">
        <v>233</v>
      </c>
      <c r="W51">
        <f>+GETPIVOTDATA("mol",$N$17,"Cn",12,"Class","Aromatic")</f>
        <v>2.1764343228712207E-2</v>
      </c>
      <c r="X51">
        <f t="shared" si="0"/>
        <v>0.26117211874454649</v>
      </c>
      <c r="Y51">
        <f t="shared" si="1"/>
        <v>0.13257397388201328</v>
      </c>
      <c r="Z51">
        <f t="shared" si="2"/>
        <v>0.12859814486253321</v>
      </c>
      <c r="AA51">
        <f t="shared" si="3"/>
        <v>2.514055509993101E-3</v>
      </c>
      <c r="AB51">
        <f t="shared" si="4"/>
        <v>7.8046294204270133E-4</v>
      </c>
    </row>
    <row r="52" spans="2:28" x14ac:dyDescent="0.2">
      <c r="B52">
        <f>+'5% CO'!T14</f>
        <v>6</v>
      </c>
      <c r="C52" t="str">
        <f>+'5% CO'!U14</f>
        <v>Aromatic</v>
      </c>
      <c r="D52" t="str">
        <f>+'5% CO'!R14</f>
        <v>Benzene</v>
      </c>
      <c r="E52">
        <f>+'5% CO'!Z14</f>
        <v>2.2556645398328491E-3</v>
      </c>
      <c r="F52" t="s">
        <v>376</v>
      </c>
      <c r="N52">
        <v>10</v>
      </c>
      <c r="O52" t="s">
        <v>67</v>
      </c>
      <c r="P52">
        <v>6.6897371090092736E-2</v>
      </c>
      <c r="R52">
        <v>47</v>
      </c>
      <c r="S52" s="12">
        <v>12</v>
      </c>
      <c r="V52" s="16" t="s">
        <v>355</v>
      </c>
      <c r="W52">
        <f>+GETPIVOTDATA("mol",$N$17,"Cn",12,"Class","Naphthene")</f>
        <v>5.6560788336308702E-3</v>
      </c>
      <c r="X52">
        <f t="shared" si="0"/>
        <v>6.7872946003570439E-2</v>
      </c>
      <c r="Y52">
        <f t="shared" si="1"/>
        <v>3.4453088691192985E-2</v>
      </c>
      <c r="Z52">
        <f t="shared" si="2"/>
        <v>3.3419857312377454E-2</v>
      </c>
      <c r="AA52">
        <f t="shared" si="3"/>
        <v>6.5334827737351477E-4</v>
      </c>
      <c r="AB52">
        <f t="shared" si="4"/>
        <v>2.0282532215800734E-4</v>
      </c>
    </row>
    <row r="53" spans="2:28" x14ac:dyDescent="0.2">
      <c r="B53">
        <f>+'5% CO'!T10</f>
        <v>6</v>
      </c>
      <c r="C53" t="str">
        <f>+'5% CO'!U10</f>
        <v>iso-paraffin</v>
      </c>
      <c r="D53" t="str">
        <f>+'5% CO'!R10</f>
        <v>3-Methylpentane</v>
      </c>
      <c r="E53">
        <f>+'5% CO'!Z10</f>
        <v>0.27053594616552756</v>
      </c>
      <c r="F53" t="s">
        <v>376</v>
      </c>
      <c r="N53">
        <v>10</v>
      </c>
      <c r="O53" t="s">
        <v>57</v>
      </c>
      <c r="P53">
        <v>8.6098715485419849E-2</v>
      </c>
      <c r="R53">
        <v>48</v>
      </c>
      <c r="S53" s="12">
        <v>13</v>
      </c>
      <c r="T53" s="10" t="s">
        <v>234</v>
      </c>
      <c r="U53" s="10" t="s">
        <v>235</v>
      </c>
      <c r="V53" s="10" t="s">
        <v>236</v>
      </c>
      <c r="W53">
        <f>+GETPIVOTDATA("mol",$N$17,"Cn",13,"Class","iso-paraffin")</f>
        <v>2.2708902754767217E-2</v>
      </c>
      <c r="X53">
        <f t="shared" si="0"/>
        <v>0.2952157358119738</v>
      </c>
      <c r="Y53">
        <f t="shared" si="1"/>
        <v>0.14985490578868763</v>
      </c>
      <c r="Z53">
        <f t="shared" si="2"/>
        <v>0.14536083002328617</v>
      </c>
      <c r="AA53">
        <f t="shared" si="3"/>
        <v>2.8417610226637484E-3</v>
      </c>
      <c r="AB53">
        <f t="shared" si="4"/>
        <v>8.8219578267645761E-4</v>
      </c>
    </row>
    <row r="54" spans="2:28" x14ac:dyDescent="0.2">
      <c r="B54">
        <f>+'5% CO'!T12</f>
        <v>6</v>
      </c>
      <c r="C54" t="str">
        <f>+'5% CO'!U12</f>
        <v>Naphthene</v>
      </c>
      <c r="D54" t="str">
        <f>+'5% CO'!R12</f>
        <v>Cyclohexane</v>
      </c>
      <c r="E54">
        <f>+'5% CO'!Z12</f>
        <v>2.7183577285660624E-2</v>
      </c>
      <c r="F54" t="s">
        <v>376</v>
      </c>
      <c r="N54">
        <v>10</v>
      </c>
      <c r="O54" t="s">
        <v>73</v>
      </c>
      <c r="P54">
        <v>5.4649112638800346E-2</v>
      </c>
      <c r="R54">
        <v>49</v>
      </c>
      <c r="S54" s="12">
        <v>13</v>
      </c>
      <c r="T54" s="11" t="s">
        <v>237</v>
      </c>
      <c r="U54" s="11" t="s">
        <v>238</v>
      </c>
      <c r="V54" s="11" t="s">
        <v>239</v>
      </c>
      <c r="W54">
        <f>+GETPIVOTDATA("mol",$N$17,"Cn",13,"Class","Olefin")</f>
        <v>1.9624281496545787E-3</v>
      </c>
      <c r="X54">
        <f t="shared" si="0"/>
        <v>2.5511565945509521E-2</v>
      </c>
      <c r="Y54">
        <f t="shared" si="1"/>
        <v>1.2949964542950899E-2</v>
      </c>
      <c r="Z54">
        <f t="shared" si="2"/>
        <v>1.2561601402558622E-2</v>
      </c>
      <c r="AA54">
        <f t="shared" si="3"/>
        <v>2.4557557384827016E-4</v>
      </c>
      <c r="AB54">
        <f t="shared" si="4"/>
        <v>7.6236437142142315E-5</v>
      </c>
    </row>
    <row r="55" spans="2:28" x14ac:dyDescent="0.2">
      <c r="B55">
        <f>+'5% CO'!T11</f>
        <v>6</v>
      </c>
      <c r="C55" t="str">
        <f>+'5% CO'!U11</f>
        <v>Olefin</v>
      </c>
      <c r="D55" t="str">
        <f>+'5% CO'!R11</f>
        <v>1t,4-Hexadiene</v>
      </c>
      <c r="E55">
        <f>+'5% CO'!Z11</f>
        <v>0.10973526028219333</v>
      </c>
      <c r="F55" t="s">
        <v>376</v>
      </c>
      <c r="N55">
        <v>10</v>
      </c>
      <c r="O55" t="s">
        <v>60</v>
      </c>
      <c r="P55">
        <v>9.3934821032975138E-2</v>
      </c>
      <c r="R55">
        <v>50</v>
      </c>
      <c r="S55" s="12">
        <v>13</v>
      </c>
      <c r="T55" s="10" t="s">
        <v>240</v>
      </c>
      <c r="U55" s="10" t="s">
        <v>241</v>
      </c>
      <c r="V55" s="10" t="s">
        <v>242</v>
      </c>
      <c r="W55">
        <f>+GETPIVOTDATA("mol",$N$17,"Cn",13,"Class","paraffin")</f>
        <v>6.8649625315687107E-2</v>
      </c>
      <c r="X55">
        <f t="shared" si="0"/>
        <v>0.89244512910393237</v>
      </c>
      <c r="Y55">
        <f t="shared" si="1"/>
        <v>0.45301542065705369</v>
      </c>
      <c r="Z55">
        <f t="shared" si="2"/>
        <v>0.43942970844687868</v>
      </c>
      <c r="AA55">
        <f t="shared" si="3"/>
        <v>8.5907201923983902E-3</v>
      </c>
      <c r="AB55">
        <f t="shared" si="4"/>
        <v>2.6669016372050142E-3</v>
      </c>
    </row>
    <row r="56" spans="2:28" x14ac:dyDescent="0.2">
      <c r="B56">
        <f>+'5% CO'!T13</f>
        <v>6</v>
      </c>
      <c r="C56" t="str">
        <f>+'5% CO'!U13</f>
        <v>paraffin</v>
      </c>
      <c r="D56" t="str">
        <f>+'5% CO'!R13</f>
        <v>n-Hexane</v>
      </c>
      <c r="E56">
        <f>+'5% CO'!Z13</f>
        <v>3.0733429355222571E-3</v>
      </c>
      <c r="F56" t="s">
        <v>376</v>
      </c>
      <c r="N56">
        <v>10</v>
      </c>
      <c r="O56" t="s">
        <v>76</v>
      </c>
      <c r="P56">
        <v>5.4094226948684841E-2</v>
      </c>
      <c r="R56">
        <v>51</v>
      </c>
      <c r="S56" s="12">
        <v>14</v>
      </c>
      <c r="T56" s="11" t="s">
        <v>243</v>
      </c>
      <c r="U56" s="11" t="s">
        <v>244</v>
      </c>
      <c r="V56" s="11" t="s">
        <v>245</v>
      </c>
      <c r="W56">
        <f>+GETPIVOTDATA("mol",$N$17,"Cn",14,"Class","iso-paraffin")</f>
        <v>5.1654717962172228E-3</v>
      </c>
      <c r="X56">
        <f t="shared" si="0"/>
        <v>7.2316605147041121E-2</v>
      </c>
      <c r="Y56">
        <f t="shared" si="1"/>
        <v>3.6708741224315271E-2</v>
      </c>
      <c r="Z56">
        <f t="shared" si="2"/>
        <v>3.5607863922725851E-2</v>
      </c>
      <c r="AA56">
        <f t="shared" si="3"/>
        <v>6.9612315628430948E-4</v>
      </c>
      <c r="AB56">
        <f t="shared" si="4"/>
        <v>2.1610434790248298E-4</v>
      </c>
    </row>
    <row r="57" spans="2:28" x14ac:dyDescent="0.2">
      <c r="B57">
        <f>+'5% CO'!T18</f>
        <v>7</v>
      </c>
      <c r="C57" t="str">
        <f>+'5% CO'!U18</f>
        <v>Aromatic</v>
      </c>
      <c r="D57" t="str">
        <f>+'5% CO'!R18</f>
        <v>Toluene</v>
      </c>
      <c r="E57">
        <f>+'5% CO'!Z18</f>
        <v>6.031083063378081E-3</v>
      </c>
      <c r="F57" t="s">
        <v>376</v>
      </c>
      <c r="N57">
        <v>11</v>
      </c>
      <c r="O57" t="s">
        <v>67</v>
      </c>
      <c r="P57">
        <v>3.5749463375675854E-2</v>
      </c>
      <c r="R57">
        <v>52</v>
      </c>
      <c r="S57" s="12">
        <v>14</v>
      </c>
      <c r="T57" s="10" t="s">
        <v>246</v>
      </c>
      <c r="U57" s="10" t="s">
        <v>247</v>
      </c>
      <c r="V57" s="10" t="s">
        <v>248</v>
      </c>
      <c r="W57">
        <f>+GETPIVOTDATA("mol",$N$17,"Cn",14,"Class","paraffin")</f>
        <v>6.7389999163105715E-2</v>
      </c>
      <c r="X57">
        <f t="shared" si="0"/>
        <v>0.94345998828347999</v>
      </c>
      <c r="Y57">
        <f t="shared" si="1"/>
        <v>0.4789111504193837</v>
      </c>
      <c r="Z57">
        <f t="shared" si="2"/>
        <v>0.46454883786409629</v>
      </c>
      <c r="AA57">
        <f t="shared" si="3"/>
        <v>9.0817917065721902E-3</v>
      </c>
      <c r="AB57">
        <f t="shared" si="4"/>
        <v>2.8193497900727681E-3</v>
      </c>
    </row>
    <row r="58" spans="2:28" x14ac:dyDescent="0.2">
      <c r="B58">
        <f>+'5% CO'!T15</f>
        <v>7</v>
      </c>
      <c r="C58" t="str">
        <f>+'5% CO'!U15</f>
        <v>iso-paraffin</v>
      </c>
      <c r="D58" t="str">
        <f>+'5% CO'!R15</f>
        <v>3-Ethylpentane</v>
      </c>
      <c r="E58">
        <f>+'5% CO'!Z15</f>
        <v>0.23070936913410378</v>
      </c>
      <c r="F58" t="s">
        <v>376</v>
      </c>
      <c r="N58">
        <v>11</v>
      </c>
      <c r="O58" t="s">
        <v>57</v>
      </c>
      <c r="P58">
        <v>8.918615632431609E-2</v>
      </c>
      <c r="R58">
        <v>53</v>
      </c>
      <c r="S58" s="12">
        <v>15</v>
      </c>
      <c r="T58" s="11" t="s">
        <v>249</v>
      </c>
      <c r="U58" s="11" t="s">
        <v>250</v>
      </c>
      <c r="V58" s="11" t="s">
        <v>251</v>
      </c>
      <c r="W58">
        <f>+GETPIVOTDATA("mol",$N$17,"Cn",15,"Class","iso-paraffin")</f>
        <v>4.074294075073084E-3</v>
      </c>
      <c r="X58">
        <f t="shared" si="0"/>
        <v>6.1114411126096259E-2</v>
      </c>
      <c r="Y58">
        <f t="shared" si="1"/>
        <v>3.1022378588468257E-2</v>
      </c>
      <c r="Z58">
        <f t="shared" si="2"/>
        <v>3.0092032537628002E-2</v>
      </c>
      <c r="AA58">
        <f t="shared" si="3"/>
        <v>5.8829029212657574E-4</v>
      </c>
      <c r="AB58">
        <f t="shared" si="4"/>
        <v>1.8262873287532439E-4</v>
      </c>
    </row>
    <row r="59" spans="2:28" x14ac:dyDescent="0.2">
      <c r="B59">
        <f>+'5% CO'!T17</f>
        <v>7</v>
      </c>
      <c r="C59" t="str">
        <f>+'5% CO'!U17</f>
        <v>Naphthene</v>
      </c>
      <c r="D59" t="str">
        <f>+'5% CO'!R17</f>
        <v>1c,3-Dimethylcyclopentane</v>
      </c>
      <c r="E59">
        <f>+'5% CO'!Z17</f>
        <v>2.4547269354730981E-2</v>
      </c>
      <c r="F59" t="s">
        <v>376</v>
      </c>
      <c r="N59">
        <v>11</v>
      </c>
      <c r="O59" t="s">
        <v>60</v>
      </c>
      <c r="P59">
        <v>5.7420760442119974E-2</v>
      </c>
      <c r="R59">
        <v>54</v>
      </c>
      <c r="S59" s="12">
        <v>15</v>
      </c>
      <c r="T59" s="10" t="s">
        <v>252</v>
      </c>
      <c r="U59" s="10" t="s">
        <v>253</v>
      </c>
      <c r="V59" s="10" t="s">
        <v>254</v>
      </c>
      <c r="W59">
        <f>+GETPIVOTDATA("mol",$N$17,"Cn",15,"Class","paraffin")</f>
        <v>5.9832242247617212E-2</v>
      </c>
      <c r="X59">
        <f t="shared" si="0"/>
        <v>0.89748363371425821</v>
      </c>
      <c r="Y59">
        <f t="shared" si="1"/>
        <v>0.45557302359654317</v>
      </c>
      <c r="Z59">
        <f t="shared" si="2"/>
        <v>0.44191061011771504</v>
      </c>
      <c r="AA59">
        <f t="shared" si="3"/>
        <v>8.6392210826871617E-3</v>
      </c>
      <c r="AB59">
        <f t="shared" si="4"/>
        <v>2.6819582448956571E-3</v>
      </c>
    </row>
    <row r="60" spans="2:28" x14ac:dyDescent="0.2">
      <c r="B60">
        <f>+'5% CO'!T16</f>
        <v>7</v>
      </c>
      <c r="C60" t="str">
        <f>+'5% CO'!U16</f>
        <v>Olefin</v>
      </c>
      <c r="D60" t="str">
        <f>+'5% CO'!R16</f>
        <v>2,4-Dimethylpentene-1</v>
      </c>
      <c r="E60">
        <f>+'5% CO'!Z16</f>
        <v>0.16102907191799229</v>
      </c>
      <c r="F60" t="s">
        <v>376</v>
      </c>
      <c r="N60">
        <v>11</v>
      </c>
      <c r="O60" t="s">
        <v>76</v>
      </c>
      <c r="P60">
        <v>5.9630685257132644E-2</v>
      </c>
      <c r="R60">
        <v>55</v>
      </c>
      <c r="S60" s="12">
        <v>16</v>
      </c>
      <c r="T60" s="11" t="s">
        <v>255</v>
      </c>
      <c r="U60" s="11" t="s">
        <v>256</v>
      </c>
      <c r="V60" s="11" t="s">
        <v>257</v>
      </c>
      <c r="W60">
        <f>+GETPIVOTDATA("mol",$N$17,"Cn",16,"Class","iso-paraffin")</f>
        <v>1.0390154786605059E-2</v>
      </c>
      <c r="X60">
        <f t="shared" si="0"/>
        <v>0.16624247658568095</v>
      </c>
      <c r="Y60">
        <f t="shared" si="1"/>
        <v>8.4386594767062881E-2</v>
      </c>
      <c r="Z60">
        <f t="shared" si="2"/>
        <v>8.1855881818618068E-2</v>
      </c>
      <c r="AA60">
        <f t="shared" si="3"/>
        <v>1.6002581602668003E-3</v>
      </c>
      <c r="AB60">
        <f t="shared" si="4"/>
        <v>4.9678385653190876E-4</v>
      </c>
    </row>
    <row r="61" spans="2:28" x14ac:dyDescent="0.2">
      <c r="B61">
        <f>+'5% CO'!T20</f>
        <v>8</v>
      </c>
      <c r="C61" t="str">
        <f>+'5% CO'!U20</f>
        <v>Aromatic</v>
      </c>
      <c r="D61" t="str">
        <f>+'5% CO'!R20</f>
        <v>Ethylbenzene</v>
      </c>
      <c r="E61">
        <f>+'5% CO'!Z20</f>
        <v>4.9821990523558048E-2</v>
      </c>
      <c r="F61" t="s">
        <v>376</v>
      </c>
      <c r="N61">
        <v>12</v>
      </c>
      <c r="O61" t="s">
        <v>67</v>
      </c>
      <c r="P61">
        <v>2.1764343228712207E-2</v>
      </c>
      <c r="R61">
        <v>56</v>
      </c>
      <c r="S61" s="12">
        <v>16</v>
      </c>
      <c r="T61" s="10" t="s">
        <v>258</v>
      </c>
      <c r="U61" s="10" t="s">
        <v>259</v>
      </c>
      <c r="V61" s="10" t="s">
        <v>260</v>
      </c>
      <c r="W61">
        <f>+GETPIVOTDATA("mol",$N$17,"Cn",16,"Class","paraffin")</f>
        <v>4.8495606874384499E-2</v>
      </c>
      <c r="X61">
        <f t="shared" si="0"/>
        <v>0.77592970999015198</v>
      </c>
      <c r="Y61">
        <f t="shared" si="1"/>
        <v>0.3938708526813624</v>
      </c>
      <c r="Z61">
        <f t="shared" si="2"/>
        <v>0.38205885730878958</v>
      </c>
      <c r="AA61">
        <f t="shared" si="3"/>
        <v>7.4691371044705883E-3</v>
      </c>
      <c r="AB61">
        <f t="shared" si="4"/>
        <v>2.3187175843589129E-3</v>
      </c>
    </row>
    <row r="62" spans="2:28" x14ac:dyDescent="0.2">
      <c r="B62">
        <f>+'5% CO'!T21</f>
        <v>8</v>
      </c>
      <c r="C62" t="str">
        <f>+'5% CO'!U21</f>
        <v>iso-paraffin</v>
      </c>
      <c r="D62" t="str">
        <f>+'5% CO'!R21</f>
        <v>2-Methyl-3-ethylpentane</v>
      </c>
      <c r="E62">
        <f>+'5% CO'!Z21</f>
        <v>9.6330973754236632E-2</v>
      </c>
      <c r="F62" t="s">
        <v>376</v>
      </c>
      <c r="N62">
        <v>12</v>
      </c>
      <c r="O62" t="s">
        <v>57</v>
      </c>
      <c r="P62">
        <v>6.2865370725141492E-2</v>
      </c>
      <c r="R62">
        <v>57</v>
      </c>
      <c r="S62" s="12">
        <v>17</v>
      </c>
      <c r="T62" s="11" t="s">
        <v>261</v>
      </c>
      <c r="U62" s="11" t="s">
        <v>262</v>
      </c>
      <c r="V62" s="11" t="s">
        <v>263</v>
      </c>
      <c r="W62">
        <f>+GETPIVOTDATA("mol",$N$17,"Cn",17,"Class","iso-paraffin")</f>
        <v>3.8487276210897982E-3</v>
      </c>
      <c r="X62">
        <f t="shared" si="0"/>
        <v>6.5428369558526572E-2</v>
      </c>
      <c r="Y62">
        <f t="shared" si="1"/>
        <v>3.3212193547654242E-2</v>
      </c>
      <c r="Z62">
        <f t="shared" si="2"/>
        <v>3.221617601087233E-2</v>
      </c>
      <c r="AA62">
        <f t="shared" si="3"/>
        <v>6.2981666568845147E-4</v>
      </c>
      <c r="AB62">
        <f t="shared" si="4"/>
        <v>1.9552017284299434E-4</v>
      </c>
    </row>
    <row r="63" spans="2:28" x14ac:dyDescent="0.2">
      <c r="B63">
        <f>+'5% CO'!T22</f>
        <v>8</v>
      </c>
      <c r="C63" t="str">
        <f>+'5% CO'!U22</f>
        <v>Naphthene</v>
      </c>
      <c r="D63" t="str">
        <f>+'5% CO'!R22</f>
        <v>1c,2t,3-Trimethylcyclopentane</v>
      </c>
      <c r="E63">
        <f>+'5% CO'!Z22</f>
        <v>4.3241089228595722E-2</v>
      </c>
      <c r="F63" t="s">
        <v>376</v>
      </c>
      <c r="N63">
        <v>12</v>
      </c>
      <c r="O63" t="s">
        <v>73</v>
      </c>
      <c r="P63">
        <v>5.6560788336308702E-3</v>
      </c>
      <c r="R63">
        <v>58</v>
      </c>
      <c r="S63" s="12">
        <v>17</v>
      </c>
      <c r="T63" s="10" t="s">
        <v>264</v>
      </c>
      <c r="U63" s="10" t="s">
        <v>265</v>
      </c>
      <c r="V63" s="10" t="s">
        <v>266</v>
      </c>
      <c r="W63">
        <f>+GETPIVOTDATA("mol",$N$17,"Cn",17,"Class","paraffin")</f>
        <v>4.2197476111477332E-2</v>
      </c>
      <c r="X63">
        <f t="shared" si="0"/>
        <v>0.71735709389511459</v>
      </c>
      <c r="Y63">
        <f t="shared" si="1"/>
        <v>0.36413871850979773</v>
      </c>
      <c r="Z63">
        <f t="shared" si="2"/>
        <v>0.35321837538531686</v>
      </c>
      <c r="AA63">
        <f t="shared" si="3"/>
        <v>6.9053142548636216E-3</v>
      </c>
      <c r="AB63">
        <f t="shared" si="4"/>
        <v>2.1436845199551916E-3</v>
      </c>
    </row>
    <row r="64" spans="2:28" x14ac:dyDescent="0.2">
      <c r="B64">
        <f>+'5% CO'!T19</f>
        <v>8</v>
      </c>
      <c r="C64" t="str">
        <f>+'5% CO'!U19</f>
        <v>Olefin</v>
      </c>
      <c r="D64" t="str">
        <f>+'5% CO'!R19</f>
        <v>Octene-1</v>
      </c>
      <c r="E64">
        <f>+'5% CO'!Z19</f>
        <v>0.26445693023067812</v>
      </c>
      <c r="F64" t="s">
        <v>376</v>
      </c>
      <c r="N64">
        <v>12</v>
      </c>
      <c r="O64" t="s">
        <v>60</v>
      </c>
      <c r="P64">
        <v>6.1748816777924256E-3</v>
      </c>
      <c r="R64">
        <v>59</v>
      </c>
      <c r="S64" s="12">
        <v>18</v>
      </c>
      <c r="T64" s="10" t="s">
        <v>267</v>
      </c>
      <c r="U64" s="10" t="s">
        <v>268</v>
      </c>
      <c r="V64" s="10" t="s">
        <v>269</v>
      </c>
      <c r="W64">
        <f>+GETPIVOTDATA("mol",$N$17,"Cn",18,"Class","paraffin")</f>
        <v>3.904841073002388E-2</v>
      </c>
      <c r="X64">
        <f t="shared" si="0"/>
        <v>0.70287139314042979</v>
      </c>
      <c r="Y64">
        <f t="shared" si="1"/>
        <v>0.35678561005876652</v>
      </c>
      <c r="Z64">
        <f t="shared" si="2"/>
        <v>0.34608578308166327</v>
      </c>
      <c r="AA64">
        <f t="shared" si="3"/>
        <v>6.7658741952834212E-3</v>
      </c>
      <c r="AB64">
        <f t="shared" si="4"/>
        <v>2.1003967728445995E-3</v>
      </c>
    </row>
    <row r="65" spans="2:28" x14ac:dyDescent="0.2">
      <c r="B65">
        <f>+'5% CO'!T23</f>
        <v>8</v>
      </c>
      <c r="C65" t="str">
        <f>+'5% CO'!U23</f>
        <v>paraffin</v>
      </c>
      <c r="D65" t="str">
        <f>+'5% CO'!R23</f>
        <v>n-Octane</v>
      </c>
      <c r="E65">
        <f>+'5% CO'!Z23</f>
        <v>9.3892036470542362E-4</v>
      </c>
      <c r="F65" t="s">
        <v>376</v>
      </c>
      <c r="N65">
        <v>12</v>
      </c>
      <c r="O65" t="s">
        <v>76</v>
      </c>
      <c r="P65">
        <v>6.6130373010524282E-2</v>
      </c>
      <c r="R65">
        <v>60</v>
      </c>
      <c r="S65" s="12">
        <v>19</v>
      </c>
      <c r="T65" s="11" t="s">
        <v>270</v>
      </c>
      <c r="U65" s="11" t="s">
        <v>271</v>
      </c>
      <c r="V65" s="11" t="s">
        <v>272</v>
      </c>
      <c r="W65">
        <f>+GETPIVOTDATA("mol",$N$17,"Cn",19,"Class","paraffin")</f>
        <v>1.7634766136139807E-2</v>
      </c>
      <c r="X65">
        <f t="shared" si="0"/>
        <v>0.33506055658665634</v>
      </c>
      <c r="Y65">
        <f t="shared" si="1"/>
        <v>0.17008059547604276</v>
      </c>
      <c r="Z65">
        <f t="shared" si="2"/>
        <v>0.16497996111061358</v>
      </c>
      <c r="AA65">
        <f t="shared" si="3"/>
        <v>3.2253092042032068E-3</v>
      </c>
      <c r="AB65">
        <f t="shared" si="4"/>
        <v>1.0012644114277118E-3</v>
      </c>
    </row>
    <row r="66" spans="2:28" x14ac:dyDescent="0.2">
      <c r="B66">
        <f>+'5% CO'!T26</f>
        <v>9</v>
      </c>
      <c r="C66" t="str">
        <f>+'5% CO'!U26</f>
        <v>Aromatic</v>
      </c>
      <c r="D66" t="str">
        <f>+'5% CO'!R26</f>
        <v>1,3-Methylethylbenzene</v>
      </c>
      <c r="E66">
        <f>+'5% CO'!Z26</f>
        <v>6.5752621336127554E-2</v>
      </c>
      <c r="F66" t="s">
        <v>376</v>
      </c>
      <c r="N66">
        <v>13</v>
      </c>
      <c r="O66" t="s">
        <v>57</v>
      </c>
      <c r="P66">
        <v>2.2708902754767217E-2</v>
      </c>
      <c r="R66">
        <v>61</v>
      </c>
      <c r="S66" s="12">
        <v>20</v>
      </c>
      <c r="T66" s="10" t="s">
        <v>273</v>
      </c>
      <c r="U66" s="10" t="s">
        <v>274</v>
      </c>
      <c r="V66" s="10" t="s">
        <v>275</v>
      </c>
      <c r="W66">
        <f>+GETPIVOTDATA("mol",$N$17,"Cn",20,"Class","paraffin")</f>
        <v>1.3855887678395564E-2</v>
      </c>
      <c r="X66">
        <f t="shared" si="0"/>
        <v>0.2771177535679113</v>
      </c>
      <c r="Y66">
        <f t="shared" si="1"/>
        <v>0.14066816167191507</v>
      </c>
      <c r="Z66">
        <f t="shared" si="2"/>
        <v>0.13644959189599623</v>
      </c>
      <c r="AA66">
        <f t="shared" si="3"/>
        <v>2.6675489658823516E-3</v>
      </c>
      <c r="AB66">
        <f t="shared" si="4"/>
        <v>8.281134229853257E-4</v>
      </c>
    </row>
    <row r="67" spans="2:28" x14ac:dyDescent="0.2">
      <c r="B67">
        <f>+'5% CO'!T24</f>
        <v>9</v>
      </c>
      <c r="C67" t="str">
        <f>+'5% CO'!U24</f>
        <v>iso-paraffin</v>
      </c>
      <c r="D67" t="str">
        <f>+'5% CO'!R24</f>
        <v>I8 (C9)</v>
      </c>
      <c r="E67">
        <f>+'5% CO'!Z24</f>
        <v>0.25327729285513145</v>
      </c>
      <c r="F67" t="s">
        <v>376</v>
      </c>
      <c r="N67">
        <v>13</v>
      </c>
      <c r="O67" t="s">
        <v>60</v>
      </c>
      <c r="P67">
        <v>1.9624281496545787E-3</v>
      </c>
      <c r="R67">
        <v>62</v>
      </c>
      <c r="S67" s="12">
        <v>21</v>
      </c>
      <c r="T67" s="11" t="s">
        <v>276</v>
      </c>
      <c r="U67" s="11" t="s">
        <v>277</v>
      </c>
      <c r="V67" s="11" t="s">
        <v>278</v>
      </c>
      <c r="W67">
        <f>+GETPIVOTDATA("mol",$N$17,"Cn",21,"Class","paraffin")</f>
        <v>1.2596261525814152E-2</v>
      </c>
      <c r="X67">
        <f t="shared" si="0"/>
        <v>0.26452149204209718</v>
      </c>
      <c r="Y67">
        <f t="shared" si="1"/>
        <v>0.13427415432319167</v>
      </c>
      <c r="Z67">
        <f t="shared" si="2"/>
        <v>0.13024733771890551</v>
      </c>
      <c r="AA67">
        <f t="shared" si="3"/>
        <v>2.5462967401604268E-3</v>
      </c>
      <c r="AB67">
        <f t="shared" si="4"/>
        <v>7.9047190375872004E-4</v>
      </c>
    </row>
    <row r="68" spans="2:28" x14ac:dyDescent="0.2">
      <c r="B68">
        <f>+'5% CO'!T28</f>
        <v>9</v>
      </c>
      <c r="C68" t="str">
        <f>+'5% CO'!U28</f>
        <v>Naphthene</v>
      </c>
      <c r="D68" t="str">
        <f>+'5% CO'!R28</f>
        <v>1,1,3-Trimethylcyclohexane</v>
      </c>
      <c r="E68">
        <f>+'5% CO'!Z28</f>
        <v>2.6312326857150185E-2</v>
      </c>
      <c r="F68" t="s">
        <v>376</v>
      </c>
      <c r="N68">
        <v>13</v>
      </c>
      <c r="O68" t="s">
        <v>76</v>
      </c>
      <c r="P68">
        <v>6.8649625315687107E-2</v>
      </c>
      <c r="R68">
        <v>63</v>
      </c>
      <c r="S68" s="12">
        <v>22</v>
      </c>
      <c r="T68" s="10" t="s">
        <v>279</v>
      </c>
      <c r="U68" s="10" t="s">
        <v>280</v>
      </c>
      <c r="V68" s="10" t="s">
        <v>281</v>
      </c>
      <c r="W68">
        <f>+GETPIVOTDATA("mol",$N$17,"Cn",22,"Class","paraffin")</f>
        <v>1.1336635373232736E-2</v>
      </c>
      <c r="X68">
        <f t="shared" si="0"/>
        <v>0.24940597821112018</v>
      </c>
      <c r="Y68">
        <f t="shared" si="1"/>
        <v>0.12660134550472357</v>
      </c>
      <c r="Z68">
        <f t="shared" si="2"/>
        <v>0.1228046327063966</v>
      </c>
      <c r="AA68">
        <f t="shared" si="3"/>
        <v>2.4007940692941164E-3</v>
      </c>
      <c r="AB68">
        <f t="shared" si="4"/>
        <v>7.4530208068679317E-4</v>
      </c>
    </row>
    <row r="69" spans="2:28" x14ac:dyDescent="0.2">
      <c r="B69">
        <f>+'5% CO'!T25</f>
        <v>9</v>
      </c>
      <c r="C69" t="str">
        <f>+'5% CO'!U25</f>
        <v>Olefin</v>
      </c>
      <c r="D69" t="str">
        <f>+'5% CO'!R25</f>
        <v>3,5,5-Trimethylhexene-1</v>
      </c>
      <c r="E69">
        <f>+'5% CO'!Z25</f>
        <v>4.6675338490491242E-2</v>
      </c>
      <c r="F69" t="s">
        <v>376</v>
      </c>
      <c r="N69">
        <v>14</v>
      </c>
      <c r="O69" t="s">
        <v>57</v>
      </c>
      <c r="P69">
        <v>5.1654717962172228E-3</v>
      </c>
      <c r="R69">
        <v>64</v>
      </c>
      <c r="S69" s="12">
        <v>23</v>
      </c>
      <c r="T69" s="11" t="s">
        <v>282</v>
      </c>
      <c r="U69" s="11" t="s">
        <v>283</v>
      </c>
      <c r="V69" s="11" t="s">
        <v>284</v>
      </c>
      <c r="W69">
        <f>+GETPIVOTDATA("mol",$N$17,"Cn",23,"Class","paraffin")</f>
        <v>1.0077009220651321E-2</v>
      </c>
      <c r="X69">
        <f t="shared" si="0"/>
        <v>0.23177121207498039</v>
      </c>
      <c r="Y69">
        <f t="shared" si="1"/>
        <v>0.1176497352165108</v>
      </c>
      <c r="Z69">
        <f t="shared" si="2"/>
        <v>0.11412147685846959</v>
      </c>
      <c r="AA69">
        <f t="shared" si="3"/>
        <v>2.2310409532834215E-3</v>
      </c>
      <c r="AB69">
        <f t="shared" si="4"/>
        <v>6.9260395376954519E-4</v>
      </c>
    </row>
    <row r="70" spans="2:28" x14ac:dyDescent="0.2">
      <c r="B70">
        <f>+'5% CO'!T27</f>
        <v>9</v>
      </c>
      <c r="C70" t="str">
        <f>+'5% CO'!U27</f>
        <v>paraffin</v>
      </c>
      <c r="D70" t="str">
        <f>+'5% CO'!R27</f>
        <v>n-Nonane</v>
      </c>
      <c r="E70">
        <f>+'5% CO'!Z27</f>
        <v>2.0213573857577119E-2</v>
      </c>
      <c r="F70" t="s">
        <v>376</v>
      </c>
      <c r="N70">
        <v>14</v>
      </c>
      <c r="O70" t="s">
        <v>76</v>
      </c>
      <c r="P70">
        <v>6.7389999163105715E-2</v>
      </c>
      <c r="R70">
        <v>65</v>
      </c>
      <c r="S70" s="12">
        <v>24</v>
      </c>
      <c r="T70" s="10" t="s">
        <v>285</v>
      </c>
      <c r="U70" s="10" t="s">
        <v>286</v>
      </c>
      <c r="V70" s="10" t="s">
        <v>287</v>
      </c>
      <c r="W70">
        <f>+GETPIVOTDATA("mol",$N$17,"Cn",24,"Class","paraffin")</f>
        <v>9.4471961443606135E-3</v>
      </c>
      <c r="X70">
        <f t="shared" si="0"/>
        <v>0.22673270746465474</v>
      </c>
      <c r="Y70">
        <f t="shared" si="1"/>
        <v>0.11509213227702145</v>
      </c>
      <c r="Z70">
        <f t="shared" si="2"/>
        <v>0.11164057518763329</v>
      </c>
      <c r="AA70">
        <f t="shared" si="3"/>
        <v>2.1825400629946518E-3</v>
      </c>
      <c r="AB70">
        <f t="shared" si="4"/>
        <v>6.7754734607890286E-4</v>
      </c>
    </row>
    <row r="71" spans="2:28" x14ac:dyDescent="0.2">
      <c r="B71">
        <f>+'5% CO'!T31</f>
        <v>10</v>
      </c>
      <c r="C71" t="str">
        <f>+'5% CO'!U31</f>
        <v>Aromatic</v>
      </c>
      <c r="D71" t="str">
        <f>+'5% CO'!R31</f>
        <v>1,2-Methyl-n-propylbenzene</v>
      </c>
      <c r="E71">
        <f>+'5% CO'!Z31</f>
        <v>6.6897371090092736E-2</v>
      </c>
      <c r="F71" t="s">
        <v>376</v>
      </c>
      <c r="N71">
        <v>15</v>
      </c>
      <c r="O71" t="s">
        <v>57</v>
      </c>
      <c r="P71">
        <v>4.074294075073084E-3</v>
      </c>
      <c r="R71">
        <v>66</v>
      </c>
      <c r="S71" s="12">
        <v>25</v>
      </c>
      <c r="T71" s="11" t="s">
        <v>288</v>
      </c>
      <c r="U71" s="11" t="s">
        <v>289</v>
      </c>
      <c r="V71" s="11" t="s">
        <v>290</v>
      </c>
      <c r="W71">
        <f>+GETPIVOTDATA("mol",$N$17,"Cn",25,"Class","paraffin")</f>
        <v>8.1875699917791974E-3</v>
      </c>
      <c r="X71">
        <f t="shared" ref="X71:X73" si="5">+W71*S71</f>
        <v>0.20468924979447994</v>
      </c>
      <c r="Y71">
        <f t="shared" ref="Y71:Y73" si="6">X71*$Y$4</f>
        <v>0.10390261941675545</v>
      </c>
      <c r="Z71">
        <f t="shared" ref="Z71:Z73" si="7">+X71*$Z$4</f>
        <v>0.10078663037772449</v>
      </c>
      <c r="AA71">
        <f t="shared" ref="AA71:AA73" si="8">+Y71/$AA$3</f>
        <v>1.9703486679812825E-3</v>
      </c>
      <c r="AB71">
        <f t="shared" ref="AB71:AB73" si="9">+Z71/$AB$3</f>
        <v>6.1167468743234291E-4</v>
      </c>
    </row>
    <row r="72" spans="2:28" x14ac:dyDescent="0.2">
      <c r="B72">
        <f>+'5% CO'!T30</f>
        <v>10</v>
      </c>
      <c r="C72" t="str">
        <f>+'5% CO'!U30</f>
        <v>iso-paraffin</v>
      </c>
      <c r="D72" t="str">
        <f>+'5% CO'!R30</f>
        <v>I15 (C10)</v>
      </c>
      <c r="E72">
        <f>+'5% CO'!Z30</f>
        <v>8.6098715485419849E-2</v>
      </c>
      <c r="F72" t="s">
        <v>376</v>
      </c>
      <c r="N72">
        <v>15</v>
      </c>
      <c r="O72" t="s">
        <v>76</v>
      </c>
      <c r="P72">
        <v>5.9832242247617212E-2</v>
      </c>
      <c r="R72">
        <v>67</v>
      </c>
      <c r="S72" s="12">
        <v>26</v>
      </c>
      <c r="T72" s="10" t="s">
        <v>291</v>
      </c>
      <c r="U72" s="10" t="s">
        <v>292</v>
      </c>
      <c r="V72" s="10" t="s">
        <v>293</v>
      </c>
      <c r="W72">
        <f>+GETPIVOTDATA("mol",$N$17,"Cn",26,"Class","paraffin")</f>
        <v>6.9279438391977822E-3</v>
      </c>
      <c r="X72">
        <f t="shared" si="5"/>
        <v>0.18012653981914234</v>
      </c>
      <c r="Y72">
        <f t="shared" si="6"/>
        <v>9.1434305086744799E-2</v>
      </c>
      <c r="Z72">
        <f t="shared" si="7"/>
        <v>8.869223473239754E-2</v>
      </c>
      <c r="AA72">
        <f t="shared" si="8"/>
        <v>1.7339068278235286E-3</v>
      </c>
      <c r="AB72">
        <f t="shared" si="9"/>
        <v>5.3827372494046164E-4</v>
      </c>
    </row>
    <row r="73" spans="2:28" x14ac:dyDescent="0.2">
      <c r="B73">
        <f>+'5% CO'!T32</f>
        <v>10</v>
      </c>
      <c r="C73" t="str">
        <f>+'5% CO'!U32</f>
        <v>Naphthene</v>
      </c>
      <c r="D73" t="str">
        <f>+'5% CO'!R32</f>
        <v>Sec-butylcyclohexane</v>
      </c>
      <c r="E73">
        <f>+'5% CO'!Z32</f>
        <v>5.4649112638800346E-2</v>
      </c>
      <c r="F73" t="s">
        <v>376</v>
      </c>
      <c r="N73">
        <v>16</v>
      </c>
      <c r="O73" t="s">
        <v>57</v>
      </c>
      <c r="P73">
        <v>1.0390154786605059E-2</v>
      </c>
      <c r="R73">
        <v>68</v>
      </c>
      <c r="S73" s="12">
        <v>27</v>
      </c>
      <c r="T73" s="11" t="s">
        <v>294</v>
      </c>
      <c r="U73" s="11" t="s">
        <v>295</v>
      </c>
      <c r="V73" s="11" t="s">
        <v>296</v>
      </c>
      <c r="W73">
        <f>+GETPIVOTDATA("mol",$N$17,"Cn",27,"Class","paraffin")</f>
        <v>5.6683176866163679E-3</v>
      </c>
      <c r="X73">
        <f t="shared" si="5"/>
        <v>0.15304457753864192</v>
      </c>
      <c r="Y73">
        <f t="shared" si="6"/>
        <v>7.7687189286989464E-2</v>
      </c>
      <c r="Z73">
        <f t="shared" si="7"/>
        <v>7.535738825165246E-2</v>
      </c>
      <c r="AA73">
        <f t="shared" si="8"/>
        <v>1.4732145425213896E-3</v>
      </c>
      <c r="AB73">
        <f t="shared" si="9"/>
        <v>4.5734445860325942E-4</v>
      </c>
    </row>
    <row r="74" spans="2:28" x14ac:dyDescent="0.2">
      <c r="B74">
        <f>+'5% CO'!T29</f>
        <v>10</v>
      </c>
      <c r="C74" t="str">
        <f>+'5% CO'!U29</f>
        <v>Olefin</v>
      </c>
      <c r="D74" t="str">
        <f>+'5% CO'!R29</f>
        <v>Decene-1</v>
      </c>
      <c r="E74">
        <f>+'5% CO'!Z29</f>
        <v>9.3934330180664216E-2</v>
      </c>
      <c r="F74" t="s">
        <v>376</v>
      </c>
      <c r="N74">
        <v>16</v>
      </c>
      <c r="O74" t="s">
        <v>76</v>
      </c>
      <c r="P74">
        <v>4.8495606874384499E-2</v>
      </c>
      <c r="S74" s="12"/>
    </row>
    <row r="75" spans="2:28" x14ac:dyDescent="0.2">
      <c r="B75">
        <f>+'5% CO'!T35</f>
        <v>11</v>
      </c>
      <c r="C75" t="str">
        <f>+'5% CO'!U35</f>
        <v>Aromatic</v>
      </c>
      <c r="D75" t="str">
        <f>+'5% CO'!R35</f>
        <v>1,2-Ethyl-i-propylbenzene</v>
      </c>
      <c r="E75">
        <f>+'5% CO'!Z35</f>
        <v>3.5749463375675854E-2</v>
      </c>
      <c r="F75" t="s">
        <v>376</v>
      </c>
      <c r="N75">
        <v>17</v>
      </c>
      <c r="O75" t="s">
        <v>57</v>
      </c>
      <c r="P75">
        <v>3.8487276210897982E-3</v>
      </c>
      <c r="S75" s="12"/>
    </row>
    <row r="76" spans="2:28" x14ac:dyDescent="0.2">
      <c r="B76">
        <f>+'5% CO'!T34</f>
        <v>11</v>
      </c>
      <c r="C76" t="str">
        <f>+'5% CO'!U34</f>
        <v>iso-paraffin</v>
      </c>
      <c r="D76" t="str">
        <f>+'5% CO'!R34</f>
        <v>I26 (C11)</v>
      </c>
      <c r="E76">
        <f>+'5% CO'!Z34</f>
        <v>8.918615632431609E-2</v>
      </c>
      <c r="F76" t="s">
        <v>376</v>
      </c>
      <c r="N76">
        <v>17</v>
      </c>
      <c r="O76" t="s">
        <v>76</v>
      </c>
      <c r="P76">
        <v>4.2197476111477332E-2</v>
      </c>
      <c r="S76" s="12"/>
    </row>
    <row r="77" spans="2:28" x14ac:dyDescent="0.2">
      <c r="B77">
        <f>+'5% CO'!T33</f>
        <v>11</v>
      </c>
      <c r="C77" t="str">
        <f>+'5% CO'!U33</f>
        <v>Olefin</v>
      </c>
      <c r="D77" t="str">
        <f>+'5% CO'!R33</f>
        <v>Undecene-1</v>
      </c>
      <c r="E77">
        <f>+'5% CO'!Z33</f>
        <v>5.7420760442119974E-2</v>
      </c>
      <c r="F77" t="s">
        <v>376</v>
      </c>
      <c r="N77">
        <v>18</v>
      </c>
      <c r="O77" t="s">
        <v>76</v>
      </c>
      <c r="P77">
        <v>3.904841073002388E-2</v>
      </c>
    </row>
    <row r="78" spans="2:28" x14ac:dyDescent="0.2">
      <c r="B78">
        <f>+'5% CO'!T36</f>
        <v>11</v>
      </c>
      <c r="C78" t="str">
        <f>+'5% CO'!U36</f>
        <v>paraffin</v>
      </c>
      <c r="D78" t="str">
        <f>+'5% CO'!R36</f>
        <v>n-Undecane</v>
      </c>
      <c r="E78">
        <f>+'5% CO'!Z36</f>
        <v>2.317695314678252E-3</v>
      </c>
      <c r="F78" t="s">
        <v>376</v>
      </c>
      <c r="N78">
        <v>19</v>
      </c>
      <c r="O78" t="s">
        <v>76</v>
      </c>
      <c r="P78">
        <v>1.7634766136139807E-2</v>
      </c>
    </row>
    <row r="79" spans="2:28" x14ac:dyDescent="0.2">
      <c r="B79">
        <f>+'5% CO'!T40</f>
        <v>12</v>
      </c>
      <c r="C79" t="str">
        <f>+'5% CO'!U40</f>
        <v>Aromatic</v>
      </c>
      <c r="D79" t="str">
        <f>+'5% CO'!R40</f>
        <v>1,3-Di-i-propylbenzene</v>
      </c>
      <c r="E79">
        <f>+'5% CO'!Z40</f>
        <v>2.1764343228712207E-2</v>
      </c>
      <c r="F79" t="s">
        <v>376</v>
      </c>
      <c r="N79">
        <v>20</v>
      </c>
      <c r="O79" t="s">
        <v>76</v>
      </c>
      <c r="P79">
        <v>1.3855887678395564E-2</v>
      </c>
    </row>
    <row r="80" spans="2:28" x14ac:dyDescent="0.2">
      <c r="B80">
        <f>+'5% CO'!T37</f>
        <v>12</v>
      </c>
      <c r="C80" t="str">
        <f>+'5% CO'!U37</f>
        <v>iso-paraffin</v>
      </c>
      <c r="D80" t="str">
        <f>+'5% CO'!R37</f>
        <v>I47 (C12)</v>
      </c>
      <c r="E80">
        <f>+'5% CO'!Z37</f>
        <v>6.2865370725141492E-2</v>
      </c>
      <c r="F80" t="s">
        <v>376</v>
      </c>
      <c r="N80">
        <v>21</v>
      </c>
      <c r="O80" t="s">
        <v>76</v>
      </c>
      <c r="P80">
        <v>1.2596261525814152E-2</v>
      </c>
    </row>
    <row r="81" spans="1:16" x14ac:dyDescent="0.2">
      <c r="B81">
        <f>+'5% CO'!T39</f>
        <v>12</v>
      </c>
      <c r="C81" t="str">
        <f>+'5% CO'!U39</f>
        <v>Naphthene</v>
      </c>
      <c r="D81" t="str">
        <f>+'5% CO'!R39</f>
        <v>1t-M-2-(4-MP)cyclopentane</v>
      </c>
      <c r="E81">
        <f>+'5% CO'!Z39</f>
        <v>5.6560788336308702E-3</v>
      </c>
      <c r="F81" t="s">
        <v>376</v>
      </c>
      <c r="N81">
        <v>22</v>
      </c>
      <c r="O81" t="s">
        <v>76</v>
      </c>
      <c r="P81">
        <v>1.1336635373232736E-2</v>
      </c>
    </row>
    <row r="82" spans="1:16" x14ac:dyDescent="0.2">
      <c r="B82">
        <f>+'5% CO'!T38</f>
        <v>12</v>
      </c>
      <c r="C82" t="str">
        <f>+'5% CO'!U38</f>
        <v>Olefin</v>
      </c>
      <c r="D82" t="str">
        <f>+'5% CO'!R38</f>
        <v>Dodecene-1</v>
      </c>
      <c r="E82">
        <f>+'5% CO'!Z38</f>
        <v>6.1748816777924256E-3</v>
      </c>
      <c r="F82" t="s">
        <v>376</v>
      </c>
      <c r="N82">
        <v>23</v>
      </c>
      <c r="O82" t="s">
        <v>76</v>
      </c>
      <c r="P82">
        <v>1.0077009220651321E-2</v>
      </c>
    </row>
    <row r="83" spans="1:16" x14ac:dyDescent="0.2">
      <c r="B83">
        <f>+'5% CO'!T41</f>
        <v>13</v>
      </c>
      <c r="C83" t="str">
        <f>+'5% CO'!U41</f>
        <v>iso-paraffin</v>
      </c>
      <c r="D83" t="str">
        <f>+'5% CO'!R41</f>
        <v>(C13-IsoParaffin)</v>
      </c>
      <c r="E83">
        <f>+'5% CO'!Z41</f>
        <v>2.2708902754767217E-2</v>
      </c>
      <c r="F83" t="s">
        <v>376</v>
      </c>
      <c r="N83">
        <v>24</v>
      </c>
      <c r="O83" t="s">
        <v>76</v>
      </c>
      <c r="P83">
        <v>9.4471961443606135E-3</v>
      </c>
    </row>
    <row r="84" spans="1:16" x14ac:dyDescent="0.2">
      <c r="B84">
        <f>+'5% CO'!T42</f>
        <v>13</v>
      </c>
      <c r="C84" t="str">
        <f>+'5% CO'!U42</f>
        <v>Olefin</v>
      </c>
      <c r="D84" t="str">
        <f>+'5% CO'!R42</f>
        <v>Tridecene-1</v>
      </c>
      <c r="E84">
        <f>+'5% CO'!Z42</f>
        <v>1.9624281496545787E-3</v>
      </c>
      <c r="F84" t="s">
        <v>376</v>
      </c>
      <c r="N84">
        <v>25</v>
      </c>
      <c r="O84" t="s">
        <v>76</v>
      </c>
      <c r="P84">
        <v>8.1875699917791974E-3</v>
      </c>
    </row>
    <row r="85" spans="1:16" x14ac:dyDescent="0.2">
      <c r="B85">
        <f>+'5% CO'!T43</f>
        <v>14</v>
      </c>
      <c r="C85" t="str">
        <f>+'5% CO'!U43</f>
        <v>iso-paraffin</v>
      </c>
      <c r="D85" t="str">
        <f>+'5% CO'!R43</f>
        <v>(C14-IsoParaffin)</v>
      </c>
      <c r="E85">
        <f>+'5% CO'!Z43</f>
        <v>5.1654717962172228E-3</v>
      </c>
      <c r="F85" t="s">
        <v>376</v>
      </c>
      <c r="N85">
        <v>26</v>
      </c>
      <c r="O85" t="s">
        <v>76</v>
      </c>
      <c r="P85">
        <v>6.9279438391977822E-3</v>
      </c>
    </row>
    <row r="86" spans="1:16" x14ac:dyDescent="0.2">
      <c r="B86">
        <f>+'5% CO'!T44</f>
        <v>15</v>
      </c>
      <c r="C86" t="str">
        <f>+'5% CO'!U44</f>
        <v>iso-paraffin</v>
      </c>
      <c r="D86" t="str">
        <f>+'5% CO'!R44</f>
        <v>(C15-IsoParaffin)</v>
      </c>
      <c r="E86">
        <f>+'5% CO'!Z44</f>
        <v>4.074294075073084E-3</v>
      </c>
      <c r="F86" t="s">
        <v>376</v>
      </c>
      <c r="N86">
        <v>27</v>
      </c>
      <c r="O86" t="s">
        <v>76</v>
      </c>
      <c r="P86">
        <v>5.6683176866163679E-3</v>
      </c>
    </row>
    <row r="87" spans="1:16" x14ac:dyDescent="0.2">
      <c r="B87">
        <f>+'5% CO'!T45</f>
        <v>16</v>
      </c>
      <c r="C87" t="str">
        <f>+'5% CO'!U45</f>
        <v>iso-paraffin</v>
      </c>
      <c r="D87" t="str">
        <f>+'5% CO'!R45</f>
        <v>(C16-IsoParaffin)</v>
      </c>
      <c r="E87">
        <f>+'5% CO'!Z45</f>
        <v>1.0390154786605059E-2</v>
      </c>
      <c r="F87" t="s">
        <v>376</v>
      </c>
      <c r="N87">
        <v>28</v>
      </c>
      <c r="O87" t="s">
        <v>76</v>
      </c>
      <c r="P87">
        <v>0</v>
      </c>
    </row>
    <row r="88" spans="1:16" x14ac:dyDescent="0.2">
      <c r="B88">
        <f>+'5% CO'!T46</f>
        <v>17</v>
      </c>
      <c r="C88" t="str">
        <f>+'5% CO'!U46</f>
        <v>iso-paraffin</v>
      </c>
      <c r="D88" t="str">
        <f>+'5% CO'!R46</f>
        <v>(C17-IsoParaffin)</v>
      </c>
      <c r="E88">
        <f>+'5% CO'!Z46</f>
        <v>3.8487276210897982E-3</v>
      </c>
      <c r="F88" t="s">
        <v>376</v>
      </c>
      <c r="N88">
        <v>29</v>
      </c>
      <c r="O88" t="s">
        <v>76</v>
      </c>
      <c r="P88">
        <v>0</v>
      </c>
    </row>
    <row r="89" spans="1:16" x14ac:dyDescent="0.2">
      <c r="A89" t="s">
        <v>339</v>
      </c>
      <c r="B89">
        <f>+'5% CO'!AF4</f>
        <v>1</v>
      </c>
      <c r="C89" t="s">
        <v>76</v>
      </c>
      <c r="D89" t="s">
        <v>340</v>
      </c>
      <c r="E89">
        <f>+'5% CO'!AK4</f>
        <v>0</v>
      </c>
      <c r="F89" t="s">
        <v>374</v>
      </c>
      <c r="N89">
        <v>30</v>
      </c>
      <c r="O89" t="s">
        <v>76</v>
      </c>
      <c r="P89">
        <v>0</v>
      </c>
    </row>
    <row r="90" spans="1:16" x14ac:dyDescent="0.2">
      <c r="B90">
        <f>+'5% CO'!AF5</f>
        <v>2</v>
      </c>
      <c r="C90" t="s">
        <v>76</v>
      </c>
      <c r="D90" t="s">
        <v>120</v>
      </c>
      <c r="E90">
        <f>+'5% CO'!AK5</f>
        <v>0</v>
      </c>
      <c r="F90" t="s">
        <v>374</v>
      </c>
      <c r="N90">
        <v>31</v>
      </c>
      <c r="O90" t="s">
        <v>76</v>
      </c>
      <c r="P90">
        <v>0</v>
      </c>
    </row>
    <row r="91" spans="1:16" x14ac:dyDescent="0.2">
      <c r="B91">
        <f>+'5% CO'!AF6</f>
        <v>3</v>
      </c>
      <c r="C91" t="s">
        <v>76</v>
      </c>
      <c r="D91" t="s">
        <v>126</v>
      </c>
      <c r="E91">
        <f>+'5% CO'!AK6</f>
        <v>0</v>
      </c>
      <c r="F91" t="s">
        <v>374</v>
      </c>
      <c r="N91">
        <v>32</v>
      </c>
      <c r="O91" t="s">
        <v>76</v>
      </c>
      <c r="P91">
        <v>0</v>
      </c>
    </row>
    <row r="92" spans="1:16" x14ac:dyDescent="0.2">
      <c r="B92">
        <f>+'5% CO'!AF7</f>
        <v>4</v>
      </c>
      <c r="C92" t="s">
        <v>76</v>
      </c>
      <c r="D92" t="s">
        <v>132</v>
      </c>
      <c r="E92">
        <f>+'5% CO'!AK7</f>
        <v>0</v>
      </c>
      <c r="F92" t="s">
        <v>374</v>
      </c>
      <c r="N92">
        <v>33</v>
      </c>
      <c r="O92" t="s">
        <v>76</v>
      </c>
      <c r="P92">
        <v>0</v>
      </c>
    </row>
    <row r="93" spans="1:16" x14ac:dyDescent="0.2">
      <c r="B93">
        <f>+'5% CO'!AF8</f>
        <v>5</v>
      </c>
      <c r="C93" t="s">
        <v>76</v>
      </c>
      <c r="D93" t="s">
        <v>141</v>
      </c>
      <c r="E93">
        <f>+'5% CO'!AK8</f>
        <v>0</v>
      </c>
      <c r="F93" t="s">
        <v>374</v>
      </c>
      <c r="N93">
        <v>34</v>
      </c>
      <c r="O93" t="s">
        <v>76</v>
      </c>
      <c r="P93">
        <v>0</v>
      </c>
    </row>
    <row r="94" spans="1:16" x14ac:dyDescent="0.2">
      <c r="B94">
        <f>+'5% CO'!AF9</f>
        <v>6</v>
      </c>
      <c r="C94" t="s">
        <v>76</v>
      </c>
      <c r="D94" t="s">
        <v>151</v>
      </c>
      <c r="E94">
        <f>+'5% CO'!AK9</f>
        <v>0</v>
      </c>
      <c r="F94" t="s">
        <v>374</v>
      </c>
      <c r="N94">
        <v>35</v>
      </c>
      <c r="O94" t="s">
        <v>76</v>
      </c>
      <c r="P94">
        <v>0</v>
      </c>
    </row>
    <row r="95" spans="1:16" x14ac:dyDescent="0.2">
      <c r="B95">
        <f>+'5% CO'!AF10</f>
        <v>7</v>
      </c>
      <c r="C95" t="s">
        <v>76</v>
      </c>
      <c r="D95" t="s">
        <v>157</v>
      </c>
      <c r="E95">
        <f>+'5% CO'!AK10</f>
        <v>0</v>
      </c>
      <c r="F95" t="s">
        <v>374</v>
      </c>
      <c r="N95">
        <v>36</v>
      </c>
      <c r="O95" t="s">
        <v>76</v>
      </c>
      <c r="P95">
        <v>0</v>
      </c>
    </row>
    <row r="96" spans="1:16" x14ac:dyDescent="0.2">
      <c r="B96">
        <f>+'5% CO'!AF11</f>
        <v>8</v>
      </c>
      <c r="C96" t="s">
        <v>76</v>
      </c>
      <c r="D96" t="s">
        <v>169</v>
      </c>
      <c r="E96">
        <f>+'5% CO'!AK11</f>
        <v>1.5745326907267689E-2</v>
      </c>
      <c r="F96" t="s">
        <v>374</v>
      </c>
      <c r="N96">
        <v>37</v>
      </c>
      <c r="O96" t="s">
        <v>76</v>
      </c>
      <c r="P96">
        <v>0</v>
      </c>
    </row>
    <row r="97" spans="2:16" x14ac:dyDescent="0.2">
      <c r="B97">
        <f>+'5% CO'!AF12</f>
        <v>9</v>
      </c>
      <c r="C97" t="s">
        <v>76</v>
      </c>
      <c r="D97" t="s">
        <v>184</v>
      </c>
      <c r="E97">
        <f>+'5% CO'!AK12</f>
        <v>1.952420536501193E-2</v>
      </c>
      <c r="F97" t="s">
        <v>374</v>
      </c>
      <c r="N97">
        <v>38</v>
      </c>
      <c r="O97" t="s">
        <v>76</v>
      </c>
      <c r="P97">
        <v>0</v>
      </c>
    </row>
    <row r="98" spans="2:16" x14ac:dyDescent="0.2">
      <c r="B98">
        <f>+'5% CO'!AF13</f>
        <v>10</v>
      </c>
      <c r="C98" t="s">
        <v>76</v>
      </c>
      <c r="D98" t="s">
        <v>199</v>
      </c>
      <c r="E98">
        <f>+'5% CO'!AK13</f>
        <v>4.9755233026965891E-2</v>
      </c>
      <c r="F98" t="s">
        <v>374</v>
      </c>
      <c r="N98">
        <v>39</v>
      </c>
      <c r="O98" t="s">
        <v>76</v>
      </c>
      <c r="P98">
        <v>0</v>
      </c>
    </row>
    <row r="99" spans="2:16" x14ac:dyDescent="0.2">
      <c r="B99">
        <f>+'5% CO'!AF14</f>
        <v>11</v>
      </c>
      <c r="C99" t="s">
        <v>76</v>
      </c>
      <c r="D99" t="s">
        <v>214</v>
      </c>
      <c r="E99">
        <f>+'5% CO'!AK14</f>
        <v>5.7312989942454394E-2</v>
      </c>
      <c r="F99" t="s">
        <v>374</v>
      </c>
    </row>
    <row r="100" spans="2:16" x14ac:dyDescent="0.2">
      <c r="B100">
        <f>+'5% CO'!AF15</f>
        <v>12</v>
      </c>
      <c r="C100" t="s">
        <v>76</v>
      </c>
      <c r="D100" t="s">
        <v>227</v>
      </c>
      <c r="E100">
        <f>+'5% CO'!AK15</f>
        <v>6.6130373010524282E-2</v>
      </c>
      <c r="F100" t="s">
        <v>374</v>
      </c>
    </row>
    <row r="101" spans="2:16" x14ac:dyDescent="0.2">
      <c r="B101">
        <f>+'5% CO'!AF16</f>
        <v>13</v>
      </c>
      <c r="C101" t="s">
        <v>76</v>
      </c>
      <c r="D101" t="s">
        <v>242</v>
      </c>
      <c r="E101">
        <f>+'5% CO'!AK16</f>
        <v>6.8649625315687107E-2</v>
      </c>
      <c r="F101" t="s">
        <v>374</v>
      </c>
    </row>
    <row r="102" spans="2:16" x14ac:dyDescent="0.2">
      <c r="B102">
        <f>+'5% CO'!AF17</f>
        <v>14</v>
      </c>
      <c r="C102" t="s">
        <v>76</v>
      </c>
      <c r="D102" t="s">
        <v>341</v>
      </c>
      <c r="E102">
        <f>+'5% CO'!AK17</f>
        <v>6.7389999163105715E-2</v>
      </c>
      <c r="F102" t="s">
        <v>374</v>
      </c>
    </row>
    <row r="103" spans="2:16" x14ac:dyDescent="0.2">
      <c r="B103">
        <f>+'5% CO'!AF18</f>
        <v>15</v>
      </c>
      <c r="C103" t="s">
        <v>76</v>
      </c>
      <c r="D103" t="s">
        <v>254</v>
      </c>
      <c r="E103">
        <f>+'5% CO'!AK18</f>
        <v>5.9832242247617212E-2</v>
      </c>
      <c r="F103" t="s">
        <v>374</v>
      </c>
    </row>
    <row r="104" spans="2:16" x14ac:dyDescent="0.2">
      <c r="B104">
        <f>+'5% CO'!AF19</f>
        <v>16</v>
      </c>
      <c r="C104" t="s">
        <v>76</v>
      </c>
      <c r="D104" t="s">
        <v>260</v>
      </c>
      <c r="E104">
        <f>+'5% CO'!AK19</f>
        <v>4.8495606874384499E-2</v>
      </c>
      <c r="F104" t="s">
        <v>374</v>
      </c>
    </row>
    <row r="105" spans="2:16" x14ac:dyDescent="0.2">
      <c r="B105">
        <f>+'5% CO'!AF20</f>
        <v>17</v>
      </c>
      <c r="C105" t="s">
        <v>76</v>
      </c>
      <c r="D105" t="s">
        <v>266</v>
      </c>
      <c r="E105">
        <f>+'5% CO'!AK20</f>
        <v>4.2197476111477332E-2</v>
      </c>
      <c r="F105" t="s">
        <v>374</v>
      </c>
    </row>
    <row r="106" spans="2:16" x14ac:dyDescent="0.2">
      <c r="B106">
        <f>+'5% CO'!AF21</f>
        <v>18</v>
      </c>
      <c r="C106" t="s">
        <v>76</v>
      </c>
      <c r="D106" t="s">
        <v>269</v>
      </c>
      <c r="E106">
        <f>+'5% CO'!AK21</f>
        <v>3.904841073002388E-2</v>
      </c>
      <c r="F106" t="s">
        <v>374</v>
      </c>
    </row>
    <row r="107" spans="2:16" x14ac:dyDescent="0.2">
      <c r="B107">
        <f>+'5% CO'!AF22</f>
        <v>19</v>
      </c>
      <c r="C107" t="s">
        <v>76</v>
      </c>
      <c r="D107" t="s">
        <v>272</v>
      </c>
      <c r="E107">
        <f>+'5% CO'!AK22</f>
        <v>1.7634766136139807E-2</v>
      </c>
      <c r="F107" t="s">
        <v>374</v>
      </c>
    </row>
    <row r="108" spans="2:16" x14ac:dyDescent="0.2">
      <c r="B108">
        <f>+'5% CO'!AF23</f>
        <v>20</v>
      </c>
      <c r="C108" t="s">
        <v>76</v>
      </c>
      <c r="D108" t="s">
        <v>275</v>
      </c>
      <c r="E108">
        <f>+'5% CO'!AK23</f>
        <v>1.3855887678395564E-2</v>
      </c>
      <c r="F108" t="s">
        <v>374</v>
      </c>
    </row>
    <row r="109" spans="2:16" x14ac:dyDescent="0.2">
      <c r="B109">
        <f>+'5% CO'!AF24</f>
        <v>21</v>
      </c>
      <c r="C109" t="s">
        <v>76</v>
      </c>
      <c r="D109" t="s">
        <v>278</v>
      </c>
      <c r="E109">
        <f>+'5% CO'!AK24</f>
        <v>1.2596261525814152E-2</v>
      </c>
      <c r="F109" t="s">
        <v>374</v>
      </c>
    </row>
    <row r="110" spans="2:16" x14ac:dyDescent="0.2">
      <c r="B110">
        <f>+'5% CO'!AF25</f>
        <v>22</v>
      </c>
      <c r="C110" t="s">
        <v>76</v>
      </c>
      <c r="D110" t="s">
        <v>281</v>
      </c>
      <c r="E110">
        <f>+'5% CO'!AK25</f>
        <v>1.1336635373232736E-2</v>
      </c>
      <c r="F110" t="s">
        <v>374</v>
      </c>
    </row>
    <row r="111" spans="2:16" x14ac:dyDescent="0.2">
      <c r="B111">
        <f>+'5% CO'!AF26</f>
        <v>23</v>
      </c>
      <c r="C111" t="s">
        <v>76</v>
      </c>
      <c r="D111" t="s">
        <v>284</v>
      </c>
      <c r="E111">
        <f>+'5% CO'!AK26</f>
        <v>1.0077009220651321E-2</v>
      </c>
      <c r="F111" t="s">
        <v>374</v>
      </c>
    </row>
    <row r="112" spans="2:16" x14ac:dyDescent="0.2">
      <c r="B112">
        <f>+'5% CO'!AF27</f>
        <v>24</v>
      </c>
      <c r="C112" t="s">
        <v>76</v>
      </c>
      <c r="D112" t="s">
        <v>287</v>
      </c>
      <c r="E112">
        <f>+'5% CO'!AK27</f>
        <v>9.4471961443606135E-3</v>
      </c>
      <c r="F112" t="s">
        <v>374</v>
      </c>
    </row>
    <row r="113" spans="2:6" x14ac:dyDescent="0.2">
      <c r="B113">
        <f>+'5% CO'!AF28</f>
        <v>25</v>
      </c>
      <c r="C113" t="s">
        <v>76</v>
      </c>
      <c r="D113" t="s">
        <v>290</v>
      </c>
      <c r="E113">
        <f>+'5% CO'!AK28</f>
        <v>8.1875699917791974E-3</v>
      </c>
      <c r="F113" t="s">
        <v>374</v>
      </c>
    </row>
    <row r="114" spans="2:6" x14ac:dyDescent="0.2">
      <c r="B114">
        <f>+'5% CO'!AF29</f>
        <v>26</v>
      </c>
      <c r="C114" t="s">
        <v>76</v>
      </c>
      <c r="D114" t="s">
        <v>293</v>
      </c>
      <c r="E114">
        <f>+'5% CO'!AK29</f>
        <v>6.9279438391977822E-3</v>
      </c>
      <c r="F114" t="s">
        <v>374</v>
      </c>
    </row>
    <row r="115" spans="2:6" x14ac:dyDescent="0.2">
      <c r="B115">
        <f>+'5% CO'!AF30</f>
        <v>27</v>
      </c>
      <c r="C115" t="s">
        <v>76</v>
      </c>
      <c r="D115" t="s">
        <v>296</v>
      </c>
      <c r="E115">
        <f>+'5% CO'!AK30</f>
        <v>5.6683176866163679E-3</v>
      </c>
      <c r="F115" t="s">
        <v>374</v>
      </c>
    </row>
    <row r="116" spans="2:6" x14ac:dyDescent="0.2">
      <c r="B116">
        <f>+'5% CO'!AF31</f>
        <v>28</v>
      </c>
      <c r="C116" t="s">
        <v>76</v>
      </c>
      <c r="D116" t="s">
        <v>297</v>
      </c>
      <c r="E116">
        <f>+'5% CO'!AK31</f>
        <v>0</v>
      </c>
      <c r="F116" t="s">
        <v>374</v>
      </c>
    </row>
    <row r="117" spans="2:6" x14ac:dyDescent="0.2">
      <c r="B117">
        <f>+'5% CO'!AF32</f>
        <v>29</v>
      </c>
      <c r="C117" t="s">
        <v>76</v>
      </c>
      <c r="D117" t="s">
        <v>298</v>
      </c>
      <c r="E117">
        <f>+'5% CO'!AK32</f>
        <v>0</v>
      </c>
      <c r="F117" t="s">
        <v>374</v>
      </c>
    </row>
    <row r="118" spans="2:6" x14ac:dyDescent="0.2">
      <c r="B118">
        <f>+'5% CO'!AF33</f>
        <v>30</v>
      </c>
      <c r="C118" t="s">
        <v>76</v>
      </c>
      <c r="D118" t="s">
        <v>299</v>
      </c>
      <c r="E118">
        <f>+'5% CO'!AK33</f>
        <v>0</v>
      </c>
      <c r="F118" t="s">
        <v>374</v>
      </c>
    </row>
    <row r="119" spans="2:6" x14ac:dyDescent="0.2">
      <c r="B119">
        <f>+'5% CO'!AF34</f>
        <v>31</v>
      </c>
      <c r="C119" t="s">
        <v>76</v>
      </c>
      <c r="D119" t="s">
        <v>300</v>
      </c>
      <c r="E119">
        <f>+'5% CO'!AK34</f>
        <v>0</v>
      </c>
      <c r="F119" t="s">
        <v>374</v>
      </c>
    </row>
    <row r="120" spans="2:6" x14ac:dyDescent="0.2">
      <c r="B120">
        <f>+'5% CO'!AF35</f>
        <v>32</v>
      </c>
      <c r="C120" t="s">
        <v>76</v>
      </c>
      <c r="D120" t="s">
        <v>301</v>
      </c>
      <c r="E120">
        <f>+'5% CO'!AK35</f>
        <v>0</v>
      </c>
      <c r="F120" t="s">
        <v>374</v>
      </c>
    </row>
    <row r="121" spans="2:6" x14ac:dyDescent="0.2">
      <c r="B121">
        <f>+'5% CO'!AF36</f>
        <v>33</v>
      </c>
      <c r="C121" t="s">
        <v>76</v>
      </c>
      <c r="D121" t="s">
        <v>302</v>
      </c>
      <c r="E121">
        <f>+'5% CO'!AK36</f>
        <v>0</v>
      </c>
      <c r="F121" t="s">
        <v>374</v>
      </c>
    </row>
    <row r="122" spans="2:6" x14ac:dyDescent="0.2">
      <c r="B122">
        <f>+'5% CO'!AF37</f>
        <v>34</v>
      </c>
      <c r="C122" t="s">
        <v>76</v>
      </c>
      <c r="D122" t="s">
        <v>303</v>
      </c>
      <c r="E122">
        <f>+'5% CO'!AK37</f>
        <v>0</v>
      </c>
      <c r="F122" t="s">
        <v>374</v>
      </c>
    </row>
    <row r="123" spans="2:6" x14ac:dyDescent="0.2">
      <c r="B123">
        <f>+'5% CO'!AF38</f>
        <v>35</v>
      </c>
      <c r="C123" t="s">
        <v>76</v>
      </c>
      <c r="D123" t="s">
        <v>304</v>
      </c>
      <c r="E123">
        <f>+'5% CO'!AK38</f>
        <v>0</v>
      </c>
      <c r="F123" t="s">
        <v>374</v>
      </c>
    </row>
    <row r="124" spans="2:6" x14ac:dyDescent="0.2">
      <c r="B124">
        <f>+'5% CO'!AF39</f>
        <v>36</v>
      </c>
      <c r="C124" t="s">
        <v>76</v>
      </c>
      <c r="D124" t="s">
        <v>305</v>
      </c>
      <c r="E124">
        <f>+'5% CO'!AK39</f>
        <v>0</v>
      </c>
      <c r="F124" t="s">
        <v>374</v>
      </c>
    </row>
    <row r="125" spans="2:6" x14ac:dyDescent="0.2">
      <c r="B125">
        <f>+'5% CO'!AF40</f>
        <v>37</v>
      </c>
      <c r="C125" t="s">
        <v>76</v>
      </c>
      <c r="D125" t="s">
        <v>306</v>
      </c>
      <c r="E125">
        <f>+'5% CO'!AK40</f>
        <v>0</v>
      </c>
      <c r="F125" t="s">
        <v>374</v>
      </c>
    </row>
    <row r="126" spans="2:6" x14ac:dyDescent="0.2">
      <c r="B126">
        <f>+'5% CO'!AF41</f>
        <v>38</v>
      </c>
      <c r="C126" t="s">
        <v>76</v>
      </c>
      <c r="D126" t="s">
        <v>307</v>
      </c>
      <c r="E126">
        <f>+'5% CO'!AK41</f>
        <v>0</v>
      </c>
      <c r="F126" t="s">
        <v>374</v>
      </c>
    </row>
    <row r="127" spans="2:6" x14ac:dyDescent="0.2">
      <c r="B127">
        <f>+'5% CO'!AF42</f>
        <v>39</v>
      </c>
      <c r="C127" t="s">
        <v>76</v>
      </c>
      <c r="D127" t="s">
        <v>308</v>
      </c>
      <c r="E127">
        <f>+'5% CO'!AK42</f>
        <v>0</v>
      </c>
      <c r="F127" t="s">
        <v>374</v>
      </c>
    </row>
  </sheetData>
  <phoneticPr fontId="6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1A44-5DC1-E34B-8774-5AEDE623EA8C}">
  <dimension ref="B1:AK54"/>
  <sheetViews>
    <sheetView topLeftCell="D1" workbookViewId="0">
      <selection activeCell="N15" sqref="N15"/>
    </sheetView>
  </sheetViews>
  <sheetFormatPr baseColWidth="10" defaultRowHeight="16" x14ac:dyDescent="0.2"/>
  <cols>
    <col min="3" max="3" width="17.83203125" customWidth="1"/>
    <col min="12" max="12" width="12.33203125" customWidth="1"/>
  </cols>
  <sheetData>
    <row r="1" spans="2:37" ht="17" x14ac:dyDescent="0.2">
      <c r="R1" s="7" t="s">
        <v>105</v>
      </c>
      <c r="S1" s="7" t="s">
        <v>106</v>
      </c>
      <c r="T1" s="7" t="s">
        <v>107</v>
      </c>
      <c r="U1" s="7" t="s">
        <v>108</v>
      </c>
      <c r="V1" s="23" t="s">
        <v>342</v>
      </c>
      <c r="W1" s="1" t="s">
        <v>109</v>
      </c>
      <c r="X1" t="s">
        <v>110</v>
      </c>
      <c r="Y1" s="1" t="s">
        <v>46</v>
      </c>
      <c r="Z1" s="1" t="s">
        <v>111</v>
      </c>
    </row>
    <row r="2" spans="2:37" x14ac:dyDescent="0.2">
      <c r="D2" t="s">
        <v>46</v>
      </c>
      <c r="E2" t="s">
        <v>47</v>
      </c>
      <c r="F2" t="s">
        <v>45</v>
      </c>
      <c r="L2" t="s">
        <v>49</v>
      </c>
      <c r="N2" t="s">
        <v>50</v>
      </c>
      <c r="O2" t="s">
        <v>51</v>
      </c>
      <c r="R2" s="5" t="s">
        <v>79</v>
      </c>
      <c r="S2" s="5">
        <v>0.70520000000000005</v>
      </c>
      <c r="T2" s="6">
        <v>3</v>
      </c>
      <c r="U2" s="6" t="s">
        <v>76</v>
      </c>
      <c r="V2" s="22">
        <v>1</v>
      </c>
      <c r="W2">
        <f t="shared" ref="W2:W45" si="0">S2*T2</f>
        <v>2.1156000000000001</v>
      </c>
      <c r="X2" s="8">
        <f>W2/$W$48</f>
        <v>2.7211692847438182E-3</v>
      </c>
      <c r="Y2">
        <f>X2*$N$5</f>
        <v>6.5834287659616852E-2</v>
      </c>
      <c r="Z2">
        <f>Y2/T2</f>
        <v>2.1944762553205616E-2</v>
      </c>
      <c r="AG2" t="s">
        <v>112</v>
      </c>
      <c r="AH2" s="1" t="s">
        <v>109</v>
      </c>
      <c r="AI2" t="s">
        <v>110</v>
      </c>
      <c r="AJ2" s="1" t="s">
        <v>46</v>
      </c>
      <c r="AK2" s="1" t="s">
        <v>111</v>
      </c>
    </row>
    <row r="3" spans="2:37" x14ac:dyDescent="0.2">
      <c r="D3" s="1" t="s">
        <v>43</v>
      </c>
      <c r="E3" s="1" t="s">
        <v>44</v>
      </c>
      <c r="L3">
        <f>+D5-E5</f>
        <v>38.342030020217379</v>
      </c>
      <c r="N3" s="21">
        <v>27</v>
      </c>
      <c r="O3" s="21">
        <v>15.79</v>
      </c>
      <c r="P3" t="s">
        <v>52</v>
      </c>
      <c r="R3" s="3" t="s">
        <v>64</v>
      </c>
      <c r="S3" s="3">
        <v>4.4340000000000002</v>
      </c>
      <c r="T3" s="4">
        <v>4</v>
      </c>
      <c r="U3" s="4" t="s">
        <v>60</v>
      </c>
      <c r="V3" s="22">
        <v>2</v>
      </c>
      <c r="W3">
        <f t="shared" si="0"/>
        <v>17.736000000000001</v>
      </c>
      <c r="X3" s="8">
        <f t="shared" ref="X3:X46" si="1">W3/$W$48</f>
        <v>2.281275214322951E-2</v>
      </c>
      <c r="Y3">
        <f t="shared" ref="Y3:Y46" si="2">X3*$N$5</f>
        <v>0.55191762428198354</v>
      </c>
      <c r="Z3">
        <f t="shared" ref="Z3:Z46" si="3">Y3/T3</f>
        <v>0.13797940607049589</v>
      </c>
    </row>
    <row r="4" spans="2:37" x14ac:dyDescent="0.2">
      <c r="N4" s="2">
        <f>+N3/(N3+O3)</f>
        <v>0.63098854872633792</v>
      </c>
      <c r="O4" s="2">
        <f>1-N4</f>
        <v>0.36901145127366208</v>
      </c>
      <c r="P4" t="s">
        <v>53</v>
      </c>
      <c r="R4" s="5" t="s">
        <v>87</v>
      </c>
      <c r="S4" s="5">
        <v>0.42370000000000002</v>
      </c>
      <c r="T4" s="6">
        <v>4</v>
      </c>
      <c r="U4" s="6" t="s">
        <v>76</v>
      </c>
      <c r="V4" s="22">
        <v>3</v>
      </c>
      <c r="W4">
        <f t="shared" si="0"/>
        <v>1.6948000000000001</v>
      </c>
      <c r="X4" s="8">
        <f t="shared" si="1"/>
        <v>2.1799195045300733E-3</v>
      </c>
      <c r="Y4">
        <f t="shared" si="2"/>
        <v>5.273962503569609E-2</v>
      </c>
      <c r="Z4">
        <f t="shared" si="3"/>
        <v>1.3184906258924023E-2</v>
      </c>
      <c r="AF4">
        <v>1</v>
      </c>
      <c r="AG4">
        <v>0</v>
      </c>
      <c r="AH4">
        <f t="shared" ref="AH4:AH51" si="4">AG4*AF4</f>
        <v>0</v>
      </c>
      <c r="AI4" s="9">
        <f>AH4/$AH$54</f>
        <v>0</v>
      </c>
      <c r="AJ4">
        <f>AI4*$O$5</f>
        <v>0</v>
      </c>
      <c r="AK4">
        <f t="shared" ref="AK4:AK51" si="5">AJ4/AF4</f>
        <v>0</v>
      </c>
    </row>
    <row r="5" spans="2:37" x14ac:dyDescent="0.2">
      <c r="C5" t="s">
        <v>48</v>
      </c>
      <c r="D5">
        <f>+D6+D7</f>
        <v>208.88611802556397</v>
      </c>
      <c r="E5">
        <f>SUM(E6:E47)</f>
        <v>170.54408800534659</v>
      </c>
      <c r="G5" s="1" t="s">
        <v>55</v>
      </c>
      <c r="L5" t="s">
        <v>358</v>
      </c>
      <c r="N5">
        <f>+N4*L3</f>
        <v>24.193381877678647</v>
      </c>
      <c r="O5">
        <f>+O4*L3</f>
        <v>14.148648142538734</v>
      </c>
      <c r="P5" t="s">
        <v>54</v>
      </c>
      <c r="R5" s="5" t="s">
        <v>91</v>
      </c>
      <c r="S5" s="5">
        <v>0.24740000000000001</v>
      </c>
      <c r="T5" s="6">
        <v>4</v>
      </c>
      <c r="U5" s="6" t="s">
        <v>57</v>
      </c>
      <c r="V5" s="22">
        <v>4</v>
      </c>
      <c r="W5">
        <f t="shared" si="0"/>
        <v>0.98960000000000004</v>
      </c>
      <c r="X5" s="8">
        <f t="shared" si="1"/>
        <v>1.2728630762821338E-3</v>
      </c>
      <c r="Y5">
        <f t="shared" si="2"/>
        <v>3.0794862482490467E-2</v>
      </c>
      <c r="Z5">
        <f t="shared" si="3"/>
        <v>7.6987156206226167E-3</v>
      </c>
      <c r="AF5">
        <v>2</v>
      </c>
      <c r="AG5">
        <v>0</v>
      </c>
      <c r="AH5">
        <f t="shared" si="4"/>
        <v>0</v>
      </c>
      <c r="AI5" s="9">
        <f t="shared" ref="AI5:AI51" si="6">AH5/$AH$54</f>
        <v>0</v>
      </c>
      <c r="AJ5">
        <f t="shared" ref="AJ5:AJ51" si="7">AI5*$O$5</f>
        <v>0</v>
      </c>
      <c r="AK5">
        <f t="shared" si="5"/>
        <v>0</v>
      </c>
    </row>
    <row r="6" spans="2:37" x14ac:dyDescent="0.2">
      <c r="C6" t="s">
        <v>41</v>
      </c>
      <c r="D6" s="21">
        <v>84.481827236355642</v>
      </c>
      <c r="E6">
        <v>8.8726193456611924</v>
      </c>
      <c r="F6" s="8">
        <f>+(D6-E6)/D6</f>
        <v>0.8949760009233918</v>
      </c>
      <c r="G6" s="8">
        <f>+(D6+D7-E7-E6)/(D6+D7)</f>
        <v>0.44385285982399458</v>
      </c>
      <c r="H6" s="2"/>
      <c r="I6" s="2"/>
      <c r="J6" s="25">
        <f>+E6*$L$24</f>
        <v>8.1442641602538703</v>
      </c>
      <c r="L6">
        <f>+D7+D6-E6-E7</f>
        <v>92.714700863179047</v>
      </c>
      <c r="R6" s="5" t="s">
        <v>61</v>
      </c>
      <c r="S6" s="5">
        <v>9.5908000000000015</v>
      </c>
      <c r="T6" s="6">
        <v>5</v>
      </c>
      <c r="U6" s="6" t="s">
        <v>60</v>
      </c>
      <c r="V6" s="22">
        <v>5</v>
      </c>
      <c r="W6">
        <f t="shared" si="0"/>
        <v>47.954000000000008</v>
      </c>
      <c r="X6" s="8">
        <f t="shared" si="1"/>
        <v>6.1680351616848678E-2</v>
      </c>
      <c r="Y6">
        <f t="shared" si="2"/>
        <v>1.4922563010159136</v>
      </c>
      <c r="Z6">
        <f t="shared" si="3"/>
        <v>0.29845126020318269</v>
      </c>
      <c r="AF6">
        <v>3</v>
      </c>
      <c r="AG6">
        <v>0</v>
      </c>
      <c r="AH6">
        <f t="shared" si="4"/>
        <v>0</v>
      </c>
      <c r="AI6" s="9">
        <f t="shared" si="6"/>
        <v>0</v>
      </c>
      <c r="AJ6">
        <f t="shared" si="7"/>
        <v>0</v>
      </c>
      <c r="AK6">
        <f t="shared" si="5"/>
        <v>0</v>
      </c>
    </row>
    <row r="7" spans="2:37" x14ac:dyDescent="0.2">
      <c r="B7">
        <v>1</v>
      </c>
      <c r="C7" t="s">
        <v>0</v>
      </c>
      <c r="D7" s="21">
        <v>124.40429078920833</v>
      </c>
      <c r="E7" s="21">
        <v>107.29879781672375</v>
      </c>
      <c r="F7" s="8">
        <f>+(D7-E7)/D7</f>
        <v>0.13749922019545349</v>
      </c>
      <c r="G7" s="2"/>
      <c r="H7" s="2"/>
      <c r="I7" s="2"/>
      <c r="J7" s="25">
        <f t="shared" ref="J7:J47" si="8">+E7*$L$24</f>
        <v>98.490616970331473</v>
      </c>
      <c r="R7" s="3" t="s">
        <v>75</v>
      </c>
      <c r="S7" s="3">
        <v>0.84379999999999999</v>
      </c>
      <c r="T7" s="4">
        <v>5</v>
      </c>
      <c r="U7" s="4" t="s">
        <v>76</v>
      </c>
      <c r="V7" s="22">
        <v>6</v>
      </c>
      <c r="W7">
        <f t="shared" si="0"/>
        <v>4.2190000000000003</v>
      </c>
      <c r="X7" s="8">
        <f t="shared" si="1"/>
        <v>5.4266464418293477E-3</v>
      </c>
      <c r="Y7">
        <f t="shared" si="2"/>
        <v>0.13128892968232345</v>
      </c>
      <c r="Z7">
        <f t="shared" si="3"/>
        <v>2.6257785936464689E-2</v>
      </c>
      <c r="AF7">
        <v>4</v>
      </c>
      <c r="AG7">
        <v>0</v>
      </c>
      <c r="AH7">
        <f t="shared" si="4"/>
        <v>0</v>
      </c>
      <c r="AI7" s="9">
        <f t="shared" si="6"/>
        <v>0</v>
      </c>
      <c r="AJ7">
        <f t="shared" si="7"/>
        <v>0</v>
      </c>
      <c r="AK7">
        <f t="shared" si="5"/>
        <v>0</v>
      </c>
    </row>
    <row r="8" spans="2:37" x14ac:dyDescent="0.2">
      <c r="B8">
        <v>8</v>
      </c>
      <c r="C8" t="s">
        <v>1</v>
      </c>
      <c r="E8" s="21">
        <v>0</v>
      </c>
      <c r="G8">
        <f>+E8/B8</f>
        <v>0</v>
      </c>
      <c r="H8" t="s">
        <v>60</v>
      </c>
      <c r="I8">
        <v>1</v>
      </c>
      <c r="J8" s="25">
        <f t="shared" si="8"/>
        <v>0</v>
      </c>
      <c r="R8" s="3" t="s">
        <v>81</v>
      </c>
      <c r="S8" s="3">
        <v>0.71390000000000009</v>
      </c>
      <c r="T8" s="4">
        <v>5</v>
      </c>
      <c r="U8" s="4" t="s">
        <v>57</v>
      </c>
      <c r="V8" s="22">
        <v>7</v>
      </c>
      <c r="W8">
        <f t="shared" si="0"/>
        <v>3.5695000000000006</v>
      </c>
      <c r="X8" s="8">
        <f t="shared" si="1"/>
        <v>4.5912335800212985E-3</v>
      </c>
      <c r="Y8">
        <f t="shared" si="2"/>
        <v>0.11107746729107694</v>
      </c>
      <c r="Z8">
        <f t="shared" si="3"/>
        <v>2.2215493458215389E-2</v>
      </c>
      <c r="AF8">
        <v>5</v>
      </c>
      <c r="AG8">
        <v>0</v>
      </c>
      <c r="AH8">
        <f t="shared" si="4"/>
        <v>0</v>
      </c>
      <c r="AI8" s="9">
        <f t="shared" si="6"/>
        <v>0</v>
      </c>
      <c r="AJ8">
        <f t="shared" si="7"/>
        <v>0</v>
      </c>
      <c r="AK8">
        <f t="shared" si="5"/>
        <v>0</v>
      </c>
    </row>
    <row r="9" spans="2:37" x14ac:dyDescent="0.2">
      <c r="B9">
        <v>7</v>
      </c>
      <c r="C9" t="s">
        <v>2</v>
      </c>
      <c r="E9" s="21">
        <v>0</v>
      </c>
      <c r="G9">
        <f t="shared" ref="G9:G47" si="9">+E9/B9</f>
        <v>0</v>
      </c>
      <c r="H9" t="s">
        <v>67</v>
      </c>
      <c r="I9">
        <v>2</v>
      </c>
      <c r="J9" s="25">
        <f t="shared" si="8"/>
        <v>0</v>
      </c>
      <c r="R9" s="3" t="s">
        <v>90</v>
      </c>
      <c r="S9" s="3">
        <v>0.29859999999999998</v>
      </c>
      <c r="T9" s="4">
        <v>5</v>
      </c>
      <c r="U9" s="4" t="s">
        <v>73</v>
      </c>
      <c r="V9" s="22">
        <v>8</v>
      </c>
      <c r="W9">
        <f t="shared" si="0"/>
        <v>1.4929999999999999</v>
      </c>
      <c r="X9" s="8">
        <f t="shared" si="1"/>
        <v>1.9203562781823216E-3</v>
      </c>
      <c r="Y9">
        <f t="shared" si="2"/>
        <v>4.6459912779262591E-2</v>
      </c>
      <c r="Z9">
        <f t="shared" si="3"/>
        <v>9.2919825558525175E-3</v>
      </c>
      <c r="AF9">
        <v>6</v>
      </c>
      <c r="AG9">
        <v>0</v>
      </c>
      <c r="AH9">
        <f t="shared" si="4"/>
        <v>0</v>
      </c>
      <c r="AI9" s="9">
        <f t="shared" si="6"/>
        <v>0</v>
      </c>
      <c r="AJ9">
        <f t="shared" si="7"/>
        <v>0</v>
      </c>
      <c r="AK9">
        <f t="shared" si="5"/>
        <v>0</v>
      </c>
    </row>
    <row r="10" spans="2:37" x14ac:dyDescent="0.2">
      <c r="B10">
        <v>9</v>
      </c>
      <c r="C10" t="s">
        <v>3</v>
      </c>
      <c r="E10" s="21">
        <v>2.7987670243839959E-3</v>
      </c>
      <c r="G10">
        <f t="shared" si="9"/>
        <v>3.10974113820444E-4</v>
      </c>
      <c r="H10" t="s">
        <v>67</v>
      </c>
      <c r="I10">
        <v>3</v>
      </c>
      <c r="J10" s="25">
        <f t="shared" si="8"/>
        <v>2.5690156515885488E-3</v>
      </c>
      <c r="L10">
        <f>+L3/D5</f>
        <v>0.18355470618456796</v>
      </c>
      <c r="R10" s="3" t="s">
        <v>56</v>
      </c>
      <c r="S10" s="3">
        <v>9.5949000000000009</v>
      </c>
      <c r="T10" s="4">
        <v>6</v>
      </c>
      <c r="U10" s="4" t="s">
        <v>57</v>
      </c>
      <c r="V10" s="22">
        <v>9</v>
      </c>
      <c r="W10">
        <f t="shared" si="0"/>
        <v>57.569400000000002</v>
      </c>
      <c r="X10" s="8">
        <f t="shared" si="1"/>
        <v>7.4048063443529377E-2</v>
      </c>
      <c r="Y10">
        <f t="shared" si="2"/>
        <v>1.7914730761918822</v>
      </c>
      <c r="Z10">
        <f t="shared" si="3"/>
        <v>0.29857884603198037</v>
      </c>
      <c r="AF10">
        <v>7</v>
      </c>
      <c r="AG10">
        <v>0</v>
      </c>
      <c r="AH10">
        <f t="shared" si="4"/>
        <v>0</v>
      </c>
      <c r="AI10" s="9">
        <f t="shared" si="6"/>
        <v>0</v>
      </c>
      <c r="AJ10">
        <f t="shared" si="7"/>
        <v>0</v>
      </c>
      <c r="AK10">
        <f t="shared" si="5"/>
        <v>0</v>
      </c>
    </row>
    <row r="11" spans="2:37" x14ac:dyDescent="0.2">
      <c r="B11">
        <v>8</v>
      </c>
      <c r="C11" t="s">
        <v>4</v>
      </c>
      <c r="E11" s="21">
        <v>0</v>
      </c>
      <c r="G11">
        <f t="shared" si="9"/>
        <v>0</v>
      </c>
      <c r="H11" t="s">
        <v>67</v>
      </c>
      <c r="I11">
        <v>4</v>
      </c>
      <c r="J11" s="25">
        <f t="shared" si="8"/>
        <v>0</v>
      </c>
      <c r="R11" s="5" t="s">
        <v>69</v>
      </c>
      <c r="S11" s="5">
        <v>3.8918999999999997</v>
      </c>
      <c r="T11" s="6">
        <v>6</v>
      </c>
      <c r="U11" s="6" t="s">
        <v>60</v>
      </c>
      <c r="V11" s="22">
        <v>10</v>
      </c>
      <c r="W11">
        <f t="shared" si="0"/>
        <v>23.351399999999998</v>
      </c>
      <c r="X11" s="8">
        <f t="shared" si="1"/>
        <v>3.0035504081946864E-2</v>
      </c>
      <c r="Y11">
        <f t="shared" si="2"/>
        <v>0.72666042014311627</v>
      </c>
      <c r="Z11">
        <f t="shared" si="3"/>
        <v>0.12111007002385271</v>
      </c>
      <c r="AF11">
        <v>8</v>
      </c>
      <c r="AG11">
        <v>2.5</v>
      </c>
      <c r="AH11">
        <f t="shared" si="4"/>
        <v>20</v>
      </c>
      <c r="AI11" s="9">
        <f t="shared" si="6"/>
        <v>1.3580498404291439E-2</v>
      </c>
      <c r="AJ11">
        <f t="shared" si="7"/>
        <v>0.19214569352262831</v>
      </c>
      <c r="AK11">
        <f t="shared" si="5"/>
        <v>2.4018211690328539E-2</v>
      </c>
    </row>
    <row r="12" spans="2:37" x14ac:dyDescent="0.2">
      <c r="B12">
        <v>8</v>
      </c>
      <c r="C12" t="s">
        <v>5</v>
      </c>
      <c r="E12" s="21">
        <v>0.28316948648381995</v>
      </c>
      <c r="G12">
        <f t="shared" si="9"/>
        <v>3.5396185810477494E-2</v>
      </c>
      <c r="H12" t="s">
        <v>67</v>
      </c>
      <c r="I12">
        <v>5</v>
      </c>
      <c r="J12" s="25">
        <f t="shared" si="8"/>
        <v>0.2599240438704753</v>
      </c>
      <c r="R12" s="3" t="s">
        <v>72</v>
      </c>
      <c r="S12" s="3">
        <v>0.96410000000000007</v>
      </c>
      <c r="T12" s="4">
        <v>6</v>
      </c>
      <c r="U12" s="4" t="s">
        <v>73</v>
      </c>
      <c r="V12" s="22">
        <v>11</v>
      </c>
      <c r="W12">
        <f t="shared" si="0"/>
        <v>5.7846000000000002</v>
      </c>
      <c r="X12" s="8">
        <f t="shared" si="1"/>
        <v>7.4403837419782046E-3</v>
      </c>
      <c r="Y12">
        <f t="shared" si="2"/>
        <v>0.18000804518615032</v>
      </c>
      <c r="Z12">
        <f t="shared" si="3"/>
        <v>3.0001340864358388E-2</v>
      </c>
      <c r="AF12">
        <v>9</v>
      </c>
      <c r="AG12">
        <v>3.0999999999999996</v>
      </c>
      <c r="AH12">
        <f t="shared" si="4"/>
        <v>27.9</v>
      </c>
      <c r="AI12" s="9">
        <f t="shared" si="6"/>
        <v>1.8944795273986556E-2</v>
      </c>
      <c r="AJ12">
        <f t="shared" si="7"/>
        <v>0.26804324246406647</v>
      </c>
      <c r="AK12">
        <f t="shared" si="5"/>
        <v>2.9782582496007386E-2</v>
      </c>
    </row>
    <row r="13" spans="2:37" x14ac:dyDescent="0.2">
      <c r="B13">
        <v>8</v>
      </c>
      <c r="C13" t="s">
        <v>6</v>
      </c>
      <c r="E13" s="21">
        <v>0</v>
      </c>
      <c r="G13">
        <f t="shared" si="9"/>
        <v>0</v>
      </c>
      <c r="H13" t="s">
        <v>67</v>
      </c>
      <c r="I13">
        <v>6</v>
      </c>
      <c r="J13" s="25">
        <f t="shared" si="8"/>
        <v>0</v>
      </c>
      <c r="R13" s="5" t="s">
        <v>96</v>
      </c>
      <c r="S13" s="5">
        <v>0.109</v>
      </c>
      <c r="T13" s="6">
        <v>6</v>
      </c>
      <c r="U13" s="6" t="s">
        <v>76</v>
      </c>
      <c r="V13" s="22">
        <v>12</v>
      </c>
      <c r="W13">
        <f t="shared" si="0"/>
        <v>0.65400000000000003</v>
      </c>
      <c r="X13" s="8">
        <f t="shared" si="1"/>
        <v>8.4120094168200837E-4</v>
      </c>
      <c r="Y13">
        <f t="shared" si="2"/>
        <v>2.0351495617975713E-2</v>
      </c>
      <c r="Z13">
        <f t="shared" si="3"/>
        <v>3.3919159363292855E-3</v>
      </c>
      <c r="AF13">
        <v>10</v>
      </c>
      <c r="AG13">
        <v>7.9</v>
      </c>
      <c r="AH13">
        <f t="shared" si="4"/>
        <v>79</v>
      </c>
      <c r="AI13" s="9">
        <f t="shared" si="6"/>
        <v>5.3642968696951183E-2</v>
      </c>
      <c r="AJ13">
        <f t="shared" si="7"/>
        <v>0.75897548941438187</v>
      </c>
      <c r="AK13">
        <f t="shared" si="5"/>
        <v>7.5897548941438187E-2</v>
      </c>
    </row>
    <row r="14" spans="2:37" x14ac:dyDescent="0.2">
      <c r="B14">
        <v>8</v>
      </c>
      <c r="C14" t="s">
        <v>7</v>
      </c>
      <c r="E14" s="21">
        <v>0</v>
      </c>
      <c r="G14">
        <f t="shared" si="9"/>
        <v>0</v>
      </c>
      <c r="H14" t="s">
        <v>67</v>
      </c>
      <c r="I14">
        <v>7</v>
      </c>
      <c r="J14" s="25">
        <f t="shared" si="8"/>
        <v>0</v>
      </c>
      <c r="R14" s="3" t="s">
        <v>98</v>
      </c>
      <c r="S14" s="3">
        <v>0.08</v>
      </c>
      <c r="T14" s="4">
        <v>6</v>
      </c>
      <c r="U14" s="4" t="s">
        <v>67</v>
      </c>
      <c r="V14" s="22">
        <v>13</v>
      </c>
      <c r="W14">
        <f t="shared" si="0"/>
        <v>0.48</v>
      </c>
      <c r="X14" s="8">
        <f t="shared" si="1"/>
        <v>6.1739518655560242E-4</v>
      </c>
      <c r="Y14">
        <f t="shared" si="2"/>
        <v>1.4936877517780339E-2</v>
      </c>
      <c r="Z14">
        <f t="shared" si="3"/>
        <v>2.4894795862967231E-3</v>
      </c>
      <c r="AF14">
        <v>11</v>
      </c>
      <c r="AG14">
        <v>9.1000000000000014</v>
      </c>
      <c r="AH14">
        <f t="shared" si="4"/>
        <v>100.10000000000002</v>
      </c>
      <c r="AI14" s="9">
        <f t="shared" si="6"/>
        <v>6.7970394513478666E-2</v>
      </c>
      <c r="AJ14">
        <f t="shared" si="7"/>
        <v>0.96168919608075487</v>
      </c>
      <c r="AK14">
        <f t="shared" si="5"/>
        <v>8.7426290552795896E-2</v>
      </c>
    </row>
    <row r="15" spans="2:37" x14ac:dyDescent="0.2">
      <c r="B15">
        <v>9</v>
      </c>
      <c r="C15" t="s">
        <v>8</v>
      </c>
      <c r="E15" s="21">
        <v>0</v>
      </c>
      <c r="G15">
        <f t="shared" si="9"/>
        <v>0</v>
      </c>
      <c r="H15" t="s">
        <v>67</v>
      </c>
      <c r="I15">
        <v>8</v>
      </c>
      <c r="J15" s="25">
        <f t="shared" si="8"/>
        <v>0</v>
      </c>
      <c r="R15" s="5" t="s">
        <v>58</v>
      </c>
      <c r="S15" s="5">
        <v>8.1823999999999995</v>
      </c>
      <c r="T15" s="6">
        <v>7</v>
      </c>
      <c r="U15" s="6" t="s">
        <v>57</v>
      </c>
      <c r="V15" s="22">
        <v>14</v>
      </c>
      <c r="W15">
        <f t="shared" si="0"/>
        <v>57.276799999999994</v>
      </c>
      <c r="X15" s="8">
        <f t="shared" si="1"/>
        <v>7.3671709627724846E-2</v>
      </c>
      <c r="Y15">
        <f t="shared" si="2"/>
        <v>1.7823678046050018</v>
      </c>
      <c r="Z15">
        <f t="shared" si="3"/>
        <v>0.25462397208642884</v>
      </c>
      <c r="AF15">
        <v>12</v>
      </c>
      <c r="AG15">
        <v>10.5</v>
      </c>
      <c r="AH15">
        <f t="shared" si="4"/>
        <v>126</v>
      </c>
      <c r="AI15" s="9">
        <f t="shared" si="6"/>
        <v>8.5557139947036065E-2</v>
      </c>
      <c r="AJ15">
        <f t="shared" si="7"/>
        <v>1.2105178691925584</v>
      </c>
      <c r="AK15">
        <f t="shared" si="5"/>
        <v>0.10087648909937987</v>
      </c>
    </row>
    <row r="16" spans="2:37" x14ac:dyDescent="0.2">
      <c r="B16">
        <v>10</v>
      </c>
      <c r="C16" t="s">
        <v>9</v>
      </c>
      <c r="E16" s="21">
        <v>0</v>
      </c>
      <c r="G16">
        <f t="shared" si="9"/>
        <v>0</v>
      </c>
      <c r="H16" t="s">
        <v>60</v>
      </c>
      <c r="I16">
        <v>9</v>
      </c>
      <c r="J16" s="25">
        <f t="shared" si="8"/>
        <v>0</v>
      </c>
      <c r="R16" s="3" t="s">
        <v>70</v>
      </c>
      <c r="S16" s="3">
        <v>5.7110999999999992</v>
      </c>
      <c r="T16" s="4">
        <v>7</v>
      </c>
      <c r="U16" s="4" t="s">
        <v>60</v>
      </c>
      <c r="V16" s="22">
        <v>15</v>
      </c>
      <c r="W16">
        <f t="shared" si="0"/>
        <v>39.977699999999992</v>
      </c>
      <c r="X16" s="8">
        <f t="shared" si="1"/>
        <v>5.1420915728258132E-2</v>
      </c>
      <c r="Y16">
        <f t="shared" si="2"/>
        <v>1.2440458507136811</v>
      </c>
      <c r="Z16">
        <f t="shared" si="3"/>
        <v>0.17772083581624015</v>
      </c>
      <c r="AF16">
        <v>13</v>
      </c>
      <c r="AG16">
        <v>10.899999999999999</v>
      </c>
      <c r="AH16">
        <f t="shared" si="4"/>
        <v>141.69999999999999</v>
      </c>
      <c r="AI16" s="9">
        <f t="shared" si="6"/>
        <v>9.6217831194404843E-2</v>
      </c>
      <c r="AJ16">
        <f t="shared" si="7"/>
        <v>1.3613522386078216</v>
      </c>
      <c r="AK16">
        <f t="shared" si="5"/>
        <v>0.10471940296983243</v>
      </c>
    </row>
    <row r="17" spans="2:37" x14ac:dyDescent="0.2">
      <c r="B17">
        <v>10</v>
      </c>
      <c r="C17" t="s">
        <v>10</v>
      </c>
      <c r="E17" s="21">
        <v>2.0346410411596627E-2</v>
      </c>
      <c r="G17">
        <f t="shared" si="9"/>
        <v>2.0346410411596627E-3</v>
      </c>
      <c r="H17" t="s">
        <v>76</v>
      </c>
      <c r="I17">
        <v>10</v>
      </c>
      <c r="J17" s="25">
        <f t="shared" si="8"/>
        <v>1.8676169307997523E-2</v>
      </c>
      <c r="R17" s="3" t="s">
        <v>83</v>
      </c>
      <c r="S17" s="3">
        <v>0.87059999999999993</v>
      </c>
      <c r="T17" s="4">
        <v>7</v>
      </c>
      <c r="U17" s="4" t="s">
        <v>73</v>
      </c>
      <c r="V17" s="22">
        <v>16</v>
      </c>
      <c r="W17">
        <f t="shared" si="0"/>
        <v>6.0941999999999998</v>
      </c>
      <c r="X17" s="8">
        <f t="shared" si="1"/>
        <v>7.8386036373065682E-3</v>
      </c>
      <c r="Y17">
        <f t="shared" si="2"/>
        <v>0.18964233118511864</v>
      </c>
      <c r="Z17">
        <f t="shared" si="3"/>
        <v>2.7091761597874093E-2</v>
      </c>
      <c r="AF17">
        <v>14</v>
      </c>
      <c r="AG17">
        <v>10.700000000000003</v>
      </c>
      <c r="AH17">
        <f t="shared" si="4"/>
        <v>149.80000000000004</v>
      </c>
      <c r="AI17" s="9">
        <f t="shared" si="6"/>
        <v>0.1017179330481429</v>
      </c>
      <c r="AJ17">
        <f t="shared" si="7"/>
        <v>1.4391712444844864</v>
      </c>
      <c r="AK17">
        <f t="shared" si="5"/>
        <v>0.10279794603460617</v>
      </c>
    </row>
    <row r="18" spans="2:37" x14ac:dyDescent="0.2">
      <c r="B18">
        <v>1</v>
      </c>
      <c r="C18" t="s">
        <v>11</v>
      </c>
      <c r="E18" s="21">
        <v>12.780415015702763</v>
      </c>
      <c r="G18">
        <f t="shared" si="9"/>
        <v>12.780415015702763</v>
      </c>
      <c r="H18" t="s">
        <v>76</v>
      </c>
      <c r="I18">
        <v>11</v>
      </c>
      <c r="J18" s="25">
        <f>+E18*$L$24</f>
        <v>11.731268063072958</v>
      </c>
      <c r="R18" s="3" t="s">
        <v>2</v>
      </c>
      <c r="S18" s="3">
        <v>0.21390000000000001</v>
      </c>
      <c r="T18" s="4">
        <v>7</v>
      </c>
      <c r="U18" s="4" t="s">
        <v>67</v>
      </c>
      <c r="V18" s="22">
        <v>17</v>
      </c>
      <c r="W18">
        <f t="shared" si="0"/>
        <v>1.4973000000000001</v>
      </c>
      <c r="X18" s="8">
        <f t="shared" si="1"/>
        <v>1.9258871100618826E-3</v>
      </c>
      <c r="Y18">
        <f t="shared" si="2"/>
        <v>4.6593722307026054E-2</v>
      </c>
      <c r="Z18">
        <f t="shared" si="3"/>
        <v>6.6562460438608648E-3</v>
      </c>
      <c r="AF18">
        <v>15</v>
      </c>
      <c r="AG18">
        <v>9.5</v>
      </c>
      <c r="AH18">
        <f t="shared" si="4"/>
        <v>142.5</v>
      </c>
      <c r="AI18" s="9">
        <f t="shared" si="6"/>
        <v>9.6761051130576509E-2</v>
      </c>
      <c r="AJ18">
        <f t="shared" si="7"/>
        <v>1.3690380663487267</v>
      </c>
      <c r="AK18">
        <f t="shared" si="5"/>
        <v>9.1269204423248443E-2</v>
      </c>
    </row>
    <row r="19" spans="2:37" x14ac:dyDescent="0.2">
      <c r="B19">
        <v>2</v>
      </c>
      <c r="C19" t="s">
        <v>12</v>
      </c>
      <c r="E19" s="21">
        <v>7.4665520498094713</v>
      </c>
      <c r="G19">
        <f t="shared" si="9"/>
        <v>3.7332760249047356</v>
      </c>
      <c r="H19" t="s">
        <v>60</v>
      </c>
      <c r="I19">
        <v>12</v>
      </c>
      <c r="J19" s="25">
        <f t="shared" si="8"/>
        <v>6.853621224004149</v>
      </c>
      <c r="R19" s="3" t="s">
        <v>59</v>
      </c>
      <c r="S19" s="3">
        <v>9.3793000000000024</v>
      </c>
      <c r="T19" s="4">
        <v>8</v>
      </c>
      <c r="U19" s="4" t="s">
        <v>60</v>
      </c>
      <c r="V19" s="22">
        <v>18</v>
      </c>
      <c r="W19">
        <f t="shared" si="0"/>
        <v>75.034400000000019</v>
      </c>
      <c r="X19" s="8">
        <f t="shared" si="1"/>
        <v>9.6512244554349397E-2</v>
      </c>
      <c r="Y19">
        <f t="shared" si="2"/>
        <v>2.3349575883752864</v>
      </c>
      <c r="Z19">
        <f t="shared" si="3"/>
        <v>0.29186969854691081</v>
      </c>
      <c r="AF19">
        <v>16</v>
      </c>
      <c r="AG19">
        <v>7.7000000000000028</v>
      </c>
      <c r="AH19">
        <f t="shared" si="4"/>
        <v>123.20000000000005</v>
      </c>
      <c r="AI19" s="9">
        <f t="shared" si="6"/>
        <v>8.3655870170435298E-2</v>
      </c>
      <c r="AJ19">
        <f t="shared" si="7"/>
        <v>1.1836174720993908</v>
      </c>
      <c r="AK19">
        <f t="shared" si="5"/>
        <v>7.3976092006211927E-2</v>
      </c>
    </row>
    <row r="20" spans="2:37" x14ac:dyDescent="0.2">
      <c r="B20">
        <v>2</v>
      </c>
      <c r="C20" t="s">
        <v>13</v>
      </c>
      <c r="E20" s="21">
        <v>0</v>
      </c>
      <c r="G20">
        <f t="shared" si="9"/>
        <v>0</v>
      </c>
      <c r="H20" t="s">
        <v>60</v>
      </c>
      <c r="I20">
        <v>13</v>
      </c>
      <c r="J20" s="25">
        <f t="shared" si="8"/>
        <v>0</v>
      </c>
      <c r="R20" s="5" t="s">
        <v>66</v>
      </c>
      <c r="S20" s="5">
        <v>1.7669999999999999</v>
      </c>
      <c r="T20" s="6">
        <v>8</v>
      </c>
      <c r="U20" s="6" t="s">
        <v>67</v>
      </c>
      <c r="V20" s="22">
        <v>19</v>
      </c>
      <c r="W20">
        <f t="shared" si="0"/>
        <v>14.135999999999999</v>
      </c>
      <c r="X20" s="8">
        <f t="shared" si="1"/>
        <v>1.818228824406249E-2</v>
      </c>
      <c r="Y20">
        <f t="shared" si="2"/>
        <v>0.43989104289863096</v>
      </c>
      <c r="Z20">
        <f t="shared" si="3"/>
        <v>5.498638036232887E-2</v>
      </c>
      <c r="AF20">
        <v>17</v>
      </c>
      <c r="AG20">
        <v>6.6999999999999886</v>
      </c>
      <c r="AH20">
        <f t="shared" si="4"/>
        <v>113.89999999999981</v>
      </c>
      <c r="AI20" s="9">
        <f t="shared" si="6"/>
        <v>7.7340938412439608E-2</v>
      </c>
      <c r="AJ20">
        <f t="shared" si="7"/>
        <v>1.0942697246113664</v>
      </c>
      <c r="AK20">
        <f t="shared" si="5"/>
        <v>6.436880733008038E-2</v>
      </c>
    </row>
    <row r="21" spans="2:37" x14ac:dyDescent="0.2">
      <c r="B21">
        <v>2</v>
      </c>
      <c r="C21" t="s">
        <v>14</v>
      </c>
      <c r="E21" s="21">
        <v>1.7028995710661299</v>
      </c>
      <c r="G21">
        <f t="shared" si="9"/>
        <v>0.85144978553306494</v>
      </c>
      <c r="H21" t="s">
        <v>76</v>
      </c>
      <c r="I21">
        <v>14</v>
      </c>
      <c r="J21" s="25">
        <f t="shared" si="8"/>
        <v>1.5631081876545958</v>
      </c>
      <c r="R21" s="3" t="s">
        <v>68</v>
      </c>
      <c r="S21" s="3">
        <v>3.4165000000000005</v>
      </c>
      <c r="T21" s="4">
        <v>8</v>
      </c>
      <c r="U21" s="4" t="s">
        <v>57</v>
      </c>
      <c r="V21" s="22">
        <v>20</v>
      </c>
      <c r="W21">
        <f t="shared" si="0"/>
        <v>27.332000000000004</v>
      </c>
      <c r="X21" s="8">
        <f t="shared" si="1"/>
        <v>3.5155510914453604E-2</v>
      </c>
      <c r="Y21">
        <f t="shared" si="2"/>
        <v>0.85053070065827574</v>
      </c>
      <c r="Z21">
        <f t="shared" si="3"/>
        <v>0.10631633758228447</v>
      </c>
      <c r="AF21">
        <v>18</v>
      </c>
      <c r="AG21">
        <v>6.2000000000000028</v>
      </c>
      <c r="AH21">
        <f t="shared" si="4"/>
        <v>111.60000000000005</v>
      </c>
      <c r="AI21" s="9">
        <f t="shared" si="6"/>
        <v>7.5779181095946266E-2</v>
      </c>
      <c r="AJ21">
        <f t="shared" si="7"/>
        <v>1.0721729698562665</v>
      </c>
      <c r="AK21">
        <f t="shared" si="5"/>
        <v>5.9565164992014807E-2</v>
      </c>
    </row>
    <row r="22" spans="2:37" x14ac:dyDescent="0.2">
      <c r="B22">
        <v>3</v>
      </c>
      <c r="C22" t="s">
        <v>15</v>
      </c>
      <c r="E22" s="21">
        <v>11.160258897359466</v>
      </c>
      <c r="G22">
        <f t="shared" si="9"/>
        <v>3.720086299119822</v>
      </c>
      <c r="H22" t="s">
        <v>60</v>
      </c>
      <c r="I22">
        <v>15</v>
      </c>
      <c r="J22" s="25">
        <f t="shared" si="8"/>
        <v>10.244110900730382</v>
      </c>
      <c r="R22" s="5" t="s">
        <v>80</v>
      </c>
      <c r="S22" s="5">
        <v>1.5335999999999999</v>
      </c>
      <c r="T22" s="6">
        <v>8</v>
      </c>
      <c r="U22" s="6" t="s">
        <v>73</v>
      </c>
      <c r="V22" s="22">
        <v>21</v>
      </c>
      <c r="W22">
        <f t="shared" si="0"/>
        <v>12.268799999999999</v>
      </c>
      <c r="X22" s="8">
        <f t="shared" si="1"/>
        <v>1.5780620968361199E-2</v>
      </c>
      <c r="Y22">
        <f t="shared" si="2"/>
        <v>0.38178658935446547</v>
      </c>
      <c r="Z22">
        <f t="shared" si="3"/>
        <v>4.7723323669308183E-2</v>
      </c>
      <c r="AF22">
        <v>19</v>
      </c>
      <c r="AG22">
        <v>2.8</v>
      </c>
      <c r="AH22">
        <f t="shared" si="4"/>
        <v>53.199999999999996</v>
      </c>
      <c r="AI22" s="9">
        <f t="shared" si="6"/>
        <v>3.6124125755415223E-2</v>
      </c>
      <c r="AJ22">
        <f t="shared" si="7"/>
        <v>0.51110754477019127</v>
      </c>
      <c r="AK22">
        <f t="shared" si="5"/>
        <v>2.6900397093167962E-2</v>
      </c>
    </row>
    <row r="23" spans="2:37" x14ac:dyDescent="0.2">
      <c r="B23">
        <v>3</v>
      </c>
      <c r="C23" t="s">
        <v>16</v>
      </c>
      <c r="E23" s="21">
        <v>1.104650018395414</v>
      </c>
      <c r="G23">
        <f t="shared" si="9"/>
        <v>0.36821667279847131</v>
      </c>
      <c r="H23" t="s">
        <v>76</v>
      </c>
      <c r="I23">
        <v>16</v>
      </c>
      <c r="J23" s="25">
        <f t="shared" si="8"/>
        <v>1.0139690663998751</v>
      </c>
      <c r="R23" s="5" t="s">
        <v>104</v>
      </c>
      <c r="S23" s="5">
        <v>3.3300000000000003E-2</v>
      </c>
      <c r="T23" s="6">
        <v>8</v>
      </c>
      <c r="U23" s="6" t="s">
        <v>76</v>
      </c>
      <c r="V23" s="22">
        <v>22</v>
      </c>
      <c r="W23">
        <f t="shared" si="0"/>
        <v>0.26640000000000003</v>
      </c>
      <c r="X23" s="8">
        <f t="shared" si="1"/>
        <v>3.426543285383594E-4</v>
      </c>
      <c r="Y23">
        <f t="shared" si="2"/>
        <v>8.2899670223680888E-3</v>
      </c>
      <c r="Z23">
        <f t="shared" si="3"/>
        <v>1.0362458777960111E-3</v>
      </c>
      <c r="AF23">
        <v>20</v>
      </c>
      <c r="AG23">
        <v>2.2000000000000002</v>
      </c>
      <c r="AH23">
        <f t="shared" si="4"/>
        <v>44</v>
      </c>
      <c r="AI23" s="9">
        <f t="shared" si="6"/>
        <v>2.9877096489441167E-2</v>
      </c>
      <c r="AJ23">
        <f t="shared" si="7"/>
        <v>0.42272052574978231</v>
      </c>
      <c r="AK23">
        <f t="shared" si="5"/>
        <v>2.1136026287489115E-2</v>
      </c>
    </row>
    <row r="24" spans="2:37" x14ac:dyDescent="0.2">
      <c r="B24">
        <v>2</v>
      </c>
      <c r="C24" t="s">
        <v>17</v>
      </c>
      <c r="E24" s="21">
        <v>2.7567701519595452E-3</v>
      </c>
      <c r="G24">
        <f t="shared" si="9"/>
        <v>1.3783850759797726E-3</v>
      </c>
      <c r="H24" t="s">
        <v>337</v>
      </c>
      <c r="I24">
        <v>17</v>
      </c>
      <c r="J24" s="25">
        <f t="shared" si="8"/>
        <v>2.5304663112411048E-3</v>
      </c>
      <c r="L24">
        <f>+(E5-14)/E5</f>
        <v>0.91790978999189288</v>
      </c>
      <c r="R24" s="3" t="s">
        <v>62</v>
      </c>
      <c r="S24" s="3">
        <v>8.9827999999999992</v>
      </c>
      <c r="T24" s="4">
        <v>9</v>
      </c>
      <c r="U24" s="4" t="s">
        <v>57</v>
      </c>
      <c r="V24" s="22">
        <v>23</v>
      </c>
      <c r="W24">
        <f t="shared" si="0"/>
        <v>80.845199999999991</v>
      </c>
      <c r="X24" s="8">
        <f t="shared" si="1"/>
        <v>0.10398632778359372</v>
      </c>
      <c r="Y24">
        <f t="shared" si="2"/>
        <v>2.5157809381259479</v>
      </c>
      <c r="Z24">
        <f t="shared" si="3"/>
        <v>0.27953121534732756</v>
      </c>
      <c r="AF24">
        <v>21</v>
      </c>
      <c r="AG24">
        <v>2</v>
      </c>
      <c r="AH24">
        <f t="shared" si="4"/>
        <v>42</v>
      </c>
      <c r="AI24" s="9">
        <f t="shared" si="6"/>
        <v>2.8519046649012024E-2</v>
      </c>
      <c r="AJ24">
        <f t="shared" si="7"/>
        <v>0.40350595639751946</v>
      </c>
      <c r="AK24">
        <f t="shared" si="5"/>
        <v>1.9214569352262831E-2</v>
      </c>
    </row>
    <row r="25" spans="2:37" x14ac:dyDescent="0.2">
      <c r="B25">
        <v>1</v>
      </c>
      <c r="C25" t="s">
        <v>18</v>
      </c>
      <c r="E25" s="21">
        <v>0.93023540589214981</v>
      </c>
      <c r="G25">
        <f t="shared" si="9"/>
        <v>0.93023540589214981</v>
      </c>
      <c r="H25" t="s">
        <v>337</v>
      </c>
      <c r="I25">
        <v>18</v>
      </c>
      <c r="J25" s="25">
        <f t="shared" si="8"/>
        <v>0.85387218606548643</v>
      </c>
      <c r="R25" s="5" t="s">
        <v>74</v>
      </c>
      <c r="S25" s="5">
        <v>1.6554000000000002</v>
      </c>
      <c r="T25" s="6">
        <v>9</v>
      </c>
      <c r="U25" s="6" t="s">
        <v>60</v>
      </c>
      <c r="V25" s="22">
        <v>24</v>
      </c>
      <c r="W25">
        <f t="shared" si="0"/>
        <v>14.898600000000002</v>
      </c>
      <c r="X25" s="8">
        <f t="shared" si="1"/>
        <v>1.916317484670271E-2</v>
      </c>
      <c r="Y25">
        <f t="shared" si="2"/>
        <v>0.46362200705500461</v>
      </c>
      <c r="Z25">
        <f t="shared" si="3"/>
        <v>5.151355633944496E-2</v>
      </c>
      <c r="AF25">
        <v>22</v>
      </c>
      <c r="AG25">
        <v>1.8</v>
      </c>
      <c r="AH25">
        <f t="shared" si="4"/>
        <v>39.6</v>
      </c>
      <c r="AI25" s="9">
        <f t="shared" si="6"/>
        <v>2.6889386840497052E-2</v>
      </c>
      <c r="AJ25">
        <f t="shared" si="7"/>
        <v>0.38044847317480407</v>
      </c>
      <c r="AK25">
        <f t="shared" si="5"/>
        <v>1.7293112417036547E-2</v>
      </c>
    </row>
    <row r="26" spans="2:37" x14ac:dyDescent="0.2">
      <c r="B26">
        <v>4</v>
      </c>
      <c r="C26" t="s">
        <v>19</v>
      </c>
      <c r="E26" s="21">
        <v>0.10917619726286963</v>
      </c>
      <c r="G26">
        <f t="shared" si="9"/>
        <v>2.7294049315717408E-2</v>
      </c>
      <c r="H26" t="s">
        <v>60</v>
      </c>
      <c r="I26">
        <v>19</v>
      </c>
      <c r="J26" s="25">
        <f t="shared" si="8"/>
        <v>0.10021390030167414</v>
      </c>
      <c r="R26" s="3" t="s">
        <v>77</v>
      </c>
      <c r="S26" s="5">
        <v>2.3319999999999999</v>
      </c>
      <c r="T26" s="4">
        <v>9</v>
      </c>
      <c r="U26" s="4" t="s">
        <v>67</v>
      </c>
      <c r="V26" s="22">
        <v>25</v>
      </c>
      <c r="W26">
        <f t="shared" si="0"/>
        <v>20.988</v>
      </c>
      <c r="X26" s="8">
        <f t="shared" si="1"/>
        <v>2.6995604532143717E-2</v>
      </c>
      <c r="Y26">
        <f t="shared" si="2"/>
        <v>0.65311496946494541</v>
      </c>
      <c r="Z26">
        <f t="shared" si="3"/>
        <v>7.2568329940549486E-2</v>
      </c>
      <c r="AF26">
        <v>23</v>
      </c>
      <c r="AG26">
        <v>1.6</v>
      </c>
      <c r="AH26">
        <f t="shared" si="4"/>
        <v>36.800000000000004</v>
      </c>
      <c r="AI26" s="9">
        <f t="shared" si="6"/>
        <v>2.498811706389625E-2</v>
      </c>
      <c r="AJ26">
        <f t="shared" si="7"/>
        <v>0.35354807608163613</v>
      </c>
      <c r="AK26">
        <f t="shared" si="5"/>
        <v>1.5371655481810267E-2</v>
      </c>
    </row>
    <row r="27" spans="2:37" x14ac:dyDescent="0.2">
      <c r="B27">
        <v>4</v>
      </c>
      <c r="C27" t="s">
        <v>20</v>
      </c>
      <c r="E27" s="21">
        <v>8.0319531465509115</v>
      </c>
      <c r="G27">
        <f t="shared" si="9"/>
        <v>2.0079882866377279</v>
      </c>
      <c r="H27" t="s">
        <v>60</v>
      </c>
      <c r="I27">
        <v>20</v>
      </c>
      <c r="J27" s="25">
        <f t="shared" si="8"/>
        <v>7.3726084259752707</v>
      </c>
      <c r="R27" s="5" t="s">
        <v>78</v>
      </c>
      <c r="S27" s="5">
        <v>0.71689999999999998</v>
      </c>
      <c r="T27" s="6">
        <v>9</v>
      </c>
      <c r="U27" s="6" t="s">
        <v>76</v>
      </c>
      <c r="V27" s="22">
        <v>26</v>
      </c>
      <c r="W27">
        <f t="shared" si="0"/>
        <v>6.4520999999999997</v>
      </c>
      <c r="X27" s="8">
        <f t="shared" si="1"/>
        <v>8.2989489232820884E-3</v>
      </c>
      <c r="Y27">
        <f t="shared" si="2"/>
        <v>0.2007796404843136</v>
      </c>
      <c r="Z27">
        <f t="shared" si="3"/>
        <v>2.230884894270151E-2</v>
      </c>
      <c r="AF27">
        <v>24</v>
      </c>
      <c r="AG27">
        <v>1.5</v>
      </c>
      <c r="AH27">
        <f t="shared" si="4"/>
        <v>36</v>
      </c>
      <c r="AI27" s="9">
        <f t="shared" si="6"/>
        <v>2.4444897127724591E-2</v>
      </c>
      <c r="AJ27">
        <f t="shared" si="7"/>
        <v>0.34586224834073098</v>
      </c>
      <c r="AK27">
        <f t="shared" si="5"/>
        <v>1.4410927014197125E-2</v>
      </c>
    </row>
    <row r="28" spans="2:37" x14ac:dyDescent="0.2">
      <c r="B28">
        <v>4</v>
      </c>
      <c r="C28" t="s">
        <v>21</v>
      </c>
      <c r="E28" s="21">
        <v>1.0696398420040325</v>
      </c>
      <c r="G28">
        <f t="shared" si="9"/>
        <v>0.26740996050100813</v>
      </c>
      <c r="H28" t="s">
        <v>76</v>
      </c>
      <c r="I28">
        <v>21</v>
      </c>
      <c r="J28" s="25">
        <f t="shared" si="8"/>
        <v>0.98183288274088298</v>
      </c>
      <c r="R28" s="5" t="s">
        <v>86</v>
      </c>
      <c r="S28" s="5">
        <v>0.93319999999999992</v>
      </c>
      <c r="T28" s="6">
        <v>9</v>
      </c>
      <c r="U28" s="6" t="s">
        <v>73</v>
      </c>
      <c r="V28" s="22">
        <v>27</v>
      </c>
      <c r="W28">
        <f t="shared" si="0"/>
        <v>8.3987999999999996</v>
      </c>
      <c r="X28" s="8">
        <f t="shared" si="1"/>
        <v>1.0802872276756654E-2</v>
      </c>
      <c r="Y28">
        <f t="shared" si="2"/>
        <v>0.2613580143673615</v>
      </c>
      <c r="Z28">
        <f t="shared" si="3"/>
        <v>2.9039779374151278E-2</v>
      </c>
      <c r="AF28">
        <v>25</v>
      </c>
      <c r="AG28">
        <v>1.3</v>
      </c>
      <c r="AH28">
        <f t="shared" si="4"/>
        <v>32.5</v>
      </c>
      <c r="AI28" s="9">
        <f t="shared" si="6"/>
        <v>2.2068309906973588E-2</v>
      </c>
      <c r="AJ28">
        <f t="shared" si="7"/>
        <v>0.31223675197427098</v>
      </c>
      <c r="AK28">
        <f t="shared" si="5"/>
        <v>1.2489470078970839E-2</v>
      </c>
    </row>
    <row r="29" spans="2:37" x14ac:dyDescent="0.2">
      <c r="B29">
        <v>4</v>
      </c>
      <c r="C29" t="s">
        <v>22</v>
      </c>
      <c r="E29" s="21">
        <v>0.14396900965465625</v>
      </c>
      <c r="G29">
        <f t="shared" si="9"/>
        <v>3.5992252413664064E-2</v>
      </c>
      <c r="H29" t="s">
        <v>60</v>
      </c>
      <c r="I29">
        <v>22</v>
      </c>
      <c r="J29" s="25">
        <f t="shared" si="8"/>
        <v>0.13215056341744633</v>
      </c>
      <c r="R29" s="5" t="s">
        <v>63</v>
      </c>
      <c r="S29" s="5">
        <v>3.3315000000000001</v>
      </c>
      <c r="T29" s="6">
        <v>10</v>
      </c>
      <c r="U29" s="6" t="s">
        <v>60</v>
      </c>
      <c r="V29" s="22">
        <v>28</v>
      </c>
      <c r="W29">
        <f t="shared" si="0"/>
        <v>33.314999999999998</v>
      </c>
      <c r="X29" s="8">
        <f t="shared" si="1"/>
        <v>4.2851084666874782E-2</v>
      </c>
      <c r="Y29">
        <f t="shared" si="2"/>
        <v>1.0367126552184416</v>
      </c>
      <c r="Z29">
        <f t="shared" si="3"/>
        <v>0.10367126552184416</v>
      </c>
      <c r="AF29">
        <v>26</v>
      </c>
      <c r="AG29">
        <v>1.1000000000000001</v>
      </c>
      <c r="AH29">
        <f t="shared" si="4"/>
        <v>28.6</v>
      </c>
      <c r="AI29" s="9">
        <f t="shared" si="6"/>
        <v>1.9420112718136758E-2</v>
      </c>
      <c r="AJ29">
        <f t="shared" si="7"/>
        <v>0.27476834173735848</v>
      </c>
      <c r="AK29">
        <f t="shared" si="5"/>
        <v>1.0568013143744557E-2</v>
      </c>
    </row>
    <row r="30" spans="2:37" x14ac:dyDescent="0.2">
      <c r="B30">
        <v>5</v>
      </c>
      <c r="C30" t="s">
        <v>23</v>
      </c>
      <c r="E30" s="21">
        <v>8.972659902938368E-2</v>
      </c>
      <c r="G30">
        <f t="shared" si="9"/>
        <v>1.7945319805876735E-2</v>
      </c>
      <c r="H30" t="s">
        <v>60</v>
      </c>
      <c r="I30">
        <v>23</v>
      </c>
      <c r="J30" s="25">
        <f t="shared" si="8"/>
        <v>8.2360923671748354E-2</v>
      </c>
      <c r="R30" s="5" t="s">
        <v>84</v>
      </c>
      <c r="S30" s="5">
        <v>3.0536000000000003</v>
      </c>
      <c r="T30" s="6">
        <v>10</v>
      </c>
      <c r="U30" s="6" t="s">
        <v>57</v>
      </c>
      <c r="V30" s="22">
        <v>29</v>
      </c>
      <c r="W30">
        <f t="shared" si="0"/>
        <v>30.536000000000001</v>
      </c>
      <c r="X30" s="8">
        <f t="shared" si="1"/>
        <v>3.9276623784712243E-2</v>
      </c>
      <c r="Y30">
        <f t="shared" si="2"/>
        <v>0.95023435808945933</v>
      </c>
      <c r="Z30">
        <f t="shared" si="3"/>
        <v>9.5023435808945927E-2</v>
      </c>
      <c r="AF30">
        <v>27</v>
      </c>
      <c r="AG30">
        <v>0.9</v>
      </c>
      <c r="AH30">
        <f t="shared" si="4"/>
        <v>24.3</v>
      </c>
      <c r="AI30" s="9">
        <f t="shared" si="6"/>
        <v>1.6500305561214099E-2</v>
      </c>
      <c r="AJ30">
        <f t="shared" si="7"/>
        <v>0.23345701762999341</v>
      </c>
      <c r="AK30">
        <f t="shared" si="5"/>
        <v>8.6465562085182735E-3</v>
      </c>
    </row>
    <row r="31" spans="2:37" x14ac:dyDescent="0.2">
      <c r="B31">
        <v>5</v>
      </c>
      <c r="C31" t="s">
        <v>24</v>
      </c>
      <c r="E31" s="21">
        <v>0.32813986424607466</v>
      </c>
      <c r="G31">
        <f t="shared" si="9"/>
        <v>6.5627972849214927E-2</v>
      </c>
      <c r="H31" t="s">
        <v>57</v>
      </c>
      <c r="I31">
        <v>24</v>
      </c>
      <c r="J31" s="25">
        <f t="shared" si="8"/>
        <v>0.30120279387808263</v>
      </c>
      <c r="R31" s="3" t="s">
        <v>85</v>
      </c>
      <c r="S31" s="3">
        <v>2.3726000000000003</v>
      </c>
      <c r="T31" s="4">
        <v>10</v>
      </c>
      <c r="U31" s="4" t="s">
        <v>67</v>
      </c>
      <c r="V31" s="22">
        <v>30</v>
      </c>
      <c r="W31">
        <f t="shared" si="0"/>
        <v>23.726000000000003</v>
      </c>
      <c r="X31" s="8">
        <f t="shared" si="1"/>
        <v>3.0517329575454638E-2</v>
      </c>
      <c r="Y31">
        <f t="shared" si="2"/>
        <v>0.73831740830595083</v>
      </c>
      <c r="Z31">
        <f t="shared" si="3"/>
        <v>7.3831740830595086E-2</v>
      </c>
      <c r="AF31">
        <v>28</v>
      </c>
      <c r="AG31">
        <v>0</v>
      </c>
      <c r="AH31">
        <f t="shared" si="4"/>
        <v>0</v>
      </c>
      <c r="AI31" s="9">
        <f t="shared" si="6"/>
        <v>0</v>
      </c>
      <c r="AJ31">
        <f t="shared" si="7"/>
        <v>0</v>
      </c>
      <c r="AK31">
        <f t="shared" si="5"/>
        <v>0</v>
      </c>
    </row>
    <row r="32" spans="2:37" x14ac:dyDescent="0.2">
      <c r="B32">
        <v>5</v>
      </c>
      <c r="C32" t="s">
        <v>25</v>
      </c>
      <c r="E32" s="21">
        <v>0.73605269850226485</v>
      </c>
      <c r="G32">
        <f t="shared" si="9"/>
        <v>0.14721053970045297</v>
      </c>
      <c r="H32" t="s">
        <v>60</v>
      </c>
      <c r="I32">
        <v>25</v>
      </c>
      <c r="J32" s="25">
        <f t="shared" si="8"/>
        <v>0.67562997790517998</v>
      </c>
      <c r="R32" s="5" t="s">
        <v>88</v>
      </c>
      <c r="S32" s="5">
        <v>1.9381999999999999</v>
      </c>
      <c r="T32" s="6">
        <v>10</v>
      </c>
      <c r="U32" s="6" t="s">
        <v>73</v>
      </c>
      <c r="V32" s="22">
        <v>31</v>
      </c>
      <c r="W32">
        <f t="shared" si="0"/>
        <v>19.381999999999998</v>
      </c>
      <c r="X32" s="8">
        <f t="shared" si="1"/>
        <v>2.4929903137126428E-2</v>
      </c>
      <c r="Y32">
        <f t="shared" si="2"/>
        <v>0.60313866677003858</v>
      </c>
      <c r="Z32">
        <f t="shared" si="3"/>
        <v>6.0313866677003856E-2</v>
      </c>
      <c r="AF32">
        <v>29</v>
      </c>
      <c r="AG32">
        <v>0</v>
      </c>
      <c r="AH32">
        <f t="shared" si="4"/>
        <v>0</v>
      </c>
      <c r="AI32" s="9">
        <f t="shared" si="6"/>
        <v>0</v>
      </c>
      <c r="AJ32">
        <f t="shared" si="7"/>
        <v>0</v>
      </c>
      <c r="AK32">
        <f t="shared" si="5"/>
        <v>0</v>
      </c>
    </row>
    <row r="33" spans="2:37" x14ac:dyDescent="0.2">
      <c r="B33">
        <v>5</v>
      </c>
      <c r="C33" t="s">
        <v>26</v>
      </c>
      <c r="E33" s="21">
        <v>4.9157129528950714</v>
      </c>
      <c r="G33">
        <f t="shared" si="9"/>
        <v>0.98314259057901432</v>
      </c>
      <c r="H33" t="s">
        <v>60</v>
      </c>
      <c r="I33">
        <v>26</v>
      </c>
      <c r="J33" s="25">
        <f t="shared" si="8"/>
        <v>4.5121810442523422</v>
      </c>
      <c r="R33" s="5" t="s">
        <v>65</v>
      </c>
      <c r="S33" s="5">
        <v>2.0365000000000002</v>
      </c>
      <c r="T33" s="6">
        <v>11</v>
      </c>
      <c r="U33" s="6" t="s">
        <v>60</v>
      </c>
      <c r="V33" s="22">
        <v>32</v>
      </c>
      <c r="W33">
        <f t="shared" si="0"/>
        <v>22.401500000000002</v>
      </c>
      <c r="X33" s="8">
        <f t="shared" si="1"/>
        <v>2.8813704732552771E-2</v>
      </c>
      <c r="Y33">
        <f t="shared" si="2"/>
        <v>0.69710096190532567</v>
      </c>
      <c r="Z33">
        <f t="shared" si="3"/>
        <v>6.3372814718665973E-2</v>
      </c>
      <c r="AF33">
        <v>30</v>
      </c>
      <c r="AG33">
        <v>0</v>
      </c>
      <c r="AH33">
        <f t="shared" si="4"/>
        <v>0</v>
      </c>
      <c r="AI33" s="9">
        <f t="shared" si="6"/>
        <v>0</v>
      </c>
      <c r="AJ33">
        <f t="shared" si="7"/>
        <v>0</v>
      </c>
      <c r="AK33">
        <f t="shared" si="5"/>
        <v>0</v>
      </c>
    </row>
    <row r="34" spans="2:37" x14ac:dyDescent="0.2">
      <c r="B34">
        <v>5</v>
      </c>
      <c r="C34" t="s">
        <v>27</v>
      </c>
      <c r="E34" s="21">
        <v>7.6394073139720922E-2</v>
      </c>
      <c r="G34">
        <f t="shared" si="9"/>
        <v>1.5278814627944184E-2</v>
      </c>
      <c r="H34" t="s">
        <v>60</v>
      </c>
      <c r="I34">
        <v>27</v>
      </c>
      <c r="J34" s="25">
        <f t="shared" si="8"/>
        <v>7.0122867632306532E-2</v>
      </c>
      <c r="R34" s="5" t="s">
        <v>82</v>
      </c>
      <c r="S34" s="5">
        <v>3.1631000000000009</v>
      </c>
      <c r="T34" s="6">
        <v>11</v>
      </c>
      <c r="U34" s="6" t="s">
        <v>57</v>
      </c>
      <c r="V34" s="22">
        <v>33</v>
      </c>
      <c r="W34">
        <f t="shared" si="0"/>
        <v>34.794100000000007</v>
      </c>
      <c r="X34" s="8">
        <f t="shared" si="1"/>
        <v>4.4753562209446443E-2</v>
      </c>
      <c r="Y34">
        <f t="shared" si="2"/>
        <v>1.0827400209195854</v>
      </c>
      <c r="Z34">
        <f t="shared" si="3"/>
        <v>9.843091099268958E-2</v>
      </c>
      <c r="AF34">
        <v>31</v>
      </c>
      <c r="AG34">
        <v>0</v>
      </c>
      <c r="AH34">
        <f t="shared" si="4"/>
        <v>0</v>
      </c>
      <c r="AI34" s="9">
        <f t="shared" si="6"/>
        <v>0</v>
      </c>
      <c r="AJ34">
        <f t="shared" si="7"/>
        <v>0</v>
      </c>
      <c r="AK34">
        <f t="shared" si="5"/>
        <v>0</v>
      </c>
    </row>
    <row r="35" spans="2:37" x14ac:dyDescent="0.2">
      <c r="B35">
        <v>5</v>
      </c>
      <c r="C35" t="s">
        <v>28</v>
      </c>
      <c r="E35" s="21">
        <v>0</v>
      </c>
      <c r="G35">
        <f t="shared" si="9"/>
        <v>0</v>
      </c>
      <c r="H35" t="s">
        <v>76</v>
      </c>
      <c r="I35">
        <v>28</v>
      </c>
      <c r="J35" s="25">
        <f t="shared" si="8"/>
        <v>0</v>
      </c>
      <c r="R35" s="5" t="s">
        <v>89</v>
      </c>
      <c r="S35" s="5">
        <v>1.2678999999999996</v>
      </c>
      <c r="T35" s="6">
        <v>11</v>
      </c>
      <c r="U35" s="6" t="s">
        <v>67</v>
      </c>
      <c r="V35" s="22">
        <v>34</v>
      </c>
      <c r="W35">
        <f t="shared" si="0"/>
        <v>13.946899999999996</v>
      </c>
      <c r="X35" s="8">
        <f t="shared" si="1"/>
        <v>1.7939060265359019E-2</v>
      </c>
      <c r="Y35">
        <f t="shared" si="2"/>
        <v>0.43400653552652196</v>
      </c>
      <c r="Z35">
        <f t="shared" si="3"/>
        <v>3.9455139593320178E-2</v>
      </c>
      <c r="AF35">
        <v>32</v>
      </c>
      <c r="AG35">
        <v>0</v>
      </c>
      <c r="AH35">
        <f t="shared" si="4"/>
        <v>0</v>
      </c>
      <c r="AI35" s="9">
        <f t="shared" si="6"/>
        <v>0</v>
      </c>
      <c r="AJ35">
        <f t="shared" si="7"/>
        <v>0</v>
      </c>
      <c r="AK35">
        <f t="shared" si="5"/>
        <v>0</v>
      </c>
    </row>
    <row r="36" spans="2:37" x14ac:dyDescent="0.2">
      <c r="B36">
        <v>6</v>
      </c>
      <c r="C36" t="s">
        <v>29</v>
      </c>
      <c r="E36" s="21">
        <v>6.4126281962945831E-3</v>
      </c>
      <c r="G36">
        <f t="shared" si="9"/>
        <v>1.0687713660490971E-3</v>
      </c>
      <c r="H36" t="s">
        <v>60</v>
      </c>
      <c r="I36">
        <v>29</v>
      </c>
      <c r="J36" s="25">
        <f t="shared" si="8"/>
        <v>5.8862142009568517E-3</v>
      </c>
      <c r="R36" s="3" t="s">
        <v>97</v>
      </c>
      <c r="S36" s="3">
        <v>8.2199999999999995E-2</v>
      </c>
      <c r="T36" s="4">
        <v>11</v>
      </c>
      <c r="U36" s="4" t="s">
        <v>76</v>
      </c>
      <c r="V36" s="22">
        <v>35</v>
      </c>
      <c r="W36">
        <f t="shared" si="0"/>
        <v>0.90419999999999989</v>
      </c>
      <c r="X36" s="8">
        <f t="shared" si="1"/>
        <v>1.1630181826741159E-3</v>
      </c>
      <c r="Y36">
        <f t="shared" si="2"/>
        <v>2.8137343024118709E-2</v>
      </c>
      <c r="Z36">
        <f t="shared" si="3"/>
        <v>2.5579402749198827E-3</v>
      </c>
      <c r="AF36">
        <v>33</v>
      </c>
      <c r="AG36">
        <v>0</v>
      </c>
      <c r="AH36">
        <f t="shared" si="4"/>
        <v>0</v>
      </c>
      <c r="AI36" s="9">
        <f t="shared" si="6"/>
        <v>0</v>
      </c>
      <c r="AJ36">
        <f t="shared" si="7"/>
        <v>0</v>
      </c>
      <c r="AK36">
        <f t="shared" si="5"/>
        <v>0</v>
      </c>
    </row>
    <row r="37" spans="2:37" x14ac:dyDescent="0.2">
      <c r="B37">
        <v>6</v>
      </c>
      <c r="C37" t="s">
        <v>30</v>
      </c>
      <c r="E37" s="21">
        <v>0.27350955498811491</v>
      </c>
      <c r="G37">
        <f t="shared" si="9"/>
        <v>4.5584925831352485E-2</v>
      </c>
      <c r="H37" t="s">
        <v>57</v>
      </c>
      <c r="I37">
        <v>30</v>
      </c>
      <c r="J37" s="25">
        <f t="shared" si="8"/>
        <v>0.25105709817991662</v>
      </c>
      <c r="R37" s="5" t="s">
        <v>71</v>
      </c>
      <c r="S37" s="5">
        <v>2.2295999999999996</v>
      </c>
      <c r="T37" s="6">
        <v>12</v>
      </c>
      <c r="U37" s="6" t="s">
        <v>57</v>
      </c>
      <c r="V37" s="22">
        <v>36</v>
      </c>
      <c r="W37">
        <f t="shared" si="0"/>
        <v>26.755199999999995</v>
      </c>
      <c r="X37" s="8">
        <f t="shared" si="1"/>
        <v>3.4413607698609273E-2</v>
      </c>
      <c r="Y37">
        <f t="shared" si="2"/>
        <v>0.83258155284107593</v>
      </c>
      <c r="Z37">
        <f t="shared" si="3"/>
        <v>6.9381796070089666E-2</v>
      </c>
      <c r="AF37">
        <v>34</v>
      </c>
      <c r="AG37">
        <v>0</v>
      </c>
      <c r="AH37">
        <f t="shared" si="4"/>
        <v>0</v>
      </c>
      <c r="AI37" s="9">
        <f t="shared" si="6"/>
        <v>0</v>
      </c>
      <c r="AJ37">
        <f t="shared" si="7"/>
        <v>0</v>
      </c>
      <c r="AK37">
        <f t="shared" si="5"/>
        <v>0</v>
      </c>
    </row>
    <row r="38" spans="2:37" x14ac:dyDescent="0.2">
      <c r="B38">
        <v>6</v>
      </c>
      <c r="C38" t="s">
        <v>31</v>
      </c>
      <c r="E38" s="21">
        <v>0.56867594857222059</v>
      </c>
      <c r="G38">
        <f t="shared" si="9"/>
        <v>9.4779324762036765E-2</v>
      </c>
      <c r="H38" t="s">
        <v>60</v>
      </c>
      <c r="I38">
        <v>31</v>
      </c>
      <c r="J38" s="25">
        <f t="shared" si="8"/>
        <v>0.52199322052736752</v>
      </c>
      <c r="R38" s="5" t="s">
        <v>92</v>
      </c>
      <c r="S38" s="5">
        <v>0.219</v>
      </c>
      <c r="T38" s="6">
        <v>12</v>
      </c>
      <c r="U38" s="6" t="s">
        <v>60</v>
      </c>
      <c r="V38" s="22">
        <v>37</v>
      </c>
      <c r="W38">
        <f t="shared" si="0"/>
        <v>2.6280000000000001</v>
      </c>
      <c r="X38" s="8">
        <f t="shared" si="1"/>
        <v>3.3802386463919237E-3</v>
      </c>
      <c r="Y38">
        <f t="shared" si="2"/>
        <v>8.1779404409847364E-2</v>
      </c>
      <c r="Z38">
        <f t="shared" si="3"/>
        <v>6.8149503674872804E-3</v>
      </c>
      <c r="AF38">
        <v>35</v>
      </c>
      <c r="AG38">
        <v>0</v>
      </c>
      <c r="AH38">
        <f t="shared" si="4"/>
        <v>0</v>
      </c>
      <c r="AI38" s="9">
        <f t="shared" si="6"/>
        <v>0</v>
      </c>
      <c r="AJ38">
        <f t="shared" si="7"/>
        <v>0</v>
      </c>
      <c r="AK38">
        <f t="shared" si="5"/>
        <v>0</v>
      </c>
    </row>
    <row r="39" spans="2:37" x14ac:dyDescent="0.2">
      <c r="B39">
        <v>6</v>
      </c>
      <c r="C39" t="s">
        <v>32</v>
      </c>
      <c r="E39" s="21">
        <v>2.2593518898758167</v>
      </c>
      <c r="G39">
        <f t="shared" si="9"/>
        <v>0.37655864831263614</v>
      </c>
      <c r="H39" t="s">
        <v>60</v>
      </c>
      <c r="I39">
        <v>32</v>
      </c>
      <c r="J39" s="25">
        <f t="shared" si="8"/>
        <v>2.073881218753697</v>
      </c>
      <c r="R39" s="3" t="s">
        <v>93</v>
      </c>
      <c r="S39" s="3">
        <v>0.2006</v>
      </c>
      <c r="T39" s="4">
        <v>12</v>
      </c>
      <c r="U39" s="4" t="s">
        <v>73</v>
      </c>
      <c r="V39" s="22">
        <v>38</v>
      </c>
      <c r="W39">
        <f t="shared" si="0"/>
        <v>2.4072</v>
      </c>
      <c r="X39" s="8">
        <f t="shared" si="1"/>
        <v>3.0962368605763463E-3</v>
      </c>
      <c r="Y39">
        <f t="shared" si="2"/>
        <v>7.4908440751668401E-2</v>
      </c>
      <c r="Z39">
        <f t="shared" si="3"/>
        <v>6.2423700626390334E-3</v>
      </c>
      <c r="AF39">
        <v>36</v>
      </c>
      <c r="AG39">
        <v>0</v>
      </c>
      <c r="AH39">
        <f t="shared" si="4"/>
        <v>0</v>
      </c>
      <c r="AI39" s="9">
        <f t="shared" si="6"/>
        <v>0</v>
      </c>
      <c r="AJ39">
        <f t="shared" si="7"/>
        <v>0</v>
      </c>
      <c r="AK39">
        <f t="shared" si="5"/>
        <v>0</v>
      </c>
    </row>
    <row r="40" spans="2:37" x14ac:dyDescent="0.2">
      <c r="B40">
        <v>6</v>
      </c>
      <c r="C40" t="s">
        <v>33</v>
      </c>
      <c r="E40" s="21">
        <v>0.20367829201524951</v>
      </c>
      <c r="G40">
        <f t="shared" si="9"/>
        <v>3.3946382002541582E-2</v>
      </c>
      <c r="H40" t="s">
        <v>60</v>
      </c>
      <c r="I40">
        <v>33</v>
      </c>
      <c r="J40" s="25">
        <f t="shared" si="8"/>
        <v>0.18695829824962509</v>
      </c>
      <c r="R40" s="5" t="s">
        <v>94</v>
      </c>
      <c r="S40" s="5">
        <v>0.77190000000000003</v>
      </c>
      <c r="T40" s="6">
        <v>12</v>
      </c>
      <c r="U40" s="6" t="s">
        <v>67</v>
      </c>
      <c r="V40" s="22">
        <v>39</v>
      </c>
      <c r="W40">
        <f t="shared" si="0"/>
        <v>9.2628000000000004</v>
      </c>
      <c r="X40" s="8">
        <f t="shared" si="1"/>
        <v>1.191418361255674E-2</v>
      </c>
      <c r="Y40">
        <f t="shared" si="2"/>
        <v>0.28824439389936612</v>
      </c>
      <c r="Z40">
        <f t="shared" si="3"/>
        <v>2.4020366158280512E-2</v>
      </c>
      <c r="AF40">
        <v>37</v>
      </c>
      <c r="AG40">
        <v>0</v>
      </c>
      <c r="AH40">
        <f t="shared" si="4"/>
        <v>0</v>
      </c>
      <c r="AI40" s="9">
        <f t="shared" si="6"/>
        <v>0</v>
      </c>
      <c r="AJ40">
        <f t="shared" si="7"/>
        <v>0</v>
      </c>
      <c r="AK40">
        <f t="shared" si="5"/>
        <v>0</v>
      </c>
    </row>
    <row r="41" spans="2:37" x14ac:dyDescent="0.2">
      <c r="B41">
        <v>6</v>
      </c>
      <c r="C41" t="s">
        <v>34</v>
      </c>
      <c r="E41" s="21">
        <v>9.1183489894627566E-3</v>
      </c>
      <c r="G41">
        <f t="shared" si="9"/>
        <v>1.519724831577126E-3</v>
      </c>
      <c r="H41" t="s">
        <v>76</v>
      </c>
      <c r="I41">
        <v>34</v>
      </c>
      <c r="J41" s="25">
        <f t="shared" si="8"/>
        <v>8.3698218059905481E-3</v>
      </c>
      <c r="R41" s="3" t="s">
        <v>95</v>
      </c>
      <c r="S41" s="3">
        <v>0.80540000000000012</v>
      </c>
      <c r="T41" s="4">
        <v>13</v>
      </c>
      <c r="U41" s="4" t="s">
        <v>57</v>
      </c>
      <c r="V41" s="22">
        <v>40</v>
      </c>
      <c r="W41">
        <f t="shared" si="0"/>
        <v>10.470200000000002</v>
      </c>
      <c r="X41" s="8">
        <f t="shared" si="1"/>
        <v>1.3467189754738479E-2</v>
      </c>
      <c r="Y41">
        <f t="shared" si="2"/>
        <v>0.32581686455554948</v>
      </c>
      <c r="Z41">
        <f t="shared" si="3"/>
        <v>2.5062835735042269E-2</v>
      </c>
      <c r="AF41">
        <v>38</v>
      </c>
      <c r="AG41">
        <v>0</v>
      </c>
      <c r="AH41">
        <f t="shared" si="4"/>
        <v>0</v>
      </c>
      <c r="AI41" s="9">
        <f t="shared" si="6"/>
        <v>0</v>
      </c>
      <c r="AJ41">
        <f t="shared" si="7"/>
        <v>0</v>
      </c>
      <c r="AK41">
        <f t="shared" si="5"/>
        <v>0</v>
      </c>
    </row>
    <row r="42" spans="2:37" x14ac:dyDescent="0.2">
      <c r="B42">
        <v>6</v>
      </c>
      <c r="C42" t="s">
        <v>35</v>
      </c>
      <c r="E42" s="21">
        <v>1.8520617828300202E-2</v>
      </c>
      <c r="G42">
        <f t="shared" si="9"/>
        <v>3.0867696380500339E-3</v>
      </c>
      <c r="H42" t="s">
        <v>60</v>
      </c>
      <c r="I42">
        <v>35</v>
      </c>
      <c r="J42" s="25">
        <f t="shared" si="8"/>
        <v>1.7000256421295146E-2</v>
      </c>
      <c r="R42" s="5" t="s">
        <v>100</v>
      </c>
      <c r="S42" s="5">
        <v>6.9599999999999995E-2</v>
      </c>
      <c r="T42" s="6">
        <v>13</v>
      </c>
      <c r="U42" s="6" t="s">
        <v>60</v>
      </c>
      <c r="V42" s="22">
        <v>41</v>
      </c>
      <c r="W42">
        <f t="shared" si="0"/>
        <v>0.90479999999999994</v>
      </c>
      <c r="X42" s="8">
        <f t="shared" si="1"/>
        <v>1.1637899266573105E-3</v>
      </c>
      <c r="Y42">
        <f t="shared" si="2"/>
        <v>2.8156014121015937E-2</v>
      </c>
      <c r="Z42">
        <f t="shared" si="3"/>
        <v>2.165847240078149E-3</v>
      </c>
      <c r="AF42">
        <v>39</v>
      </c>
      <c r="AG42">
        <v>0</v>
      </c>
      <c r="AH42">
        <f t="shared" si="4"/>
        <v>0</v>
      </c>
      <c r="AI42" s="9">
        <f t="shared" si="6"/>
        <v>0</v>
      </c>
      <c r="AJ42">
        <f t="shared" si="7"/>
        <v>0</v>
      </c>
      <c r="AK42">
        <f t="shared" si="5"/>
        <v>0</v>
      </c>
    </row>
    <row r="43" spans="2:37" x14ac:dyDescent="0.2">
      <c r="B43">
        <v>7</v>
      </c>
      <c r="C43" t="s">
        <v>36</v>
      </c>
      <c r="E43" s="21">
        <v>3.8738257035135113E-3</v>
      </c>
      <c r="G43">
        <f t="shared" si="9"/>
        <v>5.5340367193050164E-4</v>
      </c>
      <c r="H43" t="s">
        <v>57</v>
      </c>
      <c r="I43">
        <v>36</v>
      </c>
      <c r="J43" s="25">
        <f t="shared" si="8"/>
        <v>3.555822537977284E-3</v>
      </c>
      <c r="R43" s="3" t="s">
        <v>103</v>
      </c>
      <c r="S43" s="3">
        <v>0.18319999999999995</v>
      </c>
      <c r="T43" s="4">
        <v>14</v>
      </c>
      <c r="U43" s="4" t="s">
        <v>57</v>
      </c>
      <c r="V43" s="22">
        <v>42</v>
      </c>
      <c r="W43">
        <f t="shared" si="0"/>
        <v>2.5647999999999991</v>
      </c>
      <c r="X43" s="8">
        <f t="shared" si="1"/>
        <v>3.2989482801621013E-3</v>
      </c>
      <c r="Y43">
        <f t="shared" si="2"/>
        <v>7.9812715536672921E-2</v>
      </c>
      <c r="Z43">
        <f t="shared" si="3"/>
        <v>5.7009082526194941E-3</v>
      </c>
      <c r="AF43">
        <v>40</v>
      </c>
      <c r="AG43">
        <v>0</v>
      </c>
      <c r="AH43">
        <f t="shared" si="4"/>
        <v>0</v>
      </c>
      <c r="AI43" s="9">
        <f t="shared" si="6"/>
        <v>0</v>
      </c>
      <c r="AJ43">
        <f t="shared" si="7"/>
        <v>0</v>
      </c>
      <c r="AK43">
        <f t="shared" si="5"/>
        <v>0</v>
      </c>
    </row>
    <row r="44" spans="2:37" x14ac:dyDescent="0.2">
      <c r="B44">
        <v>7</v>
      </c>
      <c r="C44" t="s">
        <v>37</v>
      </c>
      <c r="E44" s="21">
        <v>3.5118396655027626E-4</v>
      </c>
      <c r="G44">
        <f t="shared" si="9"/>
        <v>5.0169138078610896E-5</v>
      </c>
      <c r="H44" t="s">
        <v>60</v>
      </c>
      <c r="I44">
        <v>37</v>
      </c>
      <c r="J44" s="25">
        <f t="shared" si="8"/>
        <v>3.22355200984684E-4</v>
      </c>
      <c r="R44" s="5" t="s">
        <v>99</v>
      </c>
      <c r="S44" s="5">
        <v>0.14449999999999999</v>
      </c>
      <c r="T44" s="6">
        <v>15</v>
      </c>
      <c r="U44" s="6" t="s">
        <v>57</v>
      </c>
      <c r="V44" s="22">
        <v>43</v>
      </c>
      <c r="W44">
        <f t="shared" si="0"/>
        <v>2.1675</v>
      </c>
      <c r="X44" s="8">
        <f t="shared" si="1"/>
        <v>2.7879251392901425E-3</v>
      </c>
      <c r="Y44">
        <f t="shared" si="2"/>
        <v>6.7449337541226853E-2</v>
      </c>
      <c r="Z44">
        <f t="shared" si="3"/>
        <v>4.496622502748457E-3</v>
      </c>
      <c r="AF44">
        <v>48</v>
      </c>
      <c r="AH44">
        <f t="shared" si="4"/>
        <v>0</v>
      </c>
      <c r="AI44" s="9">
        <f t="shared" si="6"/>
        <v>0</v>
      </c>
      <c r="AJ44">
        <f t="shared" si="7"/>
        <v>0</v>
      </c>
      <c r="AK44">
        <f t="shared" si="5"/>
        <v>0</v>
      </c>
    </row>
    <row r="45" spans="2:37" x14ac:dyDescent="0.2">
      <c r="B45">
        <v>7</v>
      </c>
      <c r="C45" t="s">
        <v>38</v>
      </c>
      <c r="E45" s="21">
        <v>3.720347835125563E-3</v>
      </c>
      <c r="G45">
        <f t="shared" si="9"/>
        <v>5.3147826216079475E-4</v>
      </c>
      <c r="H45" t="s">
        <v>60</v>
      </c>
      <c r="I45">
        <v>38</v>
      </c>
      <c r="J45" s="25">
        <f t="shared" si="8"/>
        <v>3.4149437000368988E-3</v>
      </c>
      <c r="R45" s="5" t="s">
        <v>101</v>
      </c>
      <c r="S45" s="5">
        <v>0.36849999999999994</v>
      </c>
      <c r="T45" s="6">
        <v>16</v>
      </c>
      <c r="U45" s="6" t="s">
        <v>57</v>
      </c>
      <c r="V45" s="22">
        <v>44</v>
      </c>
      <c r="W45">
        <f t="shared" si="0"/>
        <v>5.895999999999999</v>
      </c>
      <c r="X45" s="8">
        <f t="shared" si="1"/>
        <v>7.5836708748579819E-3</v>
      </c>
      <c r="Y45">
        <f t="shared" si="2"/>
        <v>0.18347464551006848</v>
      </c>
      <c r="Z45">
        <f t="shared" si="3"/>
        <v>1.146716534437928E-2</v>
      </c>
      <c r="AF45">
        <v>49</v>
      </c>
      <c r="AH45">
        <f t="shared" si="4"/>
        <v>0</v>
      </c>
      <c r="AI45" s="9">
        <f t="shared" si="6"/>
        <v>0</v>
      </c>
      <c r="AJ45">
        <f t="shared" si="7"/>
        <v>0</v>
      </c>
      <c r="AK45">
        <f t="shared" si="5"/>
        <v>0</v>
      </c>
    </row>
    <row r="46" spans="2:37" x14ac:dyDescent="0.2">
      <c r="B46">
        <v>7</v>
      </c>
      <c r="C46" t="s">
        <v>39</v>
      </c>
      <c r="E46" s="21">
        <v>1.0748489830752239E-4</v>
      </c>
      <c r="G46">
        <f t="shared" si="9"/>
        <v>1.5354985472503198E-5</v>
      </c>
      <c r="H46" t="s">
        <v>76</v>
      </c>
      <c r="I46">
        <v>39</v>
      </c>
      <c r="J46" s="25">
        <f t="shared" si="8"/>
        <v>9.8661440432757847E-5</v>
      </c>
      <c r="R46" s="5" t="s">
        <v>102</v>
      </c>
      <c r="S46" s="5">
        <v>0.13650000000000001</v>
      </c>
      <c r="T46" s="6">
        <v>17</v>
      </c>
      <c r="U46" s="6" t="s">
        <v>57</v>
      </c>
      <c r="V46" s="22">
        <v>45</v>
      </c>
      <c r="W46">
        <f t="shared" ref="W46" si="10">S46*T46</f>
        <v>2.3205</v>
      </c>
      <c r="X46" s="8">
        <f t="shared" si="1"/>
        <v>2.9847198550047404E-3</v>
      </c>
      <c r="Y46">
        <f t="shared" si="2"/>
        <v>7.2210467250019325E-2</v>
      </c>
      <c r="Z46">
        <f t="shared" si="3"/>
        <v>4.2476745441187838E-3</v>
      </c>
      <c r="AF46">
        <v>50</v>
      </c>
      <c r="AH46">
        <f t="shared" si="4"/>
        <v>0</v>
      </c>
      <c r="AI46" s="9">
        <f t="shared" si="6"/>
        <v>0</v>
      </c>
      <c r="AJ46">
        <f t="shared" si="7"/>
        <v>0</v>
      </c>
      <c r="AK46">
        <f t="shared" si="5"/>
        <v>0</v>
      </c>
    </row>
    <row r="47" spans="2:37" x14ac:dyDescent="0.2">
      <c r="B47">
        <v>7</v>
      </c>
      <c r="C47" t="s">
        <v>40</v>
      </c>
      <c r="E47" s="21">
        <v>7.050394451052068E-2</v>
      </c>
      <c r="G47">
        <f t="shared" si="9"/>
        <v>1.0071992072931525E-2</v>
      </c>
      <c r="H47" t="s">
        <v>60</v>
      </c>
      <c r="I47">
        <v>40</v>
      </c>
      <c r="J47" s="25">
        <f t="shared" si="8"/>
        <v>6.4716260899252101E-2</v>
      </c>
      <c r="AF47">
        <v>51</v>
      </c>
      <c r="AH47">
        <f t="shared" si="4"/>
        <v>0</v>
      </c>
      <c r="AI47" s="9">
        <f t="shared" si="6"/>
        <v>0</v>
      </c>
      <c r="AJ47">
        <f t="shared" si="7"/>
        <v>0</v>
      </c>
      <c r="AK47">
        <f t="shared" si="5"/>
        <v>0</v>
      </c>
    </row>
    <row r="48" spans="2:37" x14ac:dyDescent="0.2">
      <c r="B48">
        <v>1</v>
      </c>
      <c r="I48">
        <v>41</v>
      </c>
      <c r="W48">
        <f>SUM(W2:W46)</f>
        <v>777.45989999999995</v>
      </c>
      <c r="AF48">
        <v>52</v>
      </c>
      <c r="AH48">
        <f t="shared" si="4"/>
        <v>0</v>
      </c>
      <c r="AI48" s="9">
        <f t="shared" si="6"/>
        <v>0</v>
      </c>
      <c r="AJ48">
        <f t="shared" si="7"/>
        <v>0</v>
      </c>
      <c r="AK48">
        <f t="shared" si="5"/>
        <v>0</v>
      </c>
    </row>
    <row r="49" spans="2:37" x14ac:dyDescent="0.2">
      <c r="B49">
        <v>1</v>
      </c>
      <c r="I49">
        <v>42</v>
      </c>
      <c r="AF49">
        <v>53</v>
      </c>
      <c r="AH49">
        <f t="shared" si="4"/>
        <v>0</v>
      </c>
      <c r="AI49" s="9">
        <f t="shared" si="6"/>
        <v>0</v>
      </c>
      <c r="AJ49">
        <f t="shared" si="7"/>
        <v>0</v>
      </c>
      <c r="AK49">
        <f t="shared" si="5"/>
        <v>0</v>
      </c>
    </row>
    <row r="50" spans="2:37" x14ac:dyDescent="0.2">
      <c r="AF50">
        <v>54</v>
      </c>
      <c r="AH50">
        <f t="shared" si="4"/>
        <v>0</v>
      </c>
      <c r="AI50" s="9">
        <f t="shared" si="6"/>
        <v>0</v>
      </c>
      <c r="AJ50">
        <f t="shared" si="7"/>
        <v>0</v>
      </c>
      <c r="AK50">
        <f t="shared" si="5"/>
        <v>0</v>
      </c>
    </row>
    <row r="51" spans="2:37" x14ac:dyDescent="0.2">
      <c r="AF51">
        <v>55</v>
      </c>
      <c r="AH51">
        <f t="shared" si="4"/>
        <v>0</v>
      </c>
      <c r="AI51" s="9">
        <f t="shared" si="6"/>
        <v>0</v>
      </c>
      <c r="AJ51">
        <f t="shared" si="7"/>
        <v>0</v>
      </c>
      <c r="AK51">
        <f t="shared" si="5"/>
        <v>0</v>
      </c>
    </row>
    <row r="54" spans="2:37" x14ac:dyDescent="0.2">
      <c r="E54">
        <f>+SUM(E8:E49)</f>
        <v>54.372670842961611</v>
      </c>
      <c r="G54">
        <f>SUM(G4:G51)</f>
        <v>27.002308981121871</v>
      </c>
      <c r="K54">
        <f>+D5-E5</f>
        <v>38.342030020217379</v>
      </c>
      <c r="Y54">
        <f>+SUM(Y1:Y49)</f>
        <v>24.193381877678643</v>
      </c>
      <c r="Z54">
        <f>+SUM(Z1:Z49)</f>
        <v>3.1118401473224568</v>
      </c>
      <c r="AH54">
        <f>SUM(AH4:AH51)</f>
        <v>1472.6999999999998</v>
      </c>
      <c r="AJ54">
        <f>SUM(AJ4:AJ51)</f>
        <v>14.148648142538738</v>
      </c>
      <c r="AK54">
        <f>SUM(AK4:AK51)</f>
        <v>0.96072846761314146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6D9E-8236-7141-ADF7-47682DA4F234}">
  <dimension ref="A2:AI127"/>
  <sheetViews>
    <sheetView topLeftCell="S1" zoomScale="85" workbookViewId="0">
      <selection activeCell="AI15" sqref="AI15"/>
    </sheetView>
  </sheetViews>
  <sheetFormatPr baseColWidth="10" defaultRowHeight="16" x14ac:dyDescent="0.2"/>
  <cols>
    <col min="3" max="3" width="15.5" bestFit="1" customWidth="1"/>
    <col min="4" max="4" width="26.33203125" bestFit="1" customWidth="1"/>
    <col min="14" max="14" width="17.5" bestFit="1" customWidth="1"/>
    <col min="15" max="15" width="10.33203125" bestFit="1" customWidth="1"/>
    <col min="16" max="16" width="12.83203125" bestFit="1" customWidth="1"/>
    <col min="17" max="17" width="13" bestFit="1" customWidth="1"/>
    <col min="18" max="19" width="11.83203125" customWidth="1"/>
    <col min="20" max="20" width="32.1640625" bestFit="1" customWidth="1"/>
    <col min="21" max="22" width="11.83203125" customWidth="1"/>
    <col min="23" max="23" width="13.6640625" bestFit="1" customWidth="1"/>
    <col min="25" max="26" width="11.83203125" customWidth="1"/>
    <col min="28" max="28" width="13.33203125" customWidth="1"/>
    <col min="34" max="34" width="17.5" bestFit="1" customWidth="1"/>
    <col min="35" max="35" width="15.83203125" bestFit="1" customWidth="1"/>
  </cols>
  <sheetData>
    <row r="2" spans="2:35" x14ac:dyDescent="0.2">
      <c r="Y2" t="s">
        <v>359</v>
      </c>
      <c r="Z2" t="s">
        <v>360</v>
      </c>
      <c r="AA2" t="s">
        <v>363</v>
      </c>
      <c r="AB2" t="s">
        <v>362</v>
      </c>
    </row>
    <row r="3" spans="2:35" x14ac:dyDescent="0.2">
      <c r="B3" t="s">
        <v>335</v>
      </c>
      <c r="C3" t="s">
        <v>108</v>
      </c>
      <c r="D3" t="s">
        <v>336</v>
      </c>
      <c r="E3" t="s">
        <v>111</v>
      </c>
      <c r="F3" t="s">
        <v>342</v>
      </c>
      <c r="G3" t="s">
        <v>343</v>
      </c>
      <c r="Y3" s="21">
        <f>'10% CO'!D6-'10% CO'!E6</f>
        <v>75.609207890694449</v>
      </c>
      <c r="Z3" s="21">
        <f>+'10% CO'!D7-'10% CO'!E7</f>
        <v>17.105492972484583</v>
      </c>
      <c r="AA3" s="21">
        <f>+'10% CO'!D6</f>
        <v>84.481827236355642</v>
      </c>
      <c r="AB3" s="21">
        <f>+'10% CO'!D7</f>
        <v>124.40429078920833</v>
      </c>
    </row>
    <row r="4" spans="2:35" x14ac:dyDescent="0.2">
      <c r="B4">
        <f>'5% CO'!B8</f>
        <v>8</v>
      </c>
      <c r="C4" t="str">
        <f>'5% CO'!H8</f>
        <v>Olefin</v>
      </c>
      <c r="D4" t="str">
        <f>'5% CO'!C8</f>
        <v>Ottene</v>
      </c>
      <c r="E4">
        <f>+'10% CO'!G8</f>
        <v>0</v>
      </c>
      <c r="F4" t="s">
        <v>375</v>
      </c>
      <c r="G4">
        <f>VLOOKUP(Tabella10[[#This Row],[Name]],'10% CO'!$C$8:$I$47,7,FALSE)</f>
        <v>1</v>
      </c>
      <c r="Y4">
        <f>Y3/(Y3+Z3)</f>
        <v>0.81550398358370901</v>
      </c>
      <c r="Z4">
        <f>1-Y4</f>
        <v>0.18449601641629099</v>
      </c>
    </row>
    <row r="5" spans="2:35" x14ac:dyDescent="0.2">
      <c r="B5">
        <f>'5% CO'!B9</f>
        <v>7</v>
      </c>
      <c r="C5" t="str">
        <f>'5% CO'!H9</f>
        <v>Aromatic</v>
      </c>
      <c r="D5" t="str">
        <f>'5% CO'!C9</f>
        <v>Toluene</v>
      </c>
      <c r="E5">
        <f>+'10% CO'!G9</f>
        <v>0</v>
      </c>
      <c r="F5" t="s">
        <v>375</v>
      </c>
      <c r="G5">
        <f>VLOOKUP(Tabella10[[#This Row],[Name]],'10% CO'!$C$8:$I$47,7,FALSE)</f>
        <v>2</v>
      </c>
      <c r="R5" t="s">
        <v>342</v>
      </c>
      <c r="S5" t="s">
        <v>343</v>
      </c>
      <c r="T5" t="s">
        <v>344</v>
      </c>
      <c r="U5" t="s">
        <v>345</v>
      </c>
      <c r="V5" t="s">
        <v>377</v>
      </c>
      <c r="W5" t="s">
        <v>55</v>
      </c>
      <c r="X5" t="s">
        <v>46</v>
      </c>
      <c r="Y5" t="s">
        <v>378</v>
      </c>
      <c r="Z5" t="s">
        <v>379</v>
      </c>
      <c r="AA5" t="s">
        <v>364</v>
      </c>
      <c r="AB5" t="s">
        <v>361</v>
      </c>
    </row>
    <row r="6" spans="2:35" x14ac:dyDescent="0.2">
      <c r="B6">
        <f>'5% CO'!B10</f>
        <v>9</v>
      </c>
      <c r="C6" t="str">
        <f>'5% CO'!H10</f>
        <v>Aromatic</v>
      </c>
      <c r="D6" t="str">
        <f>'5% CO'!C10</f>
        <v>Nonene</v>
      </c>
      <c r="E6">
        <f>+'10% CO'!G10</f>
        <v>3.10974113820444E-4</v>
      </c>
      <c r="F6" t="s">
        <v>375</v>
      </c>
      <c r="G6">
        <f>VLOOKUP(Tabella10[[#This Row],[Name]],'10% CO'!$C$8:$I$47,7,FALSE)</f>
        <v>3</v>
      </c>
      <c r="R6">
        <v>1</v>
      </c>
      <c r="S6" s="12">
        <v>1</v>
      </c>
      <c r="T6" s="10" t="s">
        <v>113</v>
      </c>
      <c r="U6" s="10" t="s">
        <v>114</v>
      </c>
      <c r="V6" s="10" t="s">
        <v>114</v>
      </c>
      <c r="W6">
        <f>GETPIVOTDATA("mol",$N$17,"Cn",1,"Class","paraffin")</f>
        <v>12.780415015702763</v>
      </c>
      <c r="X6">
        <f>+W6*S6</f>
        <v>12.780415015702763</v>
      </c>
      <c r="Y6">
        <f>X6*$Y$4</f>
        <v>10.422479357158654</v>
      </c>
      <c r="Z6">
        <f>+X6*$Z$4</f>
        <v>2.3579356585441089</v>
      </c>
      <c r="AA6">
        <f>+Y6/$AA$3</f>
        <v>0.12336948309604598</v>
      </c>
      <c r="AB6">
        <f>+Z6/$AB$3</f>
        <v>1.8953812956013026E-2</v>
      </c>
    </row>
    <row r="7" spans="2:35" x14ac:dyDescent="0.2">
      <c r="B7">
        <f>'5% CO'!B11</f>
        <v>8</v>
      </c>
      <c r="C7" t="str">
        <f>'5% CO'!H11</f>
        <v>Aromatic</v>
      </c>
      <c r="D7" t="str">
        <f>'5% CO'!C11</f>
        <v>p-Xilene</v>
      </c>
      <c r="E7">
        <f>+'10% CO'!G11</f>
        <v>0</v>
      </c>
      <c r="F7" t="s">
        <v>375</v>
      </c>
      <c r="G7">
        <f>VLOOKUP(Tabella10[[#This Row],[Name]],'10% CO'!$C$8:$I$47,7,FALSE)</f>
        <v>4</v>
      </c>
      <c r="R7">
        <v>2</v>
      </c>
      <c r="S7" s="12">
        <v>1</v>
      </c>
      <c r="T7" s="11" t="s">
        <v>115</v>
      </c>
      <c r="U7" s="11" t="s">
        <v>116</v>
      </c>
      <c r="V7" s="11" t="s">
        <v>117</v>
      </c>
      <c r="W7">
        <f>+GETPIVOTDATA("mol",$N$17,"Cn",1,"Class","oxygenated")</f>
        <v>0.93023540589214981</v>
      </c>
      <c r="X7">
        <f t="shared" ref="X7:X70" si="0">+W7*S7</f>
        <v>0.93023540589214981</v>
      </c>
      <c r="Y7">
        <f t="shared" ref="Y7:Y70" si="1">X7*$Y$4</f>
        <v>0.75861067917565661</v>
      </c>
      <c r="Z7">
        <f t="shared" ref="Z7:Z70" si="2">+X7*$Z$4</f>
        <v>0.17162472671649318</v>
      </c>
      <c r="AA7">
        <f t="shared" ref="AA7:AA70" si="3">+Y7/$AA$3</f>
        <v>8.9795723410821121E-3</v>
      </c>
      <c r="AB7">
        <f t="shared" ref="AB7:AB70" si="4">+Z7/$AB$3</f>
        <v>1.3795724056439142E-3</v>
      </c>
      <c r="AH7" s="14" t="s">
        <v>346</v>
      </c>
      <c r="AI7" t="s">
        <v>380</v>
      </c>
    </row>
    <row r="8" spans="2:35" x14ac:dyDescent="0.2">
      <c r="B8">
        <f>'5% CO'!B12</f>
        <v>8</v>
      </c>
      <c r="C8" t="str">
        <f>'5% CO'!H12</f>
        <v>Aromatic</v>
      </c>
      <c r="D8" t="str">
        <f>'5% CO'!C12</f>
        <v>m-Xilene</v>
      </c>
      <c r="E8">
        <f>+'10% CO'!G12</f>
        <v>3.5396185810477494E-2</v>
      </c>
      <c r="F8" t="s">
        <v>375</v>
      </c>
      <c r="G8">
        <f>VLOOKUP(Tabella10[[#This Row],[Name]],'10% CO'!$C$8:$I$47,7,FALSE)</f>
        <v>5</v>
      </c>
      <c r="R8">
        <v>3</v>
      </c>
      <c r="S8" s="12">
        <v>2</v>
      </c>
      <c r="T8" s="11" t="s">
        <v>118</v>
      </c>
      <c r="U8" s="11" t="s">
        <v>119</v>
      </c>
      <c r="V8" s="11" t="s">
        <v>120</v>
      </c>
      <c r="W8">
        <f>+GETPIVOTDATA("mol",$N$17,"Cn",2,"Class","paraffin")</f>
        <v>0.85144978553306494</v>
      </c>
      <c r="X8">
        <f t="shared" si="0"/>
        <v>1.7028995710661299</v>
      </c>
      <c r="Y8">
        <f>X8*$Y$4</f>
        <v>1.3887213838474184</v>
      </c>
      <c r="Z8">
        <f t="shared" si="2"/>
        <v>0.3141781872187116</v>
      </c>
      <c r="AA8">
        <f t="shared" si="3"/>
        <v>1.6438107807045636E-2</v>
      </c>
      <c r="AB8">
        <f t="shared" si="4"/>
        <v>2.5254610208827744E-3</v>
      </c>
      <c r="AH8" s="15">
        <v>1</v>
      </c>
      <c r="AI8">
        <v>13.710650421594913</v>
      </c>
    </row>
    <row r="9" spans="2:35" x14ac:dyDescent="0.2">
      <c r="B9">
        <f>'5% CO'!B13</f>
        <v>8</v>
      </c>
      <c r="C9" t="str">
        <f>'5% CO'!H13</f>
        <v>Aromatic</v>
      </c>
      <c r="D9" t="str">
        <f>'5% CO'!C13</f>
        <v>Etilbenzene</v>
      </c>
      <c r="E9">
        <f>+'10% CO'!G13</f>
        <v>0</v>
      </c>
      <c r="F9" t="s">
        <v>375</v>
      </c>
      <c r="G9">
        <f>VLOOKUP(Tabella10[[#This Row],[Name]],'10% CO'!$C$8:$I$47,7,FALSE)</f>
        <v>6</v>
      </c>
      <c r="R9">
        <v>4</v>
      </c>
      <c r="S9" s="12">
        <v>2</v>
      </c>
      <c r="T9" s="10" t="s">
        <v>121</v>
      </c>
      <c r="U9" s="10" t="s">
        <v>122</v>
      </c>
      <c r="V9" s="10" t="s">
        <v>123</v>
      </c>
      <c r="W9">
        <f>+GETPIVOTDATA("mol",$N$17,"Cn",2,"Class","Olefin")</f>
        <v>3.7332760249047356</v>
      </c>
      <c r="X9">
        <f t="shared" si="0"/>
        <v>7.4665520498094713</v>
      </c>
      <c r="Y9">
        <f t="shared" si="1"/>
        <v>6.0890029402547317</v>
      </c>
      <c r="Z9">
        <f t="shared" si="2"/>
        <v>1.3775491095547394</v>
      </c>
      <c r="AA9">
        <f t="shared" si="3"/>
        <v>7.2074706945192704E-2</v>
      </c>
      <c r="AB9">
        <f t="shared" si="4"/>
        <v>1.1073163962558736E-2</v>
      </c>
      <c r="AH9" s="15">
        <v>2</v>
      </c>
      <c r="AI9">
        <v>9.1694516208756021</v>
      </c>
    </row>
    <row r="10" spans="2:35" x14ac:dyDescent="0.2">
      <c r="B10">
        <f>'5% CO'!B14</f>
        <v>8</v>
      </c>
      <c r="C10" t="str">
        <f>'5% CO'!H14</f>
        <v>Aromatic</v>
      </c>
      <c r="D10" t="str">
        <f>'5% CO'!C14</f>
        <v>o-Xilene</v>
      </c>
      <c r="E10">
        <f>+'10% CO'!G14</f>
        <v>0</v>
      </c>
      <c r="F10" t="s">
        <v>375</v>
      </c>
      <c r="G10">
        <f>VLOOKUP(Tabella10[[#This Row],[Name]],'10% CO'!$C$8:$I$47,7,FALSE)</f>
        <v>7</v>
      </c>
      <c r="R10">
        <v>5</v>
      </c>
      <c r="S10" s="12">
        <v>3</v>
      </c>
      <c r="T10" s="10" t="s">
        <v>124</v>
      </c>
      <c r="U10" s="10" t="s">
        <v>125</v>
      </c>
      <c r="V10" s="10" t="s">
        <v>126</v>
      </c>
      <c r="W10">
        <f>+GETPIVOTDATA("mol",$N$17,"Cn",3,"Class","paraffin")</f>
        <v>0.39016143535167691</v>
      </c>
      <c r="X10">
        <f t="shared" si="0"/>
        <v>1.1704843060550307</v>
      </c>
      <c r="Y10">
        <f t="shared" si="1"/>
        <v>0.95453461431009079</v>
      </c>
      <c r="Z10">
        <f t="shared" si="2"/>
        <v>0.21594969174493991</v>
      </c>
      <c r="AA10">
        <f t="shared" si="3"/>
        <v>1.1298697548758976E-2</v>
      </c>
      <c r="AB10">
        <f t="shared" si="4"/>
        <v>1.7358701245349076E-3</v>
      </c>
      <c r="AH10" s="15">
        <v>3</v>
      </c>
      <c r="AI10">
        <v>12.330743203414496</v>
      </c>
    </row>
    <row r="11" spans="2:35" x14ac:dyDescent="0.2">
      <c r="B11">
        <f>'5% CO'!B15</f>
        <v>9</v>
      </c>
      <c r="C11" t="str">
        <f>'5% CO'!H15</f>
        <v>Aromatic</v>
      </c>
      <c r="D11" t="str">
        <f>'5% CO'!C15</f>
        <v>Trimetilbenzene</v>
      </c>
      <c r="E11">
        <f>+'10% CO'!G15</f>
        <v>0</v>
      </c>
      <c r="F11" t="s">
        <v>375</v>
      </c>
      <c r="G11">
        <f>VLOOKUP(Tabella10[[#This Row],[Name]],'10% CO'!$C$8:$I$47,7,FALSE)</f>
        <v>8</v>
      </c>
      <c r="R11">
        <v>6</v>
      </c>
      <c r="S11" s="12">
        <v>3</v>
      </c>
      <c r="T11" s="11" t="s">
        <v>127</v>
      </c>
      <c r="U11" s="11" t="s">
        <v>128</v>
      </c>
      <c r="V11" s="11" t="s">
        <v>129</v>
      </c>
      <c r="W11">
        <f>+GETPIVOTDATA("mol",$N$17,"Cn",3,"Class","Olefin")</f>
        <v>3.720086299119822</v>
      </c>
      <c r="X11">
        <f t="shared" si="0"/>
        <v>11.160258897359466</v>
      </c>
      <c r="Y11">
        <f t="shared" si="1"/>
        <v>9.1012355886221759</v>
      </c>
      <c r="Z11">
        <f t="shared" si="2"/>
        <v>2.0590233087372893</v>
      </c>
      <c r="AA11">
        <f t="shared" si="3"/>
        <v>0.10773009872477733</v>
      </c>
      <c r="AB11">
        <f t="shared" si="4"/>
        <v>1.6551063437402778E-2</v>
      </c>
      <c r="AH11" s="15">
        <v>4</v>
      </c>
      <c r="AI11">
        <v>9.9901903072726395</v>
      </c>
    </row>
    <row r="12" spans="2:35" x14ac:dyDescent="0.2">
      <c r="B12">
        <f>'5% CO'!B16</f>
        <v>10</v>
      </c>
      <c r="C12" t="str">
        <f>'5% CO'!H16</f>
        <v>Olefin</v>
      </c>
      <c r="D12" t="str">
        <f>'5% CO'!C16</f>
        <v>Decene</v>
      </c>
      <c r="E12">
        <f>+'10% CO'!G16</f>
        <v>0</v>
      </c>
      <c r="F12" t="s">
        <v>375</v>
      </c>
      <c r="G12">
        <f>VLOOKUP(Tabella10[[#This Row],[Name]],'10% CO'!$C$8:$I$47,7,FALSE)</f>
        <v>9</v>
      </c>
      <c r="R12">
        <v>7</v>
      </c>
      <c r="S12" s="12">
        <v>4</v>
      </c>
      <c r="T12" s="10" t="s">
        <v>130</v>
      </c>
      <c r="U12" s="10" t="s">
        <v>131</v>
      </c>
      <c r="V12" s="10" t="s">
        <v>132</v>
      </c>
      <c r="W12">
        <f>+GETPIVOTDATA("mol",$N$17,"Cn",4,"Class","paraffin")</f>
        <v>0.28059486675993217</v>
      </c>
      <c r="X12">
        <f t="shared" si="0"/>
        <v>1.1223794670397287</v>
      </c>
      <c r="Y12">
        <f t="shared" si="1"/>
        <v>0.91530492646345896</v>
      </c>
      <c r="Z12">
        <f t="shared" si="2"/>
        <v>0.2070745405762697</v>
      </c>
      <c r="AA12">
        <f t="shared" si="3"/>
        <v>1.0834341022273363E-2</v>
      </c>
      <c r="AB12">
        <f t="shared" si="4"/>
        <v>1.6645289263144351E-3</v>
      </c>
      <c r="AH12" s="15">
        <v>5</v>
      </c>
      <c r="AI12">
        <v>7.9271087985810924</v>
      </c>
    </row>
    <row r="13" spans="2:35" x14ac:dyDescent="0.2">
      <c r="B13">
        <f>'5% CO'!B17</f>
        <v>10</v>
      </c>
      <c r="C13" t="str">
        <f>'5% CO'!H17</f>
        <v>paraffin</v>
      </c>
      <c r="D13" t="str">
        <f>'5% CO'!C17</f>
        <v>Decano</v>
      </c>
      <c r="E13">
        <f>+'10% CO'!G17</f>
        <v>2.0346410411596627E-3</v>
      </c>
      <c r="F13" t="s">
        <v>375</v>
      </c>
      <c r="G13">
        <f>VLOOKUP(Tabella10[[#This Row],[Name]],'10% CO'!$C$8:$I$47,7,FALSE)</f>
        <v>10</v>
      </c>
      <c r="R13">
        <v>8</v>
      </c>
      <c r="S13" s="12">
        <v>4</v>
      </c>
      <c r="T13" s="11" t="s">
        <v>133</v>
      </c>
      <c r="U13" s="11" t="s">
        <v>134</v>
      </c>
      <c r="V13" s="11" t="s">
        <v>135</v>
      </c>
      <c r="W13">
        <f>+GETPIVOTDATA("mol",$N$17,"Cn",4,"Class","iso-paraffin")</f>
        <v>7.6987156206226167E-3</v>
      </c>
      <c r="X13">
        <f t="shared" si="0"/>
        <v>3.0794862482490467E-2</v>
      </c>
      <c r="Y13">
        <f t="shared" si="1"/>
        <v>2.5113333028383481E-2</v>
      </c>
      <c r="Z13">
        <f t="shared" si="2"/>
        <v>5.6815294541069849E-3</v>
      </c>
      <c r="AA13">
        <f t="shared" si="3"/>
        <v>2.9726313752807051E-4</v>
      </c>
      <c r="AB13">
        <f t="shared" si="4"/>
        <v>4.5669883394406514E-5</v>
      </c>
      <c r="AH13" s="15">
        <v>6</v>
      </c>
      <c r="AI13">
        <v>6.0726971951223643</v>
      </c>
    </row>
    <row r="14" spans="2:35" x14ac:dyDescent="0.2">
      <c r="B14">
        <f>'5% CO'!B18</f>
        <v>1</v>
      </c>
      <c r="C14" t="str">
        <f>'5% CO'!H18</f>
        <v>paraffin</v>
      </c>
      <c r="D14" t="str">
        <f>'5% CO'!C18</f>
        <v>*CH4</v>
      </c>
      <c r="E14">
        <f>+'10% CO'!G18</f>
        <v>12.780415015702763</v>
      </c>
      <c r="F14" t="s">
        <v>375</v>
      </c>
      <c r="G14">
        <f>VLOOKUP(Tabella10[[#This Row],[Name]],'10% CO'!$C$8:$I$47,7,FALSE)</f>
        <v>11</v>
      </c>
      <c r="R14">
        <v>9</v>
      </c>
      <c r="S14" s="12">
        <v>4</v>
      </c>
      <c r="T14" s="11" t="s">
        <v>136</v>
      </c>
      <c r="U14" s="11" t="s">
        <v>137</v>
      </c>
      <c r="V14" s="11" t="s">
        <v>138</v>
      </c>
      <c r="W14">
        <f>+GETPIVOTDATA("mol",$N$17,"Cn",4,"Class","Olefin")</f>
        <v>2.2092539944376051</v>
      </c>
      <c r="X14">
        <f t="shared" si="0"/>
        <v>8.8370159777504202</v>
      </c>
      <c r="Y14">
        <f t="shared" si="1"/>
        <v>7.2066217328483528</v>
      </c>
      <c r="Z14">
        <f t="shared" si="2"/>
        <v>1.6303942449020672</v>
      </c>
      <c r="AA14">
        <f t="shared" si="3"/>
        <v>8.5303809926912638E-2</v>
      </c>
      <c r="AB14">
        <f t="shared" si="4"/>
        <v>1.3105611024820846E-2</v>
      </c>
      <c r="AH14" s="15">
        <v>7</v>
      </c>
      <c r="AI14">
        <v>3.3412064957248453</v>
      </c>
    </row>
    <row r="15" spans="2:35" x14ac:dyDescent="0.2">
      <c r="B15">
        <f>'5% CO'!B19</f>
        <v>2</v>
      </c>
      <c r="C15" t="str">
        <f>'5% CO'!H19</f>
        <v>Olefin</v>
      </c>
      <c r="D15" t="str">
        <f>'5% CO'!C19</f>
        <v>*Etilene</v>
      </c>
      <c r="E15">
        <f>+'10% CO'!G19</f>
        <v>3.7332760249047356</v>
      </c>
      <c r="F15" t="s">
        <v>375</v>
      </c>
      <c r="G15">
        <f>VLOOKUP(Tabella10[[#This Row],[Name]],'10% CO'!$C$8:$I$47,7,FALSE)</f>
        <v>12</v>
      </c>
      <c r="R15">
        <v>10</v>
      </c>
      <c r="S15" s="12">
        <v>5</v>
      </c>
      <c r="T15" s="10" t="s">
        <v>139</v>
      </c>
      <c r="U15" s="10" t="s">
        <v>140</v>
      </c>
      <c r="V15" s="10" t="s">
        <v>141</v>
      </c>
      <c r="W15">
        <f>+GETPIVOTDATA("mol",$N$17,"Cn",5,"Class","paraffin")</f>
        <v>2.6257785936464689E-2</v>
      </c>
      <c r="X15">
        <f t="shared" si="0"/>
        <v>0.13128892968232345</v>
      </c>
      <c r="Y15">
        <f t="shared" si="1"/>
        <v>0.10706664515637623</v>
      </c>
      <c r="Z15">
        <f t="shared" si="2"/>
        <v>2.422228452594722E-2</v>
      </c>
      <c r="AA15">
        <f t="shared" si="3"/>
        <v>1.2673334450595489E-3</v>
      </c>
      <c r="AB15">
        <f t="shared" si="4"/>
        <v>1.947061823373091E-4</v>
      </c>
      <c r="AH15" s="15">
        <v>8</v>
      </c>
      <c r="AI15">
        <v>4.4907710683154747</v>
      </c>
    </row>
    <row r="16" spans="2:35" x14ac:dyDescent="0.2">
      <c r="B16">
        <f>'5% CO'!B20</f>
        <v>2</v>
      </c>
      <c r="C16" t="str">
        <f>'5% CO'!H20</f>
        <v>Olefin</v>
      </c>
      <c r="D16" t="str">
        <f>'5% CO'!C20</f>
        <v>*Acetilene</v>
      </c>
      <c r="E16">
        <f>+'10% CO'!G20</f>
        <v>0</v>
      </c>
      <c r="F16" t="s">
        <v>375</v>
      </c>
      <c r="G16">
        <f>VLOOKUP(Tabella10[[#This Row],[Name]],'10% CO'!$C$8:$I$47,7,FALSE)</f>
        <v>13</v>
      </c>
      <c r="R16">
        <v>11</v>
      </c>
      <c r="S16" s="12">
        <v>5</v>
      </c>
      <c r="T16" s="11" t="s">
        <v>370</v>
      </c>
      <c r="U16" s="11" t="s">
        <v>371</v>
      </c>
      <c r="V16" s="11" t="s">
        <v>142</v>
      </c>
      <c r="W16">
        <f>+GETPIVOTDATA("mol",$N$17,"Cn",5,"Class","iso-paraffin")</f>
        <v>8.7843466307430312E-2</v>
      </c>
      <c r="X16">
        <f t="shared" si="0"/>
        <v>0.43921733153715159</v>
      </c>
      <c r="Y16">
        <f t="shared" si="1"/>
        <v>0.35818348352755375</v>
      </c>
      <c r="Z16">
        <f t="shared" si="2"/>
        <v>8.1033848009597842E-2</v>
      </c>
      <c r="AA16">
        <f t="shared" si="3"/>
        <v>4.239769607793405E-3</v>
      </c>
      <c r="AB16">
        <f t="shared" si="4"/>
        <v>6.5137502489284933E-4</v>
      </c>
      <c r="AH16" s="15">
        <v>9</v>
      </c>
      <c r="AI16">
        <v>4.3654975789860231</v>
      </c>
    </row>
    <row r="17" spans="2:35" x14ac:dyDescent="0.2">
      <c r="B17">
        <f>'5% CO'!B21</f>
        <v>2</v>
      </c>
      <c r="C17" t="str">
        <f>'5% CO'!H21</f>
        <v>paraffin</v>
      </c>
      <c r="D17" t="str">
        <f>'5% CO'!C21</f>
        <v>*Etano</v>
      </c>
      <c r="E17">
        <f>+'10% CO'!G21</f>
        <v>0.85144978553306494</v>
      </c>
      <c r="F17" t="s">
        <v>375</v>
      </c>
      <c r="G17">
        <f>VLOOKUP(Tabella10[[#This Row],[Name]],'10% CO'!$C$8:$I$47,7,FALSE)</f>
        <v>14</v>
      </c>
      <c r="N17" s="14" t="s">
        <v>335</v>
      </c>
      <c r="O17" s="14" t="s">
        <v>108</v>
      </c>
      <c r="P17" t="s">
        <v>348</v>
      </c>
      <c r="R17">
        <v>12</v>
      </c>
      <c r="S17" s="12">
        <v>5</v>
      </c>
      <c r="T17" s="10" t="s">
        <v>143</v>
      </c>
      <c r="U17" s="10" t="s">
        <v>144</v>
      </c>
      <c r="V17" s="10" t="s">
        <v>145</v>
      </c>
      <c r="W17">
        <f>+GETPIVOTDATA("mol",$N$17,"Cn",5,"Class","Olefin")</f>
        <v>1.4620285249164708</v>
      </c>
      <c r="X17">
        <f t="shared" si="0"/>
        <v>7.3101426245823546</v>
      </c>
      <c r="Y17">
        <f t="shared" si="1"/>
        <v>5.96145043091198</v>
      </c>
      <c r="Z17">
        <f t="shared" si="2"/>
        <v>1.3486921936703746</v>
      </c>
      <c r="AA17">
        <f t="shared" si="3"/>
        <v>7.056488508745877E-2</v>
      </c>
      <c r="AB17">
        <f t="shared" si="4"/>
        <v>1.0841203186115259E-2</v>
      </c>
      <c r="AH17" s="15">
        <v>10</v>
      </c>
      <c r="AI17">
        <v>4.1077249882098688</v>
      </c>
    </row>
    <row r="18" spans="2:35" x14ac:dyDescent="0.2">
      <c r="B18">
        <f>'5% CO'!B22</f>
        <v>3</v>
      </c>
      <c r="C18" t="str">
        <f>'5% CO'!H22</f>
        <v>Olefin</v>
      </c>
      <c r="D18" t="str">
        <f>'5% CO'!C22</f>
        <v>*Propilene</v>
      </c>
      <c r="E18">
        <f>+'10% CO'!G22</f>
        <v>3.720086299119822</v>
      </c>
      <c r="F18" t="s">
        <v>375</v>
      </c>
      <c r="G18">
        <f>VLOOKUP(Tabella10[[#This Row],[Name]],'10% CO'!$C$8:$I$47,7,FALSE)</f>
        <v>15</v>
      </c>
      <c r="N18">
        <v>1</v>
      </c>
      <c r="O18" t="s">
        <v>337</v>
      </c>
      <c r="P18">
        <v>0.93023540589214981</v>
      </c>
      <c r="R18">
        <v>13</v>
      </c>
      <c r="S18" s="12">
        <v>5</v>
      </c>
      <c r="T18" s="11" t="s">
        <v>349</v>
      </c>
      <c r="V18" t="s">
        <v>350</v>
      </c>
      <c r="W18">
        <f>+GETPIVOTDATA("mol",$N$17,"Cn",5,"Class","Naphthene")</f>
        <v>9.2919825558525175E-3</v>
      </c>
      <c r="X18">
        <f t="shared" si="0"/>
        <v>4.6459912779262591E-2</v>
      </c>
      <c r="Y18">
        <f t="shared" si="1"/>
        <v>3.7888243948440314E-2</v>
      </c>
      <c r="Z18">
        <f t="shared" si="2"/>
        <v>8.5716688308222783E-3</v>
      </c>
      <c r="AA18">
        <f t="shared" si="3"/>
        <v>4.4847803590279835E-4</v>
      </c>
      <c r="AB18">
        <f t="shared" si="4"/>
        <v>6.8901713730647646E-5</v>
      </c>
      <c r="AH18" s="15">
        <v>11</v>
      </c>
      <c r="AI18">
        <v>3.2036740574563067</v>
      </c>
    </row>
    <row r="19" spans="2:35" x14ac:dyDescent="0.2">
      <c r="B19">
        <f>'5% CO'!B23</f>
        <v>3</v>
      </c>
      <c r="C19" t="str">
        <f>'5% CO'!H23</f>
        <v>paraffin</v>
      </c>
      <c r="D19" t="str">
        <f>'5% CO'!C23</f>
        <v>*Propano</v>
      </c>
      <c r="E19">
        <f>+'10% CO'!G23</f>
        <v>0.36821667279847131</v>
      </c>
      <c r="F19" t="s">
        <v>375</v>
      </c>
      <c r="G19">
        <f>VLOOKUP(Tabella10[[#This Row],[Name]],'10% CO'!$C$8:$I$47,7,FALSE)</f>
        <v>16</v>
      </c>
      <c r="N19">
        <v>1</v>
      </c>
      <c r="O19" t="s">
        <v>76</v>
      </c>
      <c r="P19">
        <v>12.780415015702763</v>
      </c>
      <c r="R19">
        <v>14</v>
      </c>
      <c r="S19" s="12">
        <v>6</v>
      </c>
      <c r="T19" s="10" t="s">
        <v>146</v>
      </c>
      <c r="U19" s="10" t="s">
        <v>147</v>
      </c>
      <c r="V19" s="10" t="s">
        <v>148</v>
      </c>
      <c r="W19">
        <f>+GETPIVOTDATA("mol",$N$17,"Cn",6,"Class","iso-paraffin")</f>
        <v>0.34416377186333286</v>
      </c>
      <c r="X19">
        <f t="shared" si="0"/>
        <v>2.0649826311799973</v>
      </c>
      <c r="Y19">
        <f t="shared" si="1"/>
        <v>1.6840015617584567</v>
      </c>
      <c r="Z19">
        <f t="shared" si="2"/>
        <v>0.38098106942154053</v>
      </c>
      <c r="AA19">
        <f t="shared" si="3"/>
        <v>1.9933299466252181E-2</v>
      </c>
      <c r="AB19">
        <f t="shared" si="4"/>
        <v>3.062443160156574E-3</v>
      </c>
      <c r="AH19" s="15">
        <v>12</v>
      </c>
      <c r="AI19">
        <v>2.4880316610945163</v>
      </c>
    </row>
    <row r="20" spans="2:35" x14ac:dyDescent="0.2">
      <c r="B20">
        <f>'5% CO'!B24</f>
        <v>2</v>
      </c>
      <c r="C20" t="str">
        <f>'5% CO'!H24</f>
        <v>oxygenated</v>
      </c>
      <c r="D20" t="str">
        <f>'5% CO'!C24</f>
        <v>*DME</v>
      </c>
      <c r="E20">
        <f>+'10% CO'!G24</f>
        <v>1.3783850759797726E-3</v>
      </c>
      <c r="F20" t="s">
        <v>375</v>
      </c>
      <c r="G20">
        <f>VLOOKUP(Tabella10[[#This Row],[Name]],'10% CO'!$C$8:$I$47,7,FALSE)</f>
        <v>17</v>
      </c>
      <c r="N20">
        <v>2</v>
      </c>
      <c r="O20" t="s">
        <v>60</v>
      </c>
      <c r="P20">
        <v>3.7332760249047356</v>
      </c>
      <c r="R20">
        <v>15</v>
      </c>
      <c r="S20" s="12">
        <v>6</v>
      </c>
      <c r="T20" s="11" t="s">
        <v>149</v>
      </c>
      <c r="U20" s="11" t="s">
        <v>150</v>
      </c>
      <c r="V20" s="11" t="s">
        <v>151</v>
      </c>
      <c r="W20">
        <f>+GETPIVOTDATA("mol",$N$17,"Cn",6,"Class","paraffin")</f>
        <v>4.9116407679064113E-3</v>
      </c>
      <c r="X20">
        <f t="shared" si="0"/>
        <v>2.946984460743847E-2</v>
      </c>
      <c r="Y20">
        <f t="shared" si="1"/>
        <v>2.4032775672958959E-2</v>
      </c>
      <c r="Z20">
        <f t="shared" si="2"/>
        <v>5.4370689344795126E-3</v>
      </c>
      <c r="AA20">
        <f t="shared" si="3"/>
        <v>2.8447272578186817E-4</v>
      </c>
      <c r="AB20">
        <f t="shared" si="4"/>
        <v>4.3704834455365592E-5</v>
      </c>
      <c r="AH20" s="15">
        <v>13</v>
      </c>
      <c r="AI20">
        <v>1.7153251172843871</v>
      </c>
    </row>
    <row r="21" spans="2:35" x14ac:dyDescent="0.2">
      <c r="B21">
        <f>'5% CO'!B25</f>
        <v>1</v>
      </c>
      <c r="C21" t="str">
        <f>'5% CO'!H25</f>
        <v>oxygenated</v>
      </c>
      <c r="D21" t="str">
        <f>'5% CO'!C25</f>
        <v>Metanolo</v>
      </c>
      <c r="E21">
        <f>+'10% CO'!G25</f>
        <v>0.93023540589214981</v>
      </c>
      <c r="F21" t="s">
        <v>375</v>
      </c>
      <c r="G21">
        <f>VLOOKUP(Tabella10[[#This Row],[Name]],'10% CO'!$C$8:$I$47,7,FALSE)</f>
        <v>18</v>
      </c>
      <c r="N21">
        <v>2</v>
      </c>
      <c r="O21" t="s">
        <v>337</v>
      </c>
      <c r="P21">
        <v>1.3783850759797726E-3</v>
      </c>
      <c r="R21">
        <v>16</v>
      </c>
      <c r="S21" s="18">
        <v>6</v>
      </c>
      <c r="T21" s="11" t="s">
        <v>152</v>
      </c>
      <c r="U21" s="11" t="s">
        <v>153</v>
      </c>
      <c r="V21" s="11" t="s">
        <v>154</v>
      </c>
      <c r="W21">
        <f>+GETPIVOTDATA("mol",$N$17,"Cn",6,"Class","Olefin")</f>
        <v>0.63054996610516634</v>
      </c>
      <c r="X21">
        <f t="shared" si="0"/>
        <v>3.783299796630998</v>
      </c>
      <c r="Y21">
        <f t="shared" si="1"/>
        <v>3.0852960552440152</v>
      </c>
      <c r="Z21">
        <f t="shared" si="2"/>
        <v>0.69800374138698296</v>
      </c>
      <c r="AA21">
        <f t="shared" si="3"/>
        <v>3.6520233477103328E-2</v>
      </c>
      <c r="AB21">
        <f t="shared" si="4"/>
        <v>5.6107690254003084E-3</v>
      </c>
      <c r="AH21" s="15">
        <v>14</v>
      </c>
      <c r="AI21">
        <v>1.5189839600211594</v>
      </c>
    </row>
    <row r="22" spans="2:35" x14ac:dyDescent="0.2">
      <c r="B22">
        <f>'5% CO'!B26</f>
        <v>4</v>
      </c>
      <c r="C22" t="str">
        <f>'5% CO'!H26</f>
        <v>Olefin</v>
      </c>
      <c r="D22" t="str">
        <f>'5% CO'!C26</f>
        <v>2-Metilpropene</v>
      </c>
      <c r="E22">
        <f>+'10% CO'!G26</f>
        <v>2.7294049315717408E-2</v>
      </c>
      <c r="F22" t="s">
        <v>375</v>
      </c>
      <c r="G22">
        <f>VLOOKUP(Tabella10[[#This Row],[Name]],'10% CO'!$C$8:$I$47,7,FALSE)</f>
        <v>19</v>
      </c>
      <c r="N22">
        <v>2</v>
      </c>
      <c r="O22" t="s">
        <v>76</v>
      </c>
      <c r="P22">
        <v>0.85144978553306494</v>
      </c>
      <c r="R22">
        <v>17</v>
      </c>
      <c r="S22" s="12">
        <v>6</v>
      </c>
      <c r="T22" t="s">
        <v>354</v>
      </c>
      <c r="V22" t="s">
        <v>353</v>
      </c>
      <c r="W22">
        <f>+GETPIVOTDATA("mol",$N$17,"Cn",6,"Class","Aromatic")</f>
        <v>2.4894795862967231E-3</v>
      </c>
      <c r="X22">
        <f t="shared" si="0"/>
        <v>1.4936877517780339E-2</v>
      </c>
      <c r="Y22">
        <f t="shared" si="1"/>
        <v>1.218108311805181E-2</v>
      </c>
      <c r="Z22">
        <f t="shared" si="2"/>
        <v>2.7557943997285291E-3</v>
      </c>
      <c r="AA22">
        <f t="shared" si="3"/>
        <v>1.4418583873633171E-4</v>
      </c>
      <c r="AB22">
        <f t="shared" si="4"/>
        <v>2.2151924039324094E-5</v>
      </c>
      <c r="AH22" s="15">
        <v>15</v>
      </c>
      <c r="AI22">
        <v>1.4364874038899536</v>
      </c>
    </row>
    <row r="23" spans="2:35" x14ac:dyDescent="0.2">
      <c r="B23">
        <f>'5% CO'!B27</f>
        <v>4</v>
      </c>
      <c r="C23" t="str">
        <f>'5% CO'!H27</f>
        <v>Olefin</v>
      </c>
      <c r="D23" t="str">
        <f>'5% CO'!C27</f>
        <v>*1-Butene</v>
      </c>
      <c r="E23">
        <f>+'10% CO'!G27</f>
        <v>2.0079882866377279</v>
      </c>
      <c r="F23" t="s">
        <v>375</v>
      </c>
      <c r="G23">
        <f>VLOOKUP(Tabella10[[#This Row],[Name]],'10% CO'!$C$8:$I$47,7,FALSE)</f>
        <v>20</v>
      </c>
      <c r="N23">
        <v>3</v>
      </c>
      <c r="O23" t="s">
        <v>60</v>
      </c>
      <c r="P23">
        <v>3.720086299119822</v>
      </c>
      <c r="R23">
        <v>18</v>
      </c>
      <c r="S23" s="12">
        <v>6</v>
      </c>
      <c r="T23" t="s">
        <v>352</v>
      </c>
      <c r="V23" t="s">
        <v>351</v>
      </c>
      <c r="W23">
        <f>+GETPIVOTDATA("mol",$N$17,"Cn",6,"Class","Naphthene")</f>
        <v>3.0001340864358388E-2</v>
      </c>
      <c r="X23">
        <f t="shared" si="0"/>
        <v>0.18000804518615032</v>
      </c>
      <c r="Y23">
        <f t="shared" si="1"/>
        <v>0.14679727792642189</v>
      </c>
      <c r="Z23">
        <f t="shared" si="2"/>
        <v>3.3210767259728442E-2</v>
      </c>
      <c r="AA23">
        <f t="shared" si="3"/>
        <v>1.7376195890712175E-3</v>
      </c>
      <c r="AB23">
        <f t="shared" si="4"/>
        <v>2.6695837457890454E-4</v>
      </c>
      <c r="AH23" s="15">
        <v>16</v>
      </c>
      <c r="AI23">
        <v>1.3670921176094593</v>
      </c>
    </row>
    <row r="24" spans="2:35" x14ac:dyDescent="0.2">
      <c r="B24">
        <f>'5% CO'!B28</f>
        <v>4</v>
      </c>
      <c r="C24" t="str">
        <f>'5% CO'!H28</f>
        <v>paraffin</v>
      </c>
      <c r="D24" t="str">
        <f>'5% CO'!C28</f>
        <v>*N-Butano</v>
      </c>
      <c r="E24">
        <f>+'10% CO'!G28</f>
        <v>0.26740996050100813</v>
      </c>
      <c r="F24" t="s">
        <v>375</v>
      </c>
      <c r="G24">
        <f>VLOOKUP(Tabella10[[#This Row],[Name]],'10% CO'!$C$8:$I$47,7,FALSE)</f>
        <v>21</v>
      </c>
      <c r="N24">
        <v>3</v>
      </c>
      <c r="O24" t="s">
        <v>76</v>
      </c>
      <c r="P24">
        <v>0.39016143535167691</v>
      </c>
      <c r="R24">
        <v>19</v>
      </c>
      <c r="S24" s="12">
        <v>7</v>
      </c>
      <c r="T24" s="11" t="s">
        <v>155</v>
      </c>
      <c r="U24" s="11" t="s">
        <v>156</v>
      </c>
      <c r="V24" s="11" t="s">
        <v>157</v>
      </c>
      <c r="W24">
        <f>+GETPIVOTDATA("mol",$N$17,"Cn",7,"Class","paraffin")</f>
        <v>1.5354985472503198E-5</v>
      </c>
      <c r="X24">
        <f t="shared" si="0"/>
        <v>1.0748489830752239E-4</v>
      </c>
      <c r="Y24">
        <f t="shared" si="1"/>
        <v>8.7654362744874379E-5</v>
      </c>
      <c r="Z24">
        <f t="shared" si="2"/>
        <v>1.983053556264802E-5</v>
      </c>
      <c r="AA24">
        <f t="shared" si="3"/>
        <v>1.0375528751247638E-6</v>
      </c>
      <c r="AB24">
        <f t="shared" si="4"/>
        <v>1.5940395171939082E-7</v>
      </c>
      <c r="AH24" s="15">
        <v>17</v>
      </c>
      <c r="AI24">
        <v>1.1664801918613856</v>
      </c>
    </row>
    <row r="25" spans="2:35" x14ac:dyDescent="0.2">
      <c r="B25">
        <f>'5% CO'!B29</f>
        <v>4</v>
      </c>
      <c r="C25" t="str">
        <f>'5% CO'!H29</f>
        <v>Olefin</v>
      </c>
      <c r="D25" t="str">
        <f>'5% CO'!C29</f>
        <v>2-Butene</v>
      </c>
      <c r="E25">
        <f>+'10% CO'!G29</f>
        <v>3.5992252413664064E-2</v>
      </c>
      <c r="F25" t="s">
        <v>375</v>
      </c>
      <c r="G25">
        <f>VLOOKUP(Tabella10[[#This Row],[Name]],'10% CO'!$C$8:$I$47,7,FALSE)</f>
        <v>22</v>
      </c>
      <c r="N25">
        <v>4</v>
      </c>
      <c r="O25" t="s">
        <v>57</v>
      </c>
      <c r="P25">
        <v>7.6987156206226167E-3</v>
      </c>
      <c r="R25">
        <v>20</v>
      </c>
      <c r="S25" s="12">
        <v>7</v>
      </c>
      <c r="T25" s="10" t="s">
        <v>158</v>
      </c>
      <c r="U25" s="10" t="s">
        <v>159</v>
      </c>
      <c r="V25" s="10" t="s">
        <v>160</v>
      </c>
      <c r="W25">
        <f>+GETPIVOTDATA("mol",$N$17,"Cn",7,"Class","iso-paraffin")</f>
        <v>0.25517737575835936</v>
      </c>
      <c r="X25">
        <f t="shared" si="0"/>
        <v>1.7862416303085156</v>
      </c>
      <c r="Y25">
        <f t="shared" si="1"/>
        <v>1.4566871651596534</v>
      </c>
      <c r="Z25">
        <f t="shared" si="2"/>
        <v>0.32955446514886227</v>
      </c>
      <c r="AA25">
        <f t="shared" si="3"/>
        <v>1.7242609597970287E-2</v>
      </c>
      <c r="AB25">
        <f t="shared" si="4"/>
        <v>2.6490602780515193E-3</v>
      </c>
      <c r="AH25" s="15">
        <v>18</v>
      </c>
      <c r="AI25">
        <v>1.0721729698562665</v>
      </c>
    </row>
    <row r="26" spans="2:35" x14ac:dyDescent="0.2">
      <c r="B26">
        <f>'5% CO'!B30</f>
        <v>5</v>
      </c>
      <c r="C26" t="str">
        <f>'5% CO'!H30</f>
        <v>Olefin</v>
      </c>
      <c r="D26" t="str">
        <f>'5% CO'!C30</f>
        <v>3-Metilbut-1-ene</v>
      </c>
      <c r="E26">
        <f>+'10% CO'!G30</f>
        <v>1.7945319805876735E-2</v>
      </c>
      <c r="F26" t="s">
        <v>375</v>
      </c>
      <c r="G26">
        <f>VLOOKUP(Tabella10[[#This Row],[Name]],'10% CO'!$C$8:$I$47,7,FALSE)</f>
        <v>23</v>
      </c>
      <c r="N26">
        <v>4</v>
      </c>
      <c r="O26" t="s">
        <v>60</v>
      </c>
      <c r="P26">
        <v>2.2092539944376051</v>
      </c>
      <c r="R26">
        <v>21</v>
      </c>
      <c r="S26" s="18">
        <v>7</v>
      </c>
      <c r="T26" s="11" t="s">
        <v>161</v>
      </c>
      <c r="U26" s="11" t="s">
        <v>162</v>
      </c>
      <c r="V26" s="11" t="s">
        <v>163</v>
      </c>
      <c r="W26">
        <f>+GETPIVOTDATA("mol",$N$17,"Cn",7,"Class","Olefin")</f>
        <v>0.18837447528941109</v>
      </c>
      <c r="X26">
        <f t="shared" si="0"/>
        <v>1.3186213270258778</v>
      </c>
      <c r="Y26">
        <f t="shared" si="1"/>
        <v>1.07534094502804</v>
      </c>
      <c r="Z26">
        <f t="shared" si="2"/>
        <v>0.24328038199783775</v>
      </c>
      <c r="AA26">
        <f t="shared" si="3"/>
        <v>1.2728665799563593E-2</v>
      </c>
      <c r="AB26">
        <f t="shared" si="4"/>
        <v>1.9555626293473595E-3</v>
      </c>
      <c r="AH26" s="15">
        <v>19</v>
      </c>
      <c r="AI26">
        <v>0.51110754477019127</v>
      </c>
    </row>
    <row r="27" spans="2:35" x14ac:dyDescent="0.2">
      <c r="B27">
        <f>'5% CO'!B31</f>
        <v>5</v>
      </c>
      <c r="C27" t="str">
        <f>'5% CO'!H31</f>
        <v>iso-paraffin</v>
      </c>
      <c r="D27" t="str">
        <f>'5% CO'!C31</f>
        <v>2-Metilbutano</v>
      </c>
      <c r="E27">
        <f>+'10% CO'!G31</f>
        <v>6.5627972849214927E-2</v>
      </c>
      <c r="F27" t="s">
        <v>375</v>
      </c>
      <c r="G27">
        <f>VLOOKUP(Tabella10[[#This Row],[Name]],'10% CO'!$C$8:$I$47,7,FALSE)</f>
        <v>24</v>
      </c>
      <c r="N27">
        <v>4</v>
      </c>
      <c r="O27" t="s">
        <v>76</v>
      </c>
      <c r="P27">
        <v>0.28059486675993217</v>
      </c>
      <c r="R27">
        <v>22</v>
      </c>
      <c r="S27" s="18">
        <v>7</v>
      </c>
      <c r="T27" s="10" t="s">
        <v>164</v>
      </c>
      <c r="U27" s="10" t="s">
        <v>165</v>
      </c>
      <c r="V27" s="10" t="s">
        <v>166</v>
      </c>
      <c r="W27">
        <f>+GETPIVOTDATA("mol",$N$17,"Cn",7,"Class","Aromatic")</f>
        <v>6.6562460438608648E-3</v>
      </c>
      <c r="X27">
        <f t="shared" si="0"/>
        <v>4.6593722307026054E-2</v>
      </c>
      <c r="Y27">
        <f t="shared" si="1"/>
        <v>3.799736615137287E-2</v>
      </c>
      <c r="Z27">
        <f t="shared" si="2"/>
        <v>8.5963561556531825E-3</v>
      </c>
      <c r="AA27">
        <f t="shared" si="3"/>
        <v>4.4976970070814476E-4</v>
      </c>
      <c r="AB27">
        <f t="shared" si="4"/>
        <v>6.9100158050166608E-5</v>
      </c>
      <c r="AH27" s="15">
        <v>20</v>
      </c>
      <c r="AI27">
        <v>0.42272052574978231</v>
      </c>
    </row>
    <row r="28" spans="2:35" x14ac:dyDescent="0.2">
      <c r="B28">
        <f>'5% CO'!B32</f>
        <v>5</v>
      </c>
      <c r="C28" t="str">
        <f>'5% CO'!H32</f>
        <v>Olefin</v>
      </c>
      <c r="D28" t="str">
        <f>'5% CO'!C32</f>
        <v>2-Metilbut-1-ene</v>
      </c>
      <c r="E28">
        <f>+'10% CO'!G32</f>
        <v>0.14721053970045297</v>
      </c>
      <c r="F28" t="s">
        <v>375</v>
      </c>
      <c r="G28">
        <f>VLOOKUP(Tabella10[[#This Row],[Name]],'10% CO'!$C$8:$I$47,7,FALSE)</f>
        <v>25</v>
      </c>
      <c r="N28">
        <v>5</v>
      </c>
      <c r="O28" t="s">
        <v>57</v>
      </c>
      <c r="P28">
        <v>8.7843466307430312E-2</v>
      </c>
      <c r="R28">
        <v>23</v>
      </c>
      <c r="S28" s="18">
        <v>7</v>
      </c>
      <c r="T28" t="s">
        <v>83</v>
      </c>
      <c r="V28" t="s">
        <v>356</v>
      </c>
      <c r="W28">
        <f>+GETPIVOTDATA("mol",$N$17,"Cn",7,"Class","Naphthene")</f>
        <v>2.7091761597874093E-2</v>
      </c>
      <c r="X28">
        <f t="shared" si="0"/>
        <v>0.18964233118511864</v>
      </c>
      <c r="Y28">
        <f t="shared" si="1"/>
        <v>0.1546540765375653</v>
      </c>
      <c r="Z28">
        <f t="shared" si="2"/>
        <v>3.4988254647553341E-2</v>
      </c>
      <c r="AA28">
        <f t="shared" si="3"/>
        <v>1.8306194550561515E-3</v>
      </c>
      <c r="AB28">
        <f t="shared" si="4"/>
        <v>2.8124636558426856E-4</v>
      </c>
      <c r="AH28" s="15">
        <v>21</v>
      </c>
      <c r="AI28">
        <v>0.40350595639751946</v>
      </c>
    </row>
    <row r="29" spans="2:35" x14ac:dyDescent="0.2">
      <c r="B29">
        <f>'5% CO'!B33</f>
        <v>5</v>
      </c>
      <c r="C29" t="str">
        <f>'5% CO'!H33</f>
        <v>Olefin</v>
      </c>
      <c r="D29" t="str">
        <f>'5% CO'!C33</f>
        <v>*1-Pentene</v>
      </c>
      <c r="E29">
        <f>+'10% CO'!G33</f>
        <v>0.98314259057901432</v>
      </c>
      <c r="F29" t="s">
        <v>375</v>
      </c>
      <c r="G29">
        <f>VLOOKUP(Tabella10[[#This Row],[Name]],'10% CO'!$C$8:$I$47,7,FALSE)</f>
        <v>26</v>
      </c>
      <c r="N29">
        <v>5</v>
      </c>
      <c r="O29" t="s">
        <v>73</v>
      </c>
      <c r="P29">
        <v>9.2919825558525175E-3</v>
      </c>
      <c r="R29">
        <v>24</v>
      </c>
      <c r="S29" s="12">
        <v>8</v>
      </c>
      <c r="T29" s="11" t="s">
        <v>167</v>
      </c>
      <c r="U29" s="11" t="s">
        <v>168</v>
      </c>
      <c r="V29" s="11" t="s">
        <v>169</v>
      </c>
      <c r="W29">
        <f>+GETPIVOTDATA("mol",$N$17,"Cn",8,"Class","paraffin")</f>
        <v>2.505445756812455E-2</v>
      </c>
      <c r="X29">
        <f t="shared" si="0"/>
        <v>0.2004356605449964</v>
      </c>
      <c r="Y29">
        <f t="shared" si="1"/>
        <v>0.1634560796266766</v>
      </c>
      <c r="Z29">
        <f t="shared" si="2"/>
        <v>3.6979580918319786E-2</v>
      </c>
      <c r="AA29">
        <f t="shared" si="3"/>
        <v>1.9348075790237575E-3</v>
      </c>
      <c r="AB29">
        <f t="shared" si="4"/>
        <v>2.9725325938297656E-4</v>
      </c>
      <c r="AH29" s="15">
        <v>22</v>
      </c>
      <c r="AI29">
        <v>0.38044847317480401</v>
      </c>
    </row>
    <row r="30" spans="2:35" x14ac:dyDescent="0.2">
      <c r="B30">
        <f>'5% CO'!B34</f>
        <v>5</v>
      </c>
      <c r="C30" t="str">
        <f>'5% CO'!H34</f>
        <v>Olefin</v>
      </c>
      <c r="D30" t="str">
        <f>'5% CO'!C34</f>
        <v>2-Pentene</v>
      </c>
      <c r="E30">
        <f>+'10% CO'!G34</f>
        <v>1.5278814627944184E-2</v>
      </c>
      <c r="F30" t="s">
        <v>375</v>
      </c>
      <c r="G30">
        <f>VLOOKUP(Tabella10[[#This Row],[Name]],'10% CO'!$C$8:$I$47,7,FALSE)</f>
        <v>27</v>
      </c>
      <c r="N30">
        <v>5</v>
      </c>
      <c r="O30" t="s">
        <v>60</v>
      </c>
      <c r="P30">
        <v>1.4620285249164708</v>
      </c>
      <c r="R30">
        <v>25</v>
      </c>
      <c r="S30" s="12">
        <v>8</v>
      </c>
      <c r="T30" s="10" t="s">
        <v>170</v>
      </c>
      <c r="U30" s="10" t="s">
        <v>171</v>
      </c>
      <c r="V30" s="10" t="s">
        <v>172</v>
      </c>
      <c r="W30">
        <f>+GETPIVOTDATA("mol",$N$17,"Cn",8,"Class","iso-paraffin")</f>
        <v>0.10631633758228447</v>
      </c>
      <c r="X30">
        <f t="shared" si="0"/>
        <v>0.85053070065827574</v>
      </c>
      <c r="Y30">
        <f t="shared" si="1"/>
        <v>0.693611174547067</v>
      </c>
      <c r="Z30">
        <f t="shared" si="2"/>
        <v>0.15691952611120871</v>
      </c>
      <c r="AA30">
        <f t="shared" si="3"/>
        <v>8.2101819673779559E-3</v>
      </c>
      <c r="AB30">
        <f t="shared" si="4"/>
        <v>1.2613674746725133E-3</v>
      </c>
      <c r="AH30" s="15">
        <v>23</v>
      </c>
      <c r="AI30">
        <v>0.35354807608163613</v>
      </c>
    </row>
    <row r="31" spans="2:35" x14ac:dyDescent="0.2">
      <c r="B31">
        <f>'5% CO'!B35</f>
        <v>5</v>
      </c>
      <c r="C31" t="str">
        <f>'5% CO'!H35</f>
        <v>paraffin</v>
      </c>
      <c r="D31" t="str">
        <f>'5% CO'!C35</f>
        <v>*Pentano</v>
      </c>
      <c r="E31">
        <f>+'10% CO'!G35</f>
        <v>0</v>
      </c>
      <c r="F31" t="s">
        <v>375</v>
      </c>
      <c r="G31">
        <f>VLOOKUP(Tabella10[[#This Row],[Name]],'10% CO'!$C$8:$I$47,7,FALSE)</f>
        <v>28</v>
      </c>
      <c r="N31">
        <v>5</v>
      </c>
      <c r="O31" t="s">
        <v>76</v>
      </c>
      <c r="P31">
        <v>2.6257785936464689E-2</v>
      </c>
      <c r="R31">
        <v>26</v>
      </c>
      <c r="S31" s="12">
        <v>8</v>
      </c>
      <c r="T31" s="10" t="s">
        <v>173</v>
      </c>
      <c r="U31" s="10" t="s">
        <v>174</v>
      </c>
      <c r="V31" s="10" t="s">
        <v>175</v>
      </c>
      <c r="W31">
        <f>+GETPIVOTDATA("mol",$N$17,"Cn",8,"Class","Olefin")</f>
        <v>0.29186969854691081</v>
      </c>
      <c r="X31">
        <f t="shared" si="0"/>
        <v>2.3349575883752864</v>
      </c>
      <c r="Y31">
        <f t="shared" si="1"/>
        <v>1.9041672148190565</v>
      </c>
      <c r="Z31">
        <f t="shared" si="2"/>
        <v>0.43079037355623007</v>
      </c>
      <c r="AA31">
        <f t="shared" si="3"/>
        <v>2.2539370620994609E-2</v>
      </c>
      <c r="AB31">
        <f t="shared" si="4"/>
        <v>3.4628256857005429E-3</v>
      </c>
      <c r="AH31" s="15">
        <v>24</v>
      </c>
      <c r="AI31">
        <v>0.34586224834073098</v>
      </c>
    </row>
    <row r="32" spans="2:35" x14ac:dyDescent="0.2">
      <c r="B32">
        <f>'5% CO'!B36</f>
        <v>6</v>
      </c>
      <c r="C32" t="str">
        <f>'5% CO'!H36</f>
        <v>Olefin</v>
      </c>
      <c r="D32" t="str">
        <f>'5% CO'!C36</f>
        <v>2-Metilbut-2-ene</v>
      </c>
      <c r="E32">
        <f>+'10% CO'!G36</f>
        <v>1.0687713660490971E-3</v>
      </c>
      <c r="F32" t="s">
        <v>375</v>
      </c>
      <c r="G32">
        <f>VLOOKUP(Tabella10[[#This Row],[Name]],'10% CO'!$C$8:$I$47,7,FALSE)</f>
        <v>29</v>
      </c>
      <c r="N32">
        <v>6</v>
      </c>
      <c r="O32" t="s">
        <v>67</v>
      </c>
      <c r="P32">
        <v>2.4894795862967231E-3</v>
      </c>
      <c r="R32">
        <v>27</v>
      </c>
      <c r="S32" s="12">
        <v>8</v>
      </c>
      <c r="T32" s="11" t="s">
        <v>176</v>
      </c>
      <c r="U32" s="11" t="s">
        <v>177</v>
      </c>
      <c r="V32" s="11" t="s">
        <v>178</v>
      </c>
      <c r="W32">
        <f>+GETPIVOTDATA("mol",$N$17,"Cn",8,"Class","Naphthene")</f>
        <v>4.7723323669308183E-2</v>
      </c>
      <c r="X32">
        <f t="shared" si="0"/>
        <v>0.38178658935446547</v>
      </c>
      <c r="Y32">
        <f t="shared" si="1"/>
        <v>0.31134848449740427</v>
      </c>
      <c r="Z32">
        <f t="shared" si="2"/>
        <v>7.0438104857061201E-2</v>
      </c>
      <c r="AA32">
        <f t="shared" si="3"/>
        <v>3.6853900381006383E-3</v>
      </c>
      <c r="AB32">
        <f t="shared" si="4"/>
        <v>5.6620317844512384E-4</v>
      </c>
      <c r="AH32" s="15">
        <v>25</v>
      </c>
      <c r="AI32">
        <v>0.31223675197427098</v>
      </c>
    </row>
    <row r="33" spans="1:35" x14ac:dyDescent="0.2">
      <c r="B33">
        <f>'5% CO'!B37</f>
        <v>6</v>
      </c>
      <c r="C33" t="str">
        <f>'5% CO'!H37</f>
        <v>iso-paraffin</v>
      </c>
      <c r="D33" t="str">
        <f>'5% CO'!C37</f>
        <v>2,2-Dimetilbutano</v>
      </c>
      <c r="E33">
        <f>+'10% CO'!G37</f>
        <v>4.5584925831352485E-2</v>
      </c>
      <c r="F33" t="s">
        <v>375</v>
      </c>
      <c r="G33">
        <f>VLOOKUP(Tabella10[[#This Row],[Name]],'10% CO'!$C$8:$I$47,7,FALSE)</f>
        <v>30</v>
      </c>
      <c r="N33">
        <v>6</v>
      </c>
      <c r="O33" t="s">
        <v>57</v>
      </c>
      <c r="P33">
        <v>0.34416377186333286</v>
      </c>
      <c r="R33">
        <v>28</v>
      </c>
      <c r="S33" s="12">
        <v>8</v>
      </c>
      <c r="T33" s="10" t="s">
        <v>179</v>
      </c>
      <c r="U33" s="10" t="s">
        <v>180</v>
      </c>
      <c r="V33" s="10" t="s">
        <v>181</v>
      </c>
      <c r="W33">
        <f>+GETPIVOTDATA("mol",$N$17,"Cn",8,"Class","Aromatic")</f>
        <v>9.0382566172806364E-2</v>
      </c>
      <c r="X33">
        <f t="shared" si="0"/>
        <v>0.72306052938245091</v>
      </c>
      <c r="Y33">
        <f t="shared" si="1"/>
        <v>0.58965874208353419</v>
      </c>
      <c r="Z33">
        <f t="shared" si="2"/>
        <v>0.13340178729891672</v>
      </c>
      <c r="AA33">
        <f t="shared" si="3"/>
        <v>6.979711038136523E-3</v>
      </c>
      <c r="AB33">
        <f t="shared" si="4"/>
        <v>1.0723246477483146E-3</v>
      </c>
      <c r="AH33" s="15">
        <v>26</v>
      </c>
      <c r="AI33">
        <v>0.27476834173735848</v>
      </c>
    </row>
    <row r="34" spans="1:35" x14ac:dyDescent="0.2">
      <c r="B34">
        <f>'5% CO'!B38</f>
        <v>6</v>
      </c>
      <c r="C34" t="str">
        <f>'5% CO'!H38</f>
        <v>Olefin</v>
      </c>
      <c r="D34" t="str">
        <f>'5% CO'!C38</f>
        <v>3-Metilpent-1-ene</v>
      </c>
      <c r="E34">
        <f>+'10% CO'!G38</f>
        <v>9.4779324762036765E-2</v>
      </c>
      <c r="F34" t="s">
        <v>375</v>
      </c>
      <c r="G34">
        <f>VLOOKUP(Tabella10[[#This Row],[Name]],'10% CO'!$C$8:$I$47,7,FALSE)</f>
        <v>31</v>
      </c>
      <c r="N34">
        <v>6</v>
      </c>
      <c r="O34" t="s">
        <v>73</v>
      </c>
      <c r="P34">
        <v>3.0001340864358388E-2</v>
      </c>
      <c r="R34">
        <v>29</v>
      </c>
      <c r="S34" s="13">
        <v>9</v>
      </c>
      <c r="T34" s="10" t="s">
        <v>182</v>
      </c>
      <c r="U34" s="10" t="s">
        <v>183</v>
      </c>
      <c r="V34" s="10" t="s">
        <v>184</v>
      </c>
      <c r="W34">
        <f>+GETPIVOTDATA("mol",$N$17,"Cn",9,"Class","paraffin")</f>
        <v>5.2091431438708896E-2</v>
      </c>
      <c r="X34">
        <f t="shared" si="0"/>
        <v>0.46882288294838004</v>
      </c>
      <c r="Y34">
        <f t="shared" si="1"/>
        <v>0.38232692863960283</v>
      </c>
      <c r="Z34">
        <f t="shared" si="2"/>
        <v>8.6495954308777184E-2</v>
      </c>
      <c r="AA34">
        <f t="shared" si="3"/>
        <v>4.5255523128064339E-3</v>
      </c>
      <c r="AB34">
        <f t="shared" si="4"/>
        <v>6.9528111739599599E-4</v>
      </c>
      <c r="AH34" s="15">
        <v>27</v>
      </c>
      <c r="AI34">
        <v>0.23345701762999338</v>
      </c>
    </row>
    <row r="35" spans="1:35" x14ac:dyDescent="0.2">
      <c r="B35">
        <f>'5% CO'!B39</f>
        <v>6</v>
      </c>
      <c r="C35" t="str">
        <f>'5% CO'!H39</f>
        <v>Olefin</v>
      </c>
      <c r="D35" t="str">
        <f>'5% CO'!C39</f>
        <v>4-Metilpent-2-ene</v>
      </c>
      <c r="E35">
        <f>+'10% CO'!G39</f>
        <v>0.37655864831263614</v>
      </c>
      <c r="F35" t="s">
        <v>375</v>
      </c>
      <c r="G35">
        <f>VLOOKUP(Tabella10[[#This Row],[Name]],'10% CO'!$C$8:$I$47,7,FALSE)</f>
        <v>32</v>
      </c>
      <c r="N35">
        <v>6</v>
      </c>
      <c r="O35" t="s">
        <v>60</v>
      </c>
      <c r="P35">
        <v>0.63054996610516634</v>
      </c>
      <c r="R35">
        <v>30</v>
      </c>
      <c r="S35" s="12">
        <v>9</v>
      </c>
      <c r="T35" s="11" t="s">
        <v>185</v>
      </c>
      <c r="U35" s="11" t="s">
        <v>186</v>
      </c>
      <c r="V35" s="11" t="s">
        <v>187</v>
      </c>
      <c r="W35">
        <f>+GETPIVOTDATA("mol",$N$17,"Cn",9,"Class","iso-paraffin")</f>
        <v>0.27953121534732756</v>
      </c>
      <c r="X35">
        <f t="shared" si="0"/>
        <v>2.5157809381259479</v>
      </c>
      <c r="Y35">
        <f t="shared" si="1"/>
        <v>2.0516293768656713</v>
      </c>
      <c r="Z35">
        <f t="shared" si="2"/>
        <v>0.46415156126027685</v>
      </c>
      <c r="AA35">
        <f t="shared" si="3"/>
        <v>2.428486035376351E-2</v>
      </c>
      <c r="AB35">
        <f t="shared" si="4"/>
        <v>3.7309931861332591E-3</v>
      </c>
      <c r="AH35" s="15" t="s">
        <v>347</v>
      </c>
      <c r="AI35">
        <v>92.711944093027071</v>
      </c>
    </row>
    <row r="36" spans="1:35" x14ac:dyDescent="0.2">
      <c r="B36">
        <f>'5% CO'!B40</f>
        <v>6</v>
      </c>
      <c r="C36" t="str">
        <f>'5% CO'!H40</f>
        <v>Olefin</v>
      </c>
      <c r="D36" t="str">
        <f>'5% CO'!C40</f>
        <v>1-Esene</v>
      </c>
      <c r="E36">
        <f>+'10% CO'!G40</f>
        <v>3.3946382002541582E-2</v>
      </c>
      <c r="F36" t="s">
        <v>375</v>
      </c>
      <c r="G36">
        <f>VLOOKUP(Tabella10[[#This Row],[Name]],'10% CO'!$C$8:$I$47,7,FALSE)</f>
        <v>33</v>
      </c>
      <c r="N36">
        <v>6</v>
      </c>
      <c r="O36" t="s">
        <v>76</v>
      </c>
      <c r="P36">
        <v>4.9116407679064113E-3</v>
      </c>
      <c r="R36">
        <v>31</v>
      </c>
      <c r="S36" s="12">
        <v>9</v>
      </c>
      <c r="T36" s="10" t="s">
        <v>188</v>
      </c>
      <c r="U36" s="10" t="s">
        <v>189</v>
      </c>
      <c r="V36" s="10" t="s">
        <v>190</v>
      </c>
      <c r="W36">
        <f>+GETPIVOTDATA("mol",$N$17,"Cn",9,"Class","Olefin")</f>
        <v>5.151355633944496E-2</v>
      </c>
      <c r="X36">
        <f t="shared" si="0"/>
        <v>0.46362200705500467</v>
      </c>
      <c r="Y36">
        <f t="shared" si="1"/>
        <v>0.37808559363043076</v>
      </c>
      <c r="Z36">
        <f t="shared" si="2"/>
        <v>8.5536413424573923E-2</v>
      </c>
      <c r="AA36">
        <f t="shared" si="3"/>
        <v>4.4753482020773172E-3</v>
      </c>
      <c r="AB36">
        <f t="shared" si="4"/>
        <v>6.8756803227557105E-4</v>
      </c>
    </row>
    <row r="37" spans="1:35" x14ac:dyDescent="0.2">
      <c r="B37">
        <f>'5% CO'!B41</f>
        <v>6</v>
      </c>
      <c r="C37" t="str">
        <f>'5% CO'!H41</f>
        <v>paraffin</v>
      </c>
      <c r="D37" t="str">
        <f>'5% CO'!C41</f>
        <v>Esano</v>
      </c>
      <c r="E37">
        <f>+'10% CO'!G41</f>
        <v>1.519724831577126E-3</v>
      </c>
      <c r="F37" t="s">
        <v>375</v>
      </c>
      <c r="G37">
        <f>VLOOKUP(Tabella10[[#This Row],[Name]],'10% CO'!$C$8:$I$47,7,FALSE)</f>
        <v>34</v>
      </c>
      <c r="N37">
        <v>7</v>
      </c>
      <c r="O37" t="s">
        <v>67</v>
      </c>
      <c r="P37">
        <v>6.6562460438608648E-3</v>
      </c>
      <c r="R37">
        <v>32</v>
      </c>
      <c r="S37" s="12">
        <v>9</v>
      </c>
      <c r="T37" s="11" t="s">
        <v>191</v>
      </c>
      <c r="U37" s="11" t="s">
        <v>192</v>
      </c>
      <c r="V37" s="11" t="s">
        <v>193</v>
      </c>
      <c r="W37">
        <f>+GETPIVOTDATA("mol",$N$17,"Cn",9,"Class","Naphthene")</f>
        <v>2.9039779374151278E-2</v>
      </c>
      <c r="X37">
        <f t="shared" si="0"/>
        <v>0.2613580143673615</v>
      </c>
      <c r="Y37">
        <f t="shared" si="1"/>
        <v>0.21313850185811156</v>
      </c>
      <c r="Z37">
        <f t="shared" si="2"/>
        <v>4.821951250924994E-2</v>
      </c>
      <c r="AA37">
        <f t="shared" si="3"/>
        <v>2.5228917132889641E-3</v>
      </c>
      <c r="AB37">
        <f t="shared" si="4"/>
        <v>3.8760329087807335E-4</v>
      </c>
    </row>
    <row r="38" spans="1:35" x14ac:dyDescent="0.2">
      <c r="B38">
        <f>'5% CO'!B42</f>
        <v>6</v>
      </c>
      <c r="C38" t="str">
        <f>'5% CO'!H42</f>
        <v>Olefin</v>
      </c>
      <c r="D38" t="str">
        <f>'5% CO'!C42</f>
        <v>2,3-Dimetilbut-2-ene</v>
      </c>
      <c r="E38">
        <f>+'10% CO'!G42</f>
        <v>3.0867696380500339E-3</v>
      </c>
      <c r="F38" t="s">
        <v>375</v>
      </c>
      <c r="G38">
        <f>VLOOKUP(Tabella10[[#This Row],[Name]],'10% CO'!$C$8:$I$47,7,FALSE)</f>
        <v>35</v>
      </c>
      <c r="N38">
        <v>7</v>
      </c>
      <c r="O38" t="s">
        <v>57</v>
      </c>
      <c r="P38">
        <v>0.25517737575835936</v>
      </c>
      <c r="R38">
        <v>33</v>
      </c>
      <c r="S38" s="12">
        <v>9</v>
      </c>
      <c r="T38" s="10" t="s">
        <v>194</v>
      </c>
      <c r="U38" s="10" t="s">
        <v>195</v>
      </c>
      <c r="V38" s="10" t="s">
        <v>196</v>
      </c>
      <c r="W38">
        <f>+GETPIVOTDATA("mol",$N$17,"Cn",9,"Class","Aromatic")</f>
        <v>7.2879304054369931E-2</v>
      </c>
      <c r="X38">
        <f t="shared" si="0"/>
        <v>0.65591373648932938</v>
      </c>
      <c r="Y38">
        <f t="shared" si="1"/>
        <v>0.5349002649943233</v>
      </c>
      <c r="Z38">
        <f t="shared" si="2"/>
        <v>0.12101347149500608</v>
      </c>
      <c r="AA38">
        <f t="shared" si="3"/>
        <v>6.3315423268228742E-3</v>
      </c>
      <c r="AB38">
        <f t="shared" si="4"/>
        <v>9.7274355030126981E-4</v>
      </c>
    </row>
    <row r="39" spans="1:35" x14ac:dyDescent="0.2">
      <c r="B39">
        <f>'5% CO'!B43</f>
        <v>7</v>
      </c>
      <c r="C39" t="str">
        <f>'5% CO'!H43</f>
        <v>iso-paraffin</v>
      </c>
      <c r="D39" t="str">
        <f>'5% CO'!C43</f>
        <v>2,2-Dimetilpentano</v>
      </c>
      <c r="E39">
        <f>+'10% CO'!G43</f>
        <v>5.5340367193050164E-4</v>
      </c>
      <c r="F39" t="s">
        <v>375</v>
      </c>
      <c r="G39">
        <f>VLOOKUP(Tabella10[[#This Row],[Name]],'10% CO'!$C$8:$I$47,7,FALSE)</f>
        <v>36</v>
      </c>
      <c r="N39">
        <v>7</v>
      </c>
      <c r="O39" t="s">
        <v>73</v>
      </c>
      <c r="P39">
        <v>2.7091761597874093E-2</v>
      </c>
      <c r="R39">
        <v>34</v>
      </c>
      <c r="S39" s="12">
        <v>10</v>
      </c>
      <c r="T39" s="11" t="s">
        <v>197</v>
      </c>
      <c r="U39" s="11" t="s">
        <v>198</v>
      </c>
      <c r="V39" s="11" t="s">
        <v>199</v>
      </c>
      <c r="W39">
        <f>+GETPIVOTDATA("mol",$N$17,"Cn",10,"Class","paraffin")</f>
        <v>7.7932189982597849E-2</v>
      </c>
      <c r="X39">
        <f t="shared" si="0"/>
        <v>0.77932189982597855</v>
      </c>
      <c r="Y39">
        <f t="shared" si="1"/>
        <v>0.63554011380210973</v>
      </c>
      <c r="Z39">
        <f t="shared" si="2"/>
        <v>0.14378178602386882</v>
      </c>
      <c r="AA39">
        <f t="shared" si="3"/>
        <v>7.5228026499007047E-3</v>
      </c>
      <c r="AB39">
        <f t="shared" si="4"/>
        <v>1.155762274048038E-3</v>
      </c>
    </row>
    <row r="40" spans="1:35" x14ac:dyDescent="0.2">
      <c r="B40">
        <f>'5% CO'!B44</f>
        <v>7</v>
      </c>
      <c r="C40" t="str">
        <f>'5% CO'!H44</f>
        <v>Olefin</v>
      </c>
      <c r="D40" t="str">
        <f>'5% CO'!C44</f>
        <v>2-Metiles-1-ene</v>
      </c>
      <c r="E40">
        <f>+'10% CO'!G44</f>
        <v>5.0169138078610896E-5</v>
      </c>
      <c r="F40" t="s">
        <v>375</v>
      </c>
      <c r="G40">
        <f>VLOOKUP(Tabella10[[#This Row],[Name]],'10% CO'!$C$8:$I$47,7,FALSE)</f>
        <v>37</v>
      </c>
      <c r="N40">
        <v>7</v>
      </c>
      <c r="O40" t="s">
        <v>60</v>
      </c>
      <c r="P40">
        <v>0.18837447528941109</v>
      </c>
      <c r="R40">
        <v>35</v>
      </c>
      <c r="S40" s="12">
        <v>10</v>
      </c>
      <c r="T40" s="10" t="s">
        <v>200</v>
      </c>
      <c r="U40" s="10" t="s">
        <v>201</v>
      </c>
      <c r="V40" s="10" t="s">
        <v>202</v>
      </c>
      <c r="W40">
        <f>+GETPIVOTDATA("mol",$N$17,"Cn",10,"Class","iso-paraffin")</f>
        <v>9.5023435808945927E-2</v>
      </c>
      <c r="X40">
        <f t="shared" si="0"/>
        <v>0.95023435808945922</v>
      </c>
      <c r="Y40">
        <f t="shared" si="1"/>
        <v>0.77491990436006264</v>
      </c>
      <c r="Z40">
        <f t="shared" si="2"/>
        <v>0.17531445372939661</v>
      </c>
      <c r="AA40">
        <f t="shared" si="3"/>
        <v>9.172622440942968E-3</v>
      </c>
      <c r="AB40">
        <f t="shared" si="4"/>
        <v>1.4092315676350012E-3</v>
      </c>
    </row>
    <row r="41" spans="1:35" x14ac:dyDescent="0.2">
      <c r="B41">
        <f>'5% CO'!B45</f>
        <v>7</v>
      </c>
      <c r="C41" t="str">
        <f>'5% CO'!H45</f>
        <v>Olefin</v>
      </c>
      <c r="D41" t="str">
        <f>'5% CO'!C45</f>
        <v>1-eptene</v>
      </c>
      <c r="E41">
        <f>+'10% CO'!G45</f>
        <v>5.3147826216079475E-4</v>
      </c>
      <c r="F41" t="s">
        <v>375</v>
      </c>
      <c r="G41">
        <f>VLOOKUP(Tabella10[[#This Row],[Name]],'10% CO'!$C$8:$I$47,7,FALSE)</f>
        <v>38</v>
      </c>
      <c r="N41">
        <v>7</v>
      </c>
      <c r="O41" t="s">
        <v>76</v>
      </c>
      <c r="P41">
        <v>1.5354985472503198E-5</v>
      </c>
      <c r="R41">
        <v>36</v>
      </c>
      <c r="S41" s="12">
        <v>10</v>
      </c>
      <c r="T41" s="11" t="s">
        <v>203</v>
      </c>
      <c r="U41" s="11" t="s">
        <v>204</v>
      </c>
      <c r="V41" s="11" t="s">
        <v>205</v>
      </c>
      <c r="W41">
        <f>+GETPIVOTDATA("mol",$N$17,"Cn",10,"Class","Olefin")</f>
        <v>0.10367126552184416</v>
      </c>
      <c r="X41">
        <f t="shared" si="0"/>
        <v>1.0367126552184416</v>
      </c>
      <c r="Y41">
        <f t="shared" si="1"/>
        <v>0.84544330016228342</v>
      </c>
      <c r="Z41">
        <f t="shared" si="2"/>
        <v>0.19126935505615822</v>
      </c>
      <c r="AA41">
        <f t="shared" si="3"/>
        <v>1.0007398369793523E-2</v>
      </c>
      <c r="AB41">
        <f t="shared" si="4"/>
        <v>1.5374819778543379E-3</v>
      </c>
    </row>
    <row r="42" spans="1:35" x14ac:dyDescent="0.2">
      <c r="B42">
        <f>'5% CO'!B46</f>
        <v>7</v>
      </c>
      <c r="C42" t="str">
        <f>'5% CO'!H46</f>
        <v>paraffin</v>
      </c>
      <c r="D42" t="str">
        <f>'5% CO'!C46</f>
        <v>Eptano</v>
      </c>
      <c r="E42">
        <f>+'10% CO'!G46</f>
        <v>1.5354985472503198E-5</v>
      </c>
      <c r="F42" t="s">
        <v>375</v>
      </c>
      <c r="G42">
        <f>VLOOKUP(Tabella10[[#This Row],[Name]],'10% CO'!$C$8:$I$47,7,FALSE)</f>
        <v>39</v>
      </c>
      <c r="N42">
        <v>8</v>
      </c>
      <c r="O42" t="s">
        <v>67</v>
      </c>
      <c r="P42">
        <v>9.0382566172806364E-2</v>
      </c>
      <c r="R42">
        <v>37</v>
      </c>
      <c r="S42" s="12">
        <v>10</v>
      </c>
      <c r="T42" s="10" t="s">
        <v>206</v>
      </c>
      <c r="U42" s="10" t="s">
        <v>207</v>
      </c>
      <c r="V42" s="10" t="s">
        <v>208</v>
      </c>
      <c r="W42">
        <f>+GETPIVOTDATA("mol",$N$17,"Cn",10,"Class","Naphthene")</f>
        <v>6.0313866677003856E-2</v>
      </c>
      <c r="X42">
        <f t="shared" si="0"/>
        <v>0.60313866677003858</v>
      </c>
      <c r="Y42">
        <f t="shared" si="1"/>
        <v>0.49186198540433368</v>
      </c>
      <c r="Z42">
        <f t="shared" si="2"/>
        <v>0.1112766813657049</v>
      </c>
      <c r="AA42">
        <f t="shared" si="3"/>
        <v>5.82210401330746E-3</v>
      </c>
      <c r="AB42">
        <f t="shared" si="4"/>
        <v>8.9447623277120753E-4</v>
      </c>
    </row>
    <row r="43" spans="1:35" x14ac:dyDescent="0.2">
      <c r="B43">
        <f>'5% CO'!B47</f>
        <v>7</v>
      </c>
      <c r="C43" t="str">
        <f>'5% CO'!H47</f>
        <v>Olefin</v>
      </c>
      <c r="D43" t="str">
        <f>'5% CO'!C47</f>
        <v>2-Eptene</v>
      </c>
      <c r="E43">
        <f>+'10% CO'!G47</f>
        <v>1.0071992072931525E-2</v>
      </c>
      <c r="F43" t="s">
        <v>375</v>
      </c>
      <c r="G43">
        <f>VLOOKUP(Tabella10[[#This Row],[Name]],'10% CO'!$C$8:$I$47,7,FALSE)</f>
        <v>40</v>
      </c>
      <c r="N43">
        <v>8</v>
      </c>
      <c r="O43" t="s">
        <v>57</v>
      </c>
      <c r="P43">
        <v>0.10631633758228447</v>
      </c>
      <c r="R43">
        <v>38</v>
      </c>
      <c r="S43" s="12">
        <v>10</v>
      </c>
      <c r="T43" s="11" t="s">
        <v>209</v>
      </c>
      <c r="U43" s="11" t="s">
        <v>210</v>
      </c>
      <c r="V43" s="11" t="s">
        <v>211</v>
      </c>
      <c r="W43">
        <f>+GETPIVOTDATA("mol",$N$17,"Cn",10,"Class","Aromatic")</f>
        <v>7.3831740830595086E-2</v>
      </c>
      <c r="X43">
        <f t="shared" si="0"/>
        <v>0.73831740830595083</v>
      </c>
      <c r="Y43">
        <f t="shared" si="1"/>
        <v>0.60210078762270269</v>
      </c>
      <c r="Z43">
        <f t="shared" si="2"/>
        <v>0.13621662068324811</v>
      </c>
      <c r="AA43">
        <f t="shared" si="3"/>
        <v>7.1269858538712634E-3</v>
      </c>
      <c r="AB43">
        <f t="shared" si="4"/>
        <v>1.0949511453270907E-3</v>
      </c>
    </row>
    <row r="44" spans="1:35" x14ac:dyDescent="0.2">
      <c r="A44" t="s">
        <v>338</v>
      </c>
      <c r="B44">
        <f>+'5% CO'!T2</f>
        <v>3</v>
      </c>
      <c r="C44" t="str">
        <f>+'5% CO'!U2</f>
        <v>paraffin</v>
      </c>
      <c r="D44" t="str">
        <f>+'5% CO'!R2</f>
        <v>Propane</v>
      </c>
      <c r="E44">
        <f>+'10% CO'!Z2</f>
        <v>2.1944762553205616E-2</v>
      </c>
      <c r="F44" t="s">
        <v>376</v>
      </c>
      <c r="G44">
        <f>VLOOKUP(Tabella10[[#This Row],[Name]],Tabella278[],5,FALSE)</f>
        <v>1</v>
      </c>
      <c r="N44">
        <v>8</v>
      </c>
      <c r="O44" t="s">
        <v>73</v>
      </c>
      <c r="P44">
        <v>4.7723323669308183E-2</v>
      </c>
      <c r="R44">
        <v>39</v>
      </c>
      <c r="S44" s="12">
        <v>11</v>
      </c>
      <c r="T44" s="11" t="s">
        <v>212</v>
      </c>
      <c r="U44" s="11" t="s">
        <v>213</v>
      </c>
      <c r="V44" s="11" t="s">
        <v>214</v>
      </c>
      <c r="W44">
        <f>+GETPIVOTDATA("mol",$N$17,"Cn",11,"Class","paraffin")</f>
        <v>8.9984230827715783E-2</v>
      </c>
      <c r="X44">
        <f t="shared" si="0"/>
        <v>0.98982653910487362</v>
      </c>
      <c r="Y44">
        <f t="shared" si="1"/>
        <v>0.80720748569690037</v>
      </c>
      <c r="Z44">
        <f t="shared" si="2"/>
        <v>0.18261905340797324</v>
      </c>
      <c r="AA44">
        <f t="shared" si="3"/>
        <v>9.5548061885376602E-3</v>
      </c>
      <c r="AB44">
        <f t="shared" si="4"/>
        <v>1.4679481893225411E-3</v>
      </c>
    </row>
    <row r="45" spans="1:35" x14ac:dyDescent="0.2">
      <c r="B45">
        <f>+'5% CO'!T3</f>
        <v>4</v>
      </c>
      <c r="C45" t="str">
        <f>+'5% CO'!U3</f>
        <v>Olefin</v>
      </c>
      <c r="D45" t="str">
        <f>+'5% CO'!R3</f>
        <v>Butene-1</v>
      </c>
      <c r="E45">
        <f>+'10% CO'!Z3</f>
        <v>0.13797940607049589</v>
      </c>
      <c r="F45" t="s">
        <v>376</v>
      </c>
      <c r="G45">
        <f>VLOOKUP(Tabella10[[#This Row],[Name]],Tabella278[],5,FALSE)</f>
        <v>2</v>
      </c>
      <c r="N45">
        <v>8</v>
      </c>
      <c r="O45" t="s">
        <v>60</v>
      </c>
      <c r="P45">
        <v>0.29186969854691081</v>
      </c>
      <c r="R45">
        <v>40</v>
      </c>
      <c r="S45" s="12">
        <v>11</v>
      </c>
      <c r="T45" s="10" t="s">
        <v>215</v>
      </c>
      <c r="U45" s="10" t="s">
        <v>216</v>
      </c>
      <c r="V45" s="10" t="s">
        <v>217</v>
      </c>
      <c r="W45">
        <f>+GETPIVOTDATA("mol",$N$17,"Cn",11,"Class","iso-paraffin")</f>
        <v>9.843091099268958E-2</v>
      </c>
      <c r="X45">
        <f t="shared" si="0"/>
        <v>1.0827400209195854</v>
      </c>
      <c r="Y45">
        <f t="shared" si="1"/>
        <v>0.88297880024543041</v>
      </c>
      <c r="Z45">
        <f t="shared" si="2"/>
        <v>0.19976122067415508</v>
      </c>
      <c r="AA45">
        <f t="shared" si="3"/>
        <v>1.045170102411625E-2</v>
      </c>
      <c r="AB45">
        <f t="shared" si="4"/>
        <v>1.6057422087846806E-3</v>
      </c>
    </row>
    <row r="46" spans="1:35" x14ac:dyDescent="0.2">
      <c r="B46">
        <f>+'5% CO'!T4</f>
        <v>4</v>
      </c>
      <c r="C46" t="str">
        <f>+'5% CO'!U4</f>
        <v>paraffin</v>
      </c>
      <c r="D46" t="str">
        <f>+'5% CO'!R4</f>
        <v>n-Butane</v>
      </c>
      <c r="E46">
        <f>+'10% CO'!Z4</f>
        <v>1.3184906258924023E-2</v>
      </c>
      <c r="F46" t="s">
        <v>376</v>
      </c>
      <c r="G46">
        <f>VLOOKUP(Tabella10[[#This Row],[Name]],Tabella278[],5,FALSE)</f>
        <v>3</v>
      </c>
      <c r="N46">
        <v>8</v>
      </c>
      <c r="O46" t="s">
        <v>76</v>
      </c>
      <c r="P46">
        <v>2.505445756812455E-2</v>
      </c>
      <c r="R46">
        <v>41</v>
      </c>
      <c r="S46" s="12">
        <v>11</v>
      </c>
      <c r="T46" s="10" t="s">
        <v>219</v>
      </c>
      <c r="U46" s="10" t="s">
        <v>220</v>
      </c>
      <c r="V46" s="10" t="s">
        <v>221</v>
      </c>
      <c r="W46">
        <f>+GETPIVOTDATA("mol",$N$17,"Cn",11,"Class","Aromatic")</f>
        <v>3.9455139593320178E-2</v>
      </c>
      <c r="X46">
        <f t="shared" si="0"/>
        <v>0.43400653552652196</v>
      </c>
      <c r="Y46">
        <f t="shared" si="1"/>
        <v>0.35393405862324318</v>
      </c>
      <c r="Z46">
        <f t="shared" si="2"/>
        <v>8.0072476903278775E-2</v>
      </c>
      <c r="AA46">
        <f t="shared" si="3"/>
        <v>4.1894697380661329E-3</v>
      </c>
      <c r="AB46">
        <f t="shared" si="4"/>
        <v>6.4364722788343566E-4</v>
      </c>
    </row>
    <row r="47" spans="1:35" x14ac:dyDescent="0.2">
      <c r="B47">
        <f>+'5% CO'!T5</f>
        <v>4</v>
      </c>
      <c r="C47" t="str">
        <f>+'5% CO'!U5</f>
        <v>iso-paraffin</v>
      </c>
      <c r="D47" t="str">
        <f>+'5% CO'!R5</f>
        <v>i-Butane</v>
      </c>
      <c r="E47">
        <f>+'10% CO'!Z5</f>
        <v>7.6987156206226167E-3</v>
      </c>
      <c r="F47" t="s">
        <v>376</v>
      </c>
      <c r="G47">
        <f>VLOOKUP(Tabella10[[#This Row],[Name]],Tabella278[],5,FALSE)</f>
        <v>4</v>
      </c>
      <c r="N47">
        <v>9</v>
      </c>
      <c r="O47" t="s">
        <v>67</v>
      </c>
      <c r="P47">
        <v>7.2879304054369931E-2</v>
      </c>
      <c r="R47">
        <v>42</v>
      </c>
      <c r="S47" s="12">
        <v>11</v>
      </c>
      <c r="T47" s="17" t="s">
        <v>65</v>
      </c>
      <c r="V47" s="16" t="s">
        <v>357</v>
      </c>
      <c r="W47">
        <f>+GETPIVOTDATA("mol",$N$17,"Cn",11,"Class","Olefin")</f>
        <v>6.3372814718665973E-2</v>
      </c>
      <c r="X47">
        <f t="shared" si="0"/>
        <v>0.69710096190532567</v>
      </c>
      <c r="Y47">
        <f t="shared" si="1"/>
        <v>0.56848861139382845</v>
      </c>
      <c r="Z47">
        <f t="shared" si="2"/>
        <v>0.12861235051149719</v>
      </c>
      <c r="AA47">
        <f t="shared" si="3"/>
        <v>6.7291230551081976E-3</v>
      </c>
      <c r="AB47">
        <f t="shared" si="4"/>
        <v>1.0338256799310808E-3</v>
      </c>
    </row>
    <row r="48" spans="1:35" x14ac:dyDescent="0.2">
      <c r="B48">
        <f>+'5% CO'!T6</f>
        <v>5</v>
      </c>
      <c r="C48" t="str">
        <f>+'5% CO'!U6</f>
        <v>Olefin</v>
      </c>
      <c r="D48" t="str">
        <f>+'5% CO'!R6</f>
        <v>1,4-Pentadiene</v>
      </c>
      <c r="E48">
        <f>+'10% CO'!Z6</f>
        <v>0.29845126020318269</v>
      </c>
      <c r="F48" t="s">
        <v>376</v>
      </c>
      <c r="G48">
        <f>VLOOKUP(Tabella10[[#This Row],[Name]],Tabella278[],5,FALSE)</f>
        <v>5</v>
      </c>
      <c r="N48">
        <v>9</v>
      </c>
      <c r="O48" t="s">
        <v>57</v>
      </c>
      <c r="P48">
        <v>0.27953121534732756</v>
      </c>
      <c r="R48">
        <v>43</v>
      </c>
      <c r="S48" s="12">
        <v>12</v>
      </c>
      <c r="T48" s="10" t="s">
        <v>222</v>
      </c>
      <c r="U48" s="10" t="s">
        <v>223</v>
      </c>
      <c r="V48" s="10" t="s">
        <v>224</v>
      </c>
      <c r="W48">
        <f>+GETPIVOTDATA("mol",$N$17,"Cn",12,"Class","iso-paraffin")</f>
        <v>6.9381796070089666E-2</v>
      </c>
      <c r="X48">
        <f t="shared" si="0"/>
        <v>0.83258155284107604</v>
      </c>
      <c r="Y48">
        <f t="shared" si="1"/>
        <v>0.67897357300020789</v>
      </c>
      <c r="Z48">
        <f t="shared" si="2"/>
        <v>0.15360797984086821</v>
      </c>
      <c r="AA48">
        <f t="shared" si="3"/>
        <v>8.0369186511631292E-3</v>
      </c>
      <c r="AB48">
        <f t="shared" si="4"/>
        <v>1.234748245951925E-3</v>
      </c>
    </row>
    <row r="49" spans="2:28" x14ac:dyDescent="0.2">
      <c r="B49">
        <f>+'5% CO'!T7</f>
        <v>5</v>
      </c>
      <c r="C49" t="str">
        <f>+'5% CO'!U7</f>
        <v>paraffin</v>
      </c>
      <c r="D49" t="str">
        <f>+'5% CO'!R7</f>
        <v>n-Pentane</v>
      </c>
      <c r="E49">
        <f>+'10% CO'!Z7</f>
        <v>2.6257785936464689E-2</v>
      </c>
      <c r="F49" t="s">
        <v>376</v>
      </c>
      <c r="G49">
        <f>VLOOKUP(Tabella10[[#This Row],[Name]],Tabella278[],5,FALSE)</f>
        <v>6</v>
      </c>
      <c r="N49">
        <v>9</v>
      </c>
      <c r="O49" t="s">
        <v>73</v>
      </c>
      <c r="P49">
        <v>2.9039779374151278E-2</v>
      </c>
      <c r="R49">
        <v>44</v>
      </c>
      <c r="S49" s="12">
        <v>12</v>
      </c>
      <c r="T49" s="11" t="s">
        <v>225</v>
      </c>
      <c r="U49" s="11" t="s">
        <v>226</v>
      </c>
      <c r="V49" s="11" t="s">
        <v>227</v>
      </c>
      <c r="W49">
        <f>+GETPIVOTDATA("mol",$N$17,"Cn",12,"Class","paraffin")</f>
        <v>0.10087648909937987</v>
      </c>
      <c r="X49">
        <f t="shared" si="0"/>
        <v>1.2105178691925584</v>
      </c>
      <c r="Y49">
        <f t="shared" si="1"/>
        <v>0.98718214452579456</v>
      </c>
      <c r="Z49">
        <f t="shared" si="2"/>
        <v>0.22333572466676385</v>
      </c>
      <c r="AA49">
        <f t="shared" si="3"/>
        <v>1.168514196270809E-2</v>
      </c>
      <c r="AB49">
        <f t="shared" si="4"/>
        <v>1.7952413317092557E-3</v>
      </c>
    </row>
    <row r="50" spans="2:28" x14ac:dyDescent="0.2">
      <c r="B50">
        <f>+'5% CO'!T8</f>
        <v>5</v>
      </c>
      <c r="C50" t="str">
        <f>+'5% CO'!U8</f>
        <v>iso-paraffin</v>
      </c>
      <c r="D50" t="str">
        <f>+'5% CO'!R8</f>
        <v>(C5-IsoParaffin)</v>
      </c>
      <c r="E50">
        <f>+'10% CO'!Z8</f>
        <v>2.2215493458215389E-2</v>
      </c>
      <c r="F50" t="s">
        <v>376</v>
      </c>
      <c r="G50">
        <f>VLOOKUP(Tabella10[[#This Row],[Name]],Tabella278[],5,FALSE)</f>
        <v>7</v>
      </c>
      <c r="N50">
        <v>9</v>
      </c>
      <c r="O50" t="s">
        <v>60</v>
      </c>
      <c r="P50">
        <v>5.151355633944496E-2</v>
      </c>
      <c r="R50">
        <v>45</v>
      </c>
      <c r="S50" s="12">
        <v>12</v>
      </c>
      <c r="T50" s="11" t="s">
        <v>228</v>
      </c>
      <c r="U50" s="11" t="s">
        <v>229</v>
      </c>
      <c r="V50" s="11" t="s">
        <v>230</v>
      </c>
      <c r="W50">
        <f>+GETPIVOTDATA("mol",$N$17,"Cn",12,"Class","Olefin")</f>
        <v>6.8149503674872804E-3</v>
      </c>
      <c r="X50">
        <f t="shared" si="0"/>
        <v>8.1779404409847364E-2</v>
      </c>
      <c r="Y50">
        <f t="shared" si="1"/>
        <v>6.6691430071333671E-2</v>
      </c>
      <c r="Z50">
        <f t="shared" si="2"/>
        <v>1.5087974338513698E-2</v>
      </c>
      <c r="AA50">
        <f t="shared" si="3"/>
        <v>7.8941746708141624E-4</v>
      </c>
      <c r="AB50">
        <f t="shared" si="4"/>
        <v>1.2128178411529943E-4</v>
      </c>
    </row>
    <row r="51" spans="2:28" x14ac:dyDescent="0.2">
      <c r="B51">
        <f>+'5% CO'!T9</f>
        <v>5</v>
      </c>
      <c r="C51" t="str">
        <f>+'5% CO'!U9</f>
        <v>Naphthene</v>
      </c>
      <c r="D51" t="str">
        <f>+'5% CO'!R9</f>
        <v>Cyclopentane</v>
      </c>
      <c r="E51">
        <f>+'10% CO'!Z9</f>
        <v>9.2919825558525175E-3</v>
      </c>
      <c r="F51" t="s">
        <v>376</v>
      </c>
      <c r="G51">
        <f>VLOOKUP(Tabella10[[#This Row],[Name]],Tabella278[],5,FALSE)</f>
        <v>8</v>
      </c>
      <c r="N51">
        <v>9</v>
      </c>
      <c r="O51" t="s">
        <v>76</v>
      </c>
      <c r="P51">
        <v>5.2091431438708896E-2</v>
      </c>
      <c r="R51">
        <v>46</v>
      </c>
      <c r="S51" s="12">
        <v>12</v>
      </c>
      <c r="T51" s="10" t="s">
        <v>231</v>
      </c>
      <c r="U51" s="10" t="s">
        <v>232</v>
      </c>
      <c r="V51" s="10" t="s">
        <v>233</v>
      </c>
      <c r="W51">
        <f>+GETPIVOTDATA("mol",$N$17,"Cn",12,"Class","Aromatic")</f>
        <v>2.4020366158280512E-2</v>
      </c>
      <c r="X51">
        <f t="shared" si="0"/>
        <v>0.28824439389936612</v>
      </c>
      <c r="Y51">
        <f t="shared" si="1"/>
        <v>0.23506445147060484</v>
      </c>
      <c r="Z51">
        <f t="shared" si="2"/>
        <v>5.3179942428761298E-2</v>
      </c>
      <c r="AA51">
        <f t="shared" si="3"/>
        <v>2.7824262230143615E-3</v>
      </c>
      <c r="AB51">
        <f t="shared" si="4"/>
        <v>4.2747675414885679E-4</v>
      </c>
    </row>
    <row r="52" spans="2:28" x14ac:dyDescent="0.2">
      <c r="B52">
        <f>+'5% CO'!T10</f>
        <v>6</v>
      </c>
      <c r="C52" t="str">
        <f>+'5% CO'!U10</f>
        <v>iso-paraffin</v>
      </c>
      <c r="D52" t="str">
        <f>+'5% CO'!R10</f>
        <v>3-Methylpentane</v>
      </c>
      <c r="E52">
        <f>+'10% CO'!Z10</f>
        <v>0.29857884603198037</v>
      </c>
      <c r="F52" t="s">
        <v>376</v>
      </c>
      <c r="G52">
        <f>VLOOKUP(Tabella10[[#This Row],[Name]],Tabella278[],5,FALSE)</f>
        <v>9</v>
      </c>
      <c r="N52">
        <v>10</v>
      </c>
      <c r="O52" t="s">
        <v>67</v>
      </c>
      <c r="P52">
        <v>7.3831740830595086E-2</v>
      </c>
      <c r="R52">
        <v>47</v>
      </c>
      <c r="S52" s="12">
        <v>12</v>
      </c>
      <c r="V52" s="16" t="s">
        <v>355</v>
      </c>
      <c r="W52">
        <f>+GETPIVOTDATA("mol",$N$17,"Cn",12,"Class","Naphthene")</f>
        <v>6.2423700626390334E-3</v>
      </c>
      <c r="X52">
        <f t="shared" si="0"/>
        <v>7.4908440751668401E-2</v>
      </c>
      <c r="Y52">
        <f t="shared" si="1"/>
        <v>6.1088131837029824E-2</v>
      </c>
      <c r="Z52">
        <f t="shared" si="2"/>
        <v>1.3820308914638575E-2</v>
      </c>
      <c r="AA52">
        <f t="shared" si="3"/>
        <v>7.230919812627035E-4</v>
      </c>
      <c r="AB52">
        <f t="shared" si="4"/>
        <v>1.1109189905721035E-4</v>
      </c>
    </row>
    <row r="53" spans="2:28" x14ac:dyDescent="0.2">
      <c r="B53">
        <f>+'5% CO'!T11</f>
        <v>6</v>
      </c>
      <c r="C53" t="str">
        <f>+'5% CO'!U11</f>
        <v>Olefin</v>
      </c>
      <c r="D53" t="str">
        <f>+'5% CO'!R11</f>
        <v>1t,4-Hexadiene</v>
      </c>
      <c r="E53">
        <f>+'10% CO'!Z11</f>
        <v>0.12111007002385271</v>
      </c>
      <c r="F53" t="s">
        <v>376</v>
      </c>
      <c r="G53">
        <f>VLOOKUP(Tabella10[[#This Row],[Name]],Tabella278[],5,FALSE)</f>
        <v>10</v>
      </c>
      <c r="N53">
        <v>10</v>
      </c>
      <c r="O53" t="s">
        <v>57</v>
      </c>
      <c r="P53">
        <v>9.5023435808945927E-2</v>
      </c>
      <c r="R53">
        <v>48</v>
      </c>
      <c r="S53" s="12">
        <v>13</v>
      </c>
      <c r="T53" s="10" t="s">
        <v>234</v>
      </c>
      <c r="U53" s="10" t="s">
        <v>235</v>
      </c>
      <c r="V53" s="10" t="s">
        <v>236</v>
      </c>
      <c r="W53">
        <f>+GETPIVOTDATA("mol",$N$17,"Cn",13,"Class","iso-paraffin")</f>
        <v>2.5062835735042269E-2</v>
      </c>
      <c r="X53">
        <f t="shared" si="0"/>
        <v>0.32581686455554948</v>
      </c>
      <c r="Y53">
        <f t="shared" si="1"/>
        <v>0.26570495096380436</v>
      </c>
      <c r="Z53">
        <f t="shared" si="2"/>
        <v>6.0111913591745114E-2</v>
      </c>
      <c r="AA53">
        <f t="shared" si="3"/>
        <v>3.1451136848690427E-3</v>
      </c>
      <c r="AB53">
        <f t="shared" si="4"/>
        <v>4.8319807307610669E-4</v>
      </c>
    </row>
    <row r="54" spans="2:28" x14ac:dyDescent="0.2">
      <c r="B54">
        <f>+'5% CO'!T12</f>
        <v>6</v>
      </c>
      <c r="C54" t="str">
        <f>+'5% CO'!U12</f>
        <v>Naphthene</v>
      </c>
      <c r="D54" t="str">
        <f>+'5% CO'!R12</f>
        <v>Cyclohexane</v>
      </c>
      <c r="E54">
        <f>+'10% CO'!Z12</f>
        <v>3.0001340864358388E-2</v>
      </c>
      <c r="F54" t="s">
        <v>376</v>
      </c>
      <c r="G54">
        <f>VLOOKUP(Tabella10[[#This Row],[Name]],Tabella278[],5,FALSE)</f>
        <v>11</v>
      </c>
      <c r="N54">
        <v>10</v>
      </c>
      <c r="O54" t="s">
        <v>73</v>
      </c>
      <c r="P54">
        <v>6.0313866677003856E-2</v>
      </c>
      <c r="R54">
        <v>49</v>
      </c>
      <c r="S54" s="12">
        <v>13</v>
      </c>
      <c r="T54" s="11" t="s">
        <v>237</v>
      </c>
      <c r="U54" s="11" t="s">
        <v>238</v>
      </c>
      <c r="V54" s="11" t="s">
        <v>239</v>
      </c>
      <c r="W54">
        <f>+GETPIVOTDATA("mol",$N$17,"Cn",13,"Class","Olefin")</f>
        <v>2.165847240078149E-3</v>
      </c>
      <c r="X54">
        <f t="shared" si="0"/>
        <v>2.8156014121015937E-2</v>
      </c>
      <c r="Y54">
        <f t="shared" si="1"/>
        <v>2.2961341677527659E-2</v>
      </c>
      <c r="Z54">
        <f t="shared" si="2"/>
        <v>5.1946724434882774E-3</v>
      </c>
      <c r="AA54">
        <f t="shared" si="3"/>
        <v>2.717903060179852E-4</v>
      </c>
      <c r="AB54">
        <f t="shared" si="4"/>
        <v>4.175637681412592E-5</v>
      </c>
    </row>
    <row r="55" spans="2:28" x14ac:dyDescent="0.2">
      <c r="B55">
        <f>+'5% CO'!T13</f>
        <v>6</v>
      </c>
      <c r="C55" t="str">
        <f>+'5% CO'!U13</f>
        <v>paraffin</v>
      </c>
      <c r="D55" t="str">
        <f>+'5% CO'!R13</f>
        <v>n-Hexane</v>
      </c>
      <c r="E55">
        <f>+'10% CO'!Z13</f>
        <v>3.3919159363292855E-3</v>
      </c>
      <c r="F55" t="s">
        <v>376</v>
      </c>
      <c r="G55">
        <f>VLOOKUP(Tabella10[[#This Row],[Name]],Tabella278[],5,FALSE)</f>
        <v>12</v>
      </c>
      <c r="N55">
        <v>10</v>
      </c>
      <c r="O55" t="s">
        <v>60</v>
      </c>
      <c r="P55">
        <v>0.10367126552184416</v>
      </c>
      <c r="R55">
        <v>50</v>
      </c>
      <c r="S55" s="12">
        <v>13</v>
      </c>
      <c r="T55" s="10" t="s">
        <v>240</v>
      </c>
      <c r="U55" s="10" t="s">
        <v>241</v>
      </c>
      <c r="V55" s="10" t="s">
        <v>242</v>
      </c>
      <c r="W55">
        <f>+GETPIVOTDATA("mol",$N$17,"Cn",13,"Class","paraffin")</f>
        <v>0.10471940296983243</v>
      </c>
      <c r="X55">
        <f t="shared" si="0"/>
        <v>1.3613522386078216</v>
      </c>
      <c r="Y55">
        <f t="shared" si="1"/>
        <v>1.1101881736452786</v>
      </c>
      <c r="Z55">
        <f t="shared" si="2"/>
        <v>0.25116406496254312</v>
      </c>
      <c r="AA55">
        <f t="shared" si="3"/>
        <v>1.314114774695029E-2</v>
      </c>
      <c r="AB55">
        <f t="shared" si="4"/>
        <v>2.0189341008190593E-3</v>
      </c>
    </row>
    <row r="56" spans="2:28" x14ac:dyDescent="0.2">
      <c r="B56">
        <f>+'5% CO'!T14</f>
        <v>6</v>
      </c>
      <c r="C56" t="str">
        <f>+'5% CO'!U14</f>
        <v>Aromatic</v>
      </c>
      <c r="D56" t="str">
        <f>+'5% CO'!R14</f>
        <v>Benzene</v>
      </c>
      <c r="E56">
        <f>+'10% CO'!Z14</f>
        <v>2.4894795862967231E-3</v>
      </c>
      <c r="F56" t="s">
        <v>376</v>
      </c>
      <c r="G56">
        <f>VLOOKUP(Tabella10[[#This Row],[Name]],Tabella278[],5,FALSE)</f>
        <v>13</v>
      </c>
      <c r="N56">
        <v>10</v>
      </c>
      <c r="O56" t="s">
        <v>76</v>
      </c>
      <c r="P56">
        <v>7.7932189982597849E-2</v>
      </c>
      <c r="R56">
        <v>51</v>
      </c>
      <c r="S56" s="12">
        <v>14</v>
      </c>
      <c r="T56" s="11" t="s">
        <v>243</v>
      </c>
      <c r="U56" s="11" t="s">
        <v>244</v>
      </c>
      <c r="V56" s="11" t="s">
        <v>245</v>
      </c>
      <c r="W56">
        <f>+GETPIVOTDATA("mol",$N$17,"Cn",14,"Class","iso-paraffin")</f>
        <v>5.7009082526194941E-3</v>
      </c>
      <c r="X56">
        <f t="shared" si="0"/>
        <v>7.9812715536672921E-2</v>
      </c>
      <c r="Y56">
        <f t="shared" si="1"/>
        <v>6.5087587460790144E-2</v>
      </c>
      <c r="Z56">
        <f t="shared" si="2"/>
        <v>1.4725128075882769E-2</v>
      </c>
      <c r="AA56">
        <f t="shared" si="3"/>
        <v>7.7043299831446542E-4</v>
      </c>
      <c r="AB56">
        <f t="shared" si="4"/>
        <v>1.1836511411678838E-4</v>
      </c>
    </row>
    <row r="57" spans="2:28" x14ac:dyDescent="0.2">
      <c r="B57">
        <f>+'5% CO'!T15</f>
        <v>7</v>
      </c>
      <c r="C57" t="str">
        <f>+'5% CO'!U15</f>
        <v>iso-paraffin</v>
      </c>
      <c r="D57" t="str">
        <f>+'5% CO'!R15</f>
        <v>3-Ethylpentane</v>
      </c>
      <c r="E57">
        <f>+'10% CO'!Z15</f>
        <v>0.25462397208642884</v>
      </c>
      <c r="F57" t="s">
        <v>376</v>
      </c>
      <c r="G57">
        <f>VLOOKUP(Tabella10[[#This Row],[Name]],Tabella278[],5,FALSE)</f>
        <v>14</v>
      </c>
      <c r="N57">
        <v>11</v>
      </c>
      <c r="O57" t="s">
        <v>67</v>
      </c>
      <c r="P57">
        <v>3.9455139593320178E-2</v>
      </c>
      <c r="R57">
        <v>52</v>
      </c>
      <c r="S57" s="12">
        <v>14</v>
      </c>
      <c r="T57" s="10" t="s">
        <v>246</v>
      </c>
      <c r="U57" s="10" t="s">
        <v>247</v>
      </c>
      <c r="V57" s="10" t="s">
        <v>248</v>
      </c>
      <c r="W57">
        <f>+GETPIVOTDATA("mol",$N$17,"Cn",14,"Class","paraffin")</f>
        <v>0.10279794603460617</v>
      </c>
      <c r="X57">
        <f t="shared" si="0"/>
        <v>1.4391712444844864</v>
      </c>
      <c r="Y57">
        <f t="shared" si="1"/>
        <v>1.1736498829362227</v>
      </c>
      <c r="Z57">
        <f t="shared" si="2"/>
        <v>0.26552136154826372</v>
      </c>
      <c r="AA57">
        <f t="shared" si="3"/>
        <v>1.3892335444552956E-2</v>
      </c>
      <c r="AB57">
        <f t="shared" si="4"/>
        <v>2.1343424721432264E-3</v>
      </c>
    </row>
    <row r="58" spans="2:28" x14ac:dyDescent="0.2">
      <c r="B58">
        <f>+'5% CO'!T16</f>
        <v>7</v>
      </c>
      <c r="C58" t="str">
        <f>+'5% CO'!U16</f>
        <v>Olefin</v>
      </c>
      <c r="D58" t="str">
        <f>+'5% CO'!R16</f>
        <v>2,4-Dimethylpentene-1</v>
      </c>
      <c r="E58">
        <f>+'10% CO'!Z16</f>
        <v>0.17772083581624015</v>
      </c>
      <c r="F58" t="s">
        <v>376</v>
      </c>
      <c r="G58">
        <f>VLOOKUP(Tabella10[[#This Row],[Name]],Tabella278[],5,FALSE)</f>
        <v>15</v>
      </c>
      <c r="N58">
        <v>11</v>
      </c>
      <c r="O58" t="s">
        <v>57</v>
      </c>
      <c r="P58">
        <v>9.843091099268958E-2</v>
      </c>
      <c r="R58">
        <v>53</v>
      </c>
      <c r="S58" s="12">
        <v>15</v>
      </c>
      <c r="T58" s="11" t="s">
        <v>249</v>
      </c>
      <c r="U58" s="11" t="s">
        <v>250</v>
      </c>
      <c r="V58" s="11" t="s">
        <v>251</v>
      </c>
      <c r="W58">
        <f>+GETPIVOTDATA("mol",$N$17,"Cn",15,"Class","iso-paraffin")</f>
        <v>4.496622502748457E-3</v>
      </c>
      <c r="X58">
        <f t="shared" si="0"/>
        <v>6.7449337541226853E-2</v>
      </c>
      <c r="Y58">
        <f t="shared" si="1"/>
        <v>5.500520345495271E-2</v>
      </c>
      <c r="Z58">
        <f t="shared" si="2"/>
        <v>1.2444134086274141E-2</v>
      </c>
      <c r="AA58">
        <f t="shared" si="3"/>
        <v>6.5108917804374792E-4</v>
      </c>
      <c r="AB58">
        <f t="shared" si="4"/>
        <v>1.0002978199007289E-4</v>
      </c>
    </row>
    <row r="59" spans="2:28" x14ac:dyDescent="0.2">
      <c r="B59">
        <f>+'5% CO'!T17</f>
        <v>7</v>
      </c>
      <c r="C59" t="str">
        <f>+'5% CO'!U17</f>
        <v>Naphthene</v>
      </c>
      <c r="D59" t="str">
        <f>+'5% CO'!R17</f>
        <v>1c,3-Dimethylcyclopentane</v>
      </c>
      <c r="E59">
        <f>+'10% CO'!Z17</f>
        <v>2.7091761597874093E-2</v>
      </c>
      <c r="F59" t="s">
        <v>376</v>
      </c>
      <c r="G59">
        <f>VLOOKUP(Tabella10[[#This Row],[Name]],Tabella278[],5,FALSE)</f>
        <v>16</v>
      </c>
      <c r="N59">
        <v>11</v>
      </c>
      <c r="O59" t="s">
        <v>60</v>
      </c>
      <c r="P59">
        <v>6.3372814718665973E-2</v>
      </c>
      <c r="R59">
        <v>54</v>
      </c>
      <c r="S59" s="12">
        <v>15</v>
      </c>
      <c r="T59" s="10" t="s">
        <v>252</v>
      </c>
      <c r="U59" s="10" t="s">
        <v>253</v>
      </c>
      <c r="V59" s="10" t="s">
        <v>254</v>
      </c>
      <c r="W59">
        <f>+GETPIVOTDATA("mol",$N$17,"Cn",15,"Class","paraffin")</f>
        <v>9.1269204423248443E-2</v>
      </c>
      <c r="X59">
        <f t="shared" si="0"/>
        <v>1.3690380663487267</v>
      </c>
      <c r="Y59">
        <f t="shared" si="1"/>
        <v>1.1164559967851249</v>
      </c>
      <c r="Z59">
        <f t="shared" si="2"/>
        <v>0.25258206956360196</v>
      </c>
      <c r="AA59">
        <f t="shared" si="3"/>
        <v>1.3215339124491294E-2</v>
      </c>
      <c r="AB59">
        <f t="shared" si="4"/>
        <v>2.0303324584807058E-3</v>
      </c>
    </row>
    <row r="60" spans="2:28" x14ac:dyDescent="0.2">
      <c r="B60">
        <f>+'5% CO'!T18</f>
        <v>7</v>
      </c>
      <c r="C60" t="str">
        <f>+'5% CO'!U18</f>
        <v>Aromatic</v>
      </c>
      <c r="D60" t="str">
        <f>+'5% CO'!R18</f>
        <v>Toluene</v>
      </c>
      <c r="E60">
        <f>+'10% CO'!Z18</f>
        <v>6.6562460438608648E-3</v>
      </c>
      <c r="F60" t="s">
        <v>376</v>
      </c>
      <c r="G60">
        <f>VLOOKUP(Tabella10[[#This Row],[Name]],Tabella278[],5,FALSE)</f>
        <v>17</v>
      </c>
      <c r="N60">
        <v>11</v>
      </c>
      <c r="O60" t="s">
        <v>76</v>
      </c>
      <c r="P60">
        <v>8.9984230827715783E-2</v>
      </c>
      <c r="R60">
        <v>55</v>
      </c>
      <c r="S60" s="12">
        <v>16</v>
      </c>
      <c r="T60" s="11" t="s">
        <v>255</v>
      </c>
      <c r="U60" s="11" t="s">
        <v>256</v>
      </c>
      <c r="V60" s="11" t="s">
        <v>257</v>
      </c>
      <c r="W60">
        <f>+GETPIVOTDATA("mol",$N$17,"Cn",16,"Class","iso-paraffin")</f>
        <v>1.146716534437928E-2</v>
      </c>
      <c r="X60">
        <f t="shared" si="0"/>
        <v>0.18347464551006848</v>
      </c>
      <c r="Y60">
        <f t="shared" si="1"/>
        <v>0.1496243043000697</v>
      </c>
      <c r="Z60">
        <f t="shared" si="2"/>
        <v>3.3850341209998761E-2</v>
      </c>
      <c r="AA60">
        <f t="shared" si="3"/>
        <v>1.7710827191446074E-3</v>
      </c>
      <c r="AB60">
        <f t="shared" si="4"/>
        <v>2.7209946694969759E-4</v>
      </c>
    </row>
    <row r="61" spans="2:28" x14ac:dyDescent="0.2">
      <c r="B61">
        <f>+'5% CO'!T19</f>
        <v>8</v>
      </c>
      <c r="C61" t="str">
        <f>+'5% CO'!U19</f>
        <v>Olefin</v>
      </c>
      <c r="D61" t="str">
        <f>+'5% CO'!R19</f>
        <v>Octene-1</v>
      </c>
      <c r="E61">
        <f>+'10% CO'!Z19</f>
        <v>0.29186969854691081</v>
      </c>
      <c r="F61" t="s">
        <v>376</v>
      </c>
      <c r="G61">
        <f>VLOOKUP(Tabella10[[#This Row],[Name]],Tabella278[],5,FALSE)</f>
        <v>18</v>
      </c>
      <c r="N61">
        <v>12</v>
      </c>
      <c r="O61" t="s">
        <v>67</v>
      </c>
      <c r="P61">
        <v>2.4020366158280512E-2</v>
      </c>
      <c r="R61">
        <v>56</v>
      </c>
      <c r="S61" s="12">
        <v>16</v>
      </c>
      <c r="T61" s="10" t="s">
        <v>258</v>
      </c>
      <c r="U61" s="10" t="s">
        <v>259</v>
      </c>
      <c r="V61" s="10" t="s">
        <v>260</v>
      </c>
      <c r="W61">
        <f>+GETPIVOTDATA("mol",$N$17,"Cn",16,"Class","paraffin")</f>
        <v>7.3976092006211927E-2</v>
      </c>
      <c r="X61">
        <f t="shared" si="0"/>
        <v>1.1836174720993908</v>
      </c>
      <c r="Y61">
        <f t="shared" si="1"/>
        <v>0.96524476353633282</v>
      </c>
      <c r="Z61">
        <f t="shared" si="2"/>
        <v>0.21837270856305804</v>
      </c>
      <c r="AA61">
        <f t="shared" si="3"/>
        <v>1.1425472141314581E-2</v>
      </c>
      <c r="AB61">
        <f t="shared" si="4"/>
        <v>1.7553470798934948E-3</v>
      </c>
    </row>
    <row r="62" spans="2:28" x14ac:dyDescent="0.2">
      <c r="B62">
        <f>+'5% CO'!T20</f>
        <v>8</v>
      </c>
      <c r="C62" t="str">
        <f>+'5% CO'!U20</f>
        <v>Aromatic</v>
      </c>
      <c r="D62" t="str">
        <f>+'5% CO'!R20</f>
        <v>Ethylbenzene</v>
      </c>
      <c r="E62">
        <f>+'10% CO'!Z20</f>
        <v>5.498638036232887E-2</v>
      </c>
      <c r="F62" t="s">
        <v>376</v>
      </c>
      <c r="G62">
        <f>VLOOKUP(Tabella10[[#This Row],[Name]],Tabella278[],5,FALSE)</f>
        <v>19</v>
      </c>
      <c r="N62">
        <v>12</v>
      </c>
      <c r="O62" t="s">
        <v>57</v>
      </c>
      <c r="P62">
        <v>6.9381796070089666E-2</v>
      </c>
      <c r="R62">
        <v>57</v>
      </c>
      <c r="S62" s="12">
        <v>17</v>
      </c>
      <c r="T62" s="11" t="s">
        <v>261</v>
      </c>
      <c r="U62" s="11" t="s">
        <v>262</v>
      </c>
      <c r="V62" s="11" t="s">
        <v>263</v>
      </c>
      <c r="W62">
        <f>+GETPIVOTDATA("mol",$N$17,"Cn",17,"Class","iso-paraffin")</f>
        <v>4.2476745441187838E-3</v>
      </c>
      <c r="X62">
        <f t="shared" si="0"/>
        <v>7.2210467250019325E-2</v>
      </c>
      <c r="Y62">
        <f t="shared" si="1"/>
        <v>5.8887923698831716E-2</v>
      </c>
      <c r="Z62">
        <f t="shared" si="2"/>
        <v>1.3322543551187609E-2</v>
      </c>
      <c r="AA62">
        <f t="shared" si="3"/>
        <v>6.9704841414095354E-4</v>
      </c>
      <c r="AB62">
        <f t="shared" si="4"/>
        <v>1.0709070777760743E-4</v>
      </c>
    </row>
    <row r="63" spans="2:28" x14ac:dyDescent="0.2">
      <c r="B63">
        <f>+'5% CO'!T21</f>
        <v>8</v>
      </c>
      <c r="C63" t="str">
        <f>+'5% CO'!U21</f>
        <v>iso-paraffin</v>
      </c>
      <c r="D63" t="str">
        <f>+'5% CO'!R21</f>
        <v>2-Methyl-3-ethylpentane</v>
      </c>
      <c r="E63">
        <f>+'10% CO'!Z21</f>
        <v>0.10631633758228447</v>
      </c>
      <c r="F63" t="s">
        <v>376</v>
      </c>
      <c r="G63">
        <f>VLOOKUP(Tabella10[[#This Row],[Name]],Tabella278[],5,FALSE)</f>
        <v>20</v>
      </c>
      <c r="N63">
        <v>12</v>
      </c>
      <c r="O63" t="s">
        <v>73</v>
      </c>
      <c r="P63">
        <v>6.2423700626390334E-3</v>
      </c>
      <c r="R63">
        <v>58</v>
      </c>
      <c r="S63" s="12">
        <v>17</v>
      </c>
      <c r="T63" s="10" t="s">
        <v>264</v>
      </c>
      <c r="U63" s="10" t="s">
        <v>265</v>
      </c>
      <c r="V63" s="10" t="s">
        <v>266</v>
      </c>
      <c r="W63">
        <f>+GETPIVOTDATA("mol",$N$17,"Cn",17,"Class","paraffin")</f>
        <v>6.436880733008038E-2</v>
      </c>
      <c r="X63">
        <f t="shared" si="0"/>
        <v>1.0942697246113664</v>
      </c>
      <c r="Y63">
        <f t="shared" si="1"/>
        <v>0.8923813195356175</v>
      </c>
      <c r="Z63">
        <f t="shared" si="2"/>
        <v>0.20188840507574887</v>
      </c>
      <c r="AA63">
        <f t="shared" si="3"/>
        <v>1.056299737740039E-2</v>
      </c>
      <c r="AB63">
        <f t="shared" si="4"/>
        <v>1.6228411720768561E-3</v>
      </c>
    </row>
    <row r="64" spans="2:28" x14ac:dyDescent="0.2">
      <c r="B64">
        <f>+'5% CO'!T22</f>
        <v>8</v>
      </c>
      <c r="C64" t="str">
        <f>+'5% CO'!U22</f>
        <v>Naphthene</v>
      </c>
      <c r="D64" t="str">
        <f>+'5% CO'!R22</f>
        <v>1c,2t,3-Trimethylcyclopentane</v>
      </c>
      <c r="E64">
        <f>+'10% CO'!Z22</f>
        <v>4.7723323669308183E-2</v>
      </c>
      <c r="F64" t="s">
        <v>376</v>
      </c>
      <c r="G64">
        <f>VLOOKUP(Tabella10[[#This Row],[Name]],Tabella278[],5,FALSE)</f>
        <v>21</v>
      </c>
      <c r="N64">
        <v>12</v>
      </c>
      <c r="O64" t="s">
        <v>60</v>
      </c>
      <c r="P64">
        <v>6.8149503674872804E-3</v>
      </c>
      <c r="R64">
        <v>59</v>
      </c>
      <c r="S64" s="12">
        <v>18</v>
      </c>
      <c r="T64" s="10" t="s">
        <v>267</v>
      </c>
      <c r="U64" s="10" t="s">
        <v>268</v>
      </c>
      <c r="V64" s="10" t="s">
        <v>269</v>
      </c>
      <c r="W64">
        <f>+GETPIVOTDATA("mol",$N$17,"Cn",18,"Class","paraffin")</f>
        <v>5.9565164992014807E-2</v>
      </c>
      <c r="X64">
        <f t="shared" si="0"/>
        <v>1.0721729698562665</v>
      </c>
      <c r="Y64">
        <f t="shared" si="1"/>
        <v>0.87436132800856137</v>
      </c>
      <c r="Z64">
        <f t="shared" si="2"/>
        <v>0.19781164184770522</v>
      </c>
      <c r="AA64">
        <f t="shared" si="3"/>
        <v>1.0349697166970028E-2</v>
      </c>
      <c r="AB64">
        <f t="shared" si="4"/>
        <v>1.5900708937996273E-3</v>
      </c>
    </row>
    <row r="65" spans="2:28" x14ac:dyDescent="0.2">
      <c r="B65">
        <f>+'5% CO'!T23</f>
        <v>8</v>
      </c>
      <c r="C65" t="str">
        <f>+'5% CO'!U23</f>
        <v>paraffin</v>
      </c>
      <c r="D65" t="str">
        <f>+'5% CO'!R23</f>
        <v>n-Octane</v>
      </c>
      <c r="E65">
        <f>+'10% CO'!Z23</f>
        <v>1.0362458777960111E-3</v>
      </c>
      <c r="F65" t="s">
        <v>376</v>
      </c>
      <c r="G65">
        <f>VLOOKUP(Tabella10[[#This Row],[Name]],Tabella278[],5,FALSE)</f>
        <v>22</v>
      </c>
      <c r="N65">
        <v>12</v>
      </c>
      <c r="O65" t="s">
        <v>76</v>
      </c>
      <c r="P65">
        <v>0.10087648909937987</v>
      </c>
      <c r="R65">
        <v>60</v>
      </c>
      <c r="S65" s="12">
        <v>19</v>
      </c>
      <c r="T65" s="11" t="s">
        <v>270</v>
      </c>
      <c r="U65" s="11" t="s">
        <v>271</v>
      </c>
      <c r="V65" s="11" t="s">
        <v>272</v>
      </c>
      <c r="W65">
        <f>+GETPIVOTDATA("mol",$N$17,"Cn",19,"Class","paraffin")</f>
        <v>2.6900397093167962E-2</v>
      </c>
      <c r="X65">
        <f t="shared" si="0"/>
        <v>0.51110754477019127</v>
      </c>
      <c r="Y65">
        <f t="shared" si="1"/>
        <v>0.41681023879977985</v>
      </c>
      <c r="Z65">
        <f t="shared" si="2"/>
        <v>9.4297305970411388E-2</v>
      </c>
      <c r="AA65">
        <f t="shared" si="3"/>
        <v>4.9337266064767484E-3</v>
      </c>
      <c r="AB65">
        <f t="shared" si="4"/>
        <v>7.5799078449946338E-4</v>
      </c>
    </row>
    <row r="66" spans="2:28" x14ac:dyDescent="0.2">
      <c r="B66">
        <f>+'5% CO'!T24</f>
        <v>9</v>
      </c>
      <c r="C66" t="str">
        <f>+'5% CO'!U24</f>
        <v>iso-paraffin</v>
      </c>
      <c r="D66" t="str">
        <f>+'5% CO'!R24</f>
        <v>I8 (C9)</v>
      </c>
      <c r="E66">
        <f>+'10% CO'!Z24</f>
        <v>0.27953121534732756</v>
      </c>
      <c r="F66" t="s">
        <v>376</v>
      </c>
      <c r="G66">
        <f>VLOOKUP(Tabella10[[#This Row],[Name]],Tabella278[],5,FALSE)</f>
        <v>23</v>
      </c>
      <c r="N66">
        <v>13</v>
      </c>
      <c r="O66" t="s">
        <v>57</v>
      </c>
      <c r="P66">
        <v>2.5062835735042269E-2</v>
      </c>
      <c r="R66">
        <v>61</v>
      </c>
      <c r="S66" s="12">
        <v>20</v>
      </c>
      <c r="T66" s="10" t="s">
        <v>273</v>
      </c>
      <c r="U66" s="10" t="s">
        <v>274</v>
      </c>
      <c r="V66" s="10" t="s">
        <v>275</v>
      </c>
      <c r="W66">
        <f>+GETPIVOTDATA("mol",$N$17,"Cn",20,"Class","paraffin")</f>
        <v>2.1136026287489115E-2</v>
      </c>
      <c r="X66">
        <f t="shared" si="0"/>
        <v>0.42272052574978231</v>
      </c>
      <c r="Y66">
        <f t="shared" si="1"/>
        <v>0.34473027269154732</v>
      </c>
      <c r="Z66">
        <f t="shared" si="2"/>
        <v>7.7990253058234996E-2</v>
      </c>
      <c r="AA66">
        <f t="shared" si="3"/>
        <v>4.080525764755206E-3</v>
      </c>
      <c r="AB66">
        <f t="shared" si="4"/>
        <v>6.269096713905337E-4</v>
      </c>
    </row>
    <row r="67" spans="2:28" x14ac:dyDescent="0.2">
      <c r="B67">
        <f>+'5% CO'!T25</f>
        <v>9</v>
      </c>
      <c r="C67" t="str">
        <f>+'5% CO'!U25</f>
        <v>Olefin</v>
      </c>
      <c r="D67" t="str">
        <f>+'5% CO'!R25</f>
        <v>3,5,5-Trimethylhexene-1</v>
      </c>
      <c r="E67">
        <f>+'10% CO'!Z25</f>
        <v>5.151355633944496E-2</v>
      </c>
      <c r="F67" t="s">
        <v>376</v>
      </c>
      <c r="G67">
        <f>VLOOKUP(Tabella10[[#This Row],[Name]],Tabella278[],5,FALSE)</f>
        <v>24</v>
      </c>
      <c r="N67">
        <v>13</v>
      </c>
      <c r="O67" t="s">
        <v>60</v>
      </c>
      <c r="P67">
        <v>2.165847240078149E-3</v>
      </c>
      <c r="R67">
        <v>62</v>
      </c>
      <c r="S67" s="12">
        <v>21</v>
      </c>
      <c r="T67" s="11" t="s">
        <v>276</v>
      </c>
      <c r="U67" s="11" t="s">
        <v>277</v>
      </c>
      <c r="V67" s="11" t="s">
        <v>278</v>
      </c>
      <c r="W67">
        <f>+GETPIVOTDATA("mol",$N$17,"Cn",21,"Class","paraffin")</f>
        <v>1.9214569352262831E-2</v>
      </c>
      <c r="X67">
        <f t="shared" si="0"/>
        <v>0.40350595639751946</v>
      </c>
      <c r="Y67">
        <f t="shared" si="1"/>
        <v>0.3290607148419315</v>
      </c>
      <c r="Z67">
        <f t="shared" si="2"/>
        <v>7.4445241555587946E-2</v>
      </c>
      <c r="AA67">
        <f t="shared" si="3"/>
        <v>3.8950473209026963E-3</v>
      </c>
      <c r="AB67">
        <f t="shared" si="4"/>
        <v>5.9841377723641846E-4</v>
      </c>
    </row>
    <row r="68" spans="2:28" x14ac:dyDescent="0.2">
      <c r="B68">
        <f>+'5% CO'!T26</f>
        <v>9</v>
      </c>
      <c r="C68" t="str">
        <f>+'5% CO'!U26</f>
        <v>Aromatic</v>
      </c>
      <c r="D68" t="str">
        <f>+'5% CO'!R26</f>
        <v>1,3-Methylethylbenzene</v>
      </c>
      <c r="E68">
        <f>+'10% CO'!Z26</f>
        <v>7.2568329940549486E-2</v>
      </c>
      <c r="F68" t="s">
        <v>376</v>
      </c>
      <c r="G68">
        <f>VLOOKUP(Tabella10[[#This Row],[Name]],Tabella278[],5,FALSE)</f>
        <v>25</v>
      </c>
      <c r="N68">
        <v>13</v>
      </c>
      <c r="O68" t="s">
        <v>76</v>
      </c>
      <c r="P68">
        <v>0.10471940296983243</v>
      </c>
      <c r="R68">
        <v>63</v>
      </c>
      <c r="S68" s="12">
        <v>22</v>
      </c>
      <c r="T68" s="10" t="s">
        <v>279</v>
      </c>
      <c r="U68" s="10" t="s">
        <v>280</v>
      </c>
      <c r="V68" s="10" t="s">
        <v>281</v>
      </c>
      <c r="W68">
        <f>+GETPIVOTDATA("mol",$N$17,"Cn",22,"Class","paraffin")</f>
        <v>1.7293112417036547E-2</v>
      </c>
      <c r="X68">
        <f t="shared" si="0"/>
        <v>0.38044847317480401</v>
      </c>
      <c r="Y68">
        <f t="shared" si="1"/>
        <v>0.31025724542239252</v>
      </c>
      <c r="Z68">
        <f t="shared" si="2"/>
        <v>7.0191227752411489E-2</v>
      </c>
      <c r="AA68">
        <f t="shared" si="3"/>
        <v>3.6724731882796847E-3</v>
      </c>
      <c r="AB68">
        <f t="shared" si="4"/>
        <v>5.6421870425148028E-4</v>
      </c>
    </row>
    <row r="69" spans="2:28" x14ac:dyDescent="0.2">
      <c r="B69">
        <f>+'5% CO'!T27</f>
        <v>9</v>
      </c>
      <c r="C69" t="str">
        <f>+'5% CO'!U27</f>
        <v>paraffin</v>
      </c>
      <c r="D69" t="str">
        <f>+'5% CO'!R27</f>
        <v>n-Nonane</v>
      </c>
      <c r="E69">
        <f>+'10% CO'!Z27</f>
        <v>2.230884894270151E-2</v>
      </c>
      <c r="F69" t="s">
        <v>376</v>
      </c>
      <c r="G69">
        <f>VLOOKUP(Tabella10[[#This Row],[Name]],Tabella278[],5,FALSE)</f>
        <v>26</v>
      </c>
      <c r="N69">
        <v>14</v>
      </c>
      <c r="O69" t="s">
        <v>57</v>
      </c>
      <c r="P69">
        <v>5.7009082526194941E-3</v>
      </c>
      <c r="R69">
        <v>64</v>
      </c>
      <c r="S69" s="12">
        <v>23</v>
      </c>
      <c r="T69" s="11" t="s">
        <v>282</v>
      </c>
      <c r="U69" s="11" t="s">
        <v>283</v>
      </c>
      <c r="V69" s="11" t="s">
        <v>284</v>
      </c>
      <c r="W69">
        <f>+GETPIVOTDATA("mol",$N$17,"Cn",23,"Class","paraffin")</f>
        <v>1.5371655481810267E-2</v>
      </c>
      <c r="X69">
        <f t="shared" si="0"/>
        <v>0.35354807608163613</v>
      </c>
      <c r="Y69">
        <f t="shared" si="1"/>
        <v>0.28831986443293051</v>
      </c>
      <c r="Z69">
        <f t="shared" si="2"/>
        <v>6.5228211648705639E-2</v>
      </c>
      <c r="AA69">
        <f t="shared" si="3"/>
        <v>3.4128033668861728E-3</v>
      </c>
      <c r="AB69">
        <f t="shared" si="4"/>
        <v>5.2432445243571916E-4</v>
      </c>
    </row>
    <row r="70" spans="2:28" x14ac:dyDescent="0.2">
      <c r="B70">
        <f>+'5% CO'!T28</f>
        <v>9</v>
      </c>
      <c r="C70" t="str">
        <f>+'5% CO'!U28</f>
        <v>Naphthene</v>
      </c>
      <c r="D70" t="str">
        <f>+'5% CO'!R28</f>
        <v>1,1,3-Trimethylcyclohexane</v>
      </c>
      <c r="E70">
        <f>+'10% CO'!Z28</f>
        <v>2.9039779374151278E-2</v>
      </c>
      <c r="F70" t="s">
        <v>376</v>
      </c>
      <c r="G70">
        <f>VLOOKUP(Tabella10[[#This Row],[Name]],Tabella278[],5,FALSE)</f>
        <v>27</v>
      </c>
      <c r="N70">
        <v>14</v>
      </c>
      <c r="O70" t="s">
        <v>76</v>
      </c>
      <c r="P70">
        <v>0.10279794603460617</v>
      </c>
      <c r="R70">
        <v>65</v>
      </c>
      <c r="S70" s="12">
        <v>24</v>
      </c>
      <c r="T70" s="10" t="s">
        <v>285</v>
      </c>
      <c r="U70" s="10" t="s">
        <v>286</v>
      </c>
      <c r="V70" s="10" t="s">
        <v>287</v>
      </c>
      <c r="W70">
        <f>+GETPIVOTDATA("mol",$N$17,"Cn",24,"Class","paraffin")</f>
        <v>1.4410927014197125E-2</v>
      </c>
      <c r="X70">
        <f t="shared" si="0"/>
        <v>0.34586224834073098</v>
      </c>
      <c r="Y70">
        <f t="shared" si="1"/>
        <v>0.28205204129308414</v>
      </c>
      <c r="Z70">
        <f t="shared" si="2"/>
        <v>6.3810207047646811E-2</v>
      </c>
      <c r="AA70">
        <f t="shared" si="3"/>
        <v>3.3386119893451683E-3</v>
      </c>
      <c r="AB70">
        <f t="shared" si="4"/>
        <v>5.1292609477407306E-4</v>
      </c>
    </row>
    <row r="71" spans="2:28" x14ac:dyDescent="0.2">
      <c r="B71">
        <f>+'5% CO'!T29</f>
        <v>10</v>
      </c>
      <c r="C71" t="str">
        <f>+'5% CO'!U29</f>
        <v>Olefin</v>
      </c>
      <c r="D71" t="str">
        <f>+'5% CO'!R29</f>
        <v>Decene-1</v>
      </c>
      <c r="E71">
        <f>+'10% CO'!Z29</f>
        <v>0.10367126552184416</v>
      </c>
      <c r="F71" t="s">
        <v>376</v>
      </c>
      <c r="G71">
        <f>VLOOKUP(Tabella10[[#This Row],[Name]],Tabella278[],5,FALSE)</f>
        <v>28</v>
      </c>
      <c r="N71">
        <v>15</v>
      </c>
      <c r="O71" t="s">
        <v>57</v>
      </c>
      <c r="P71">
        <v>4.496622502748457E-3</v>
      </c>
      <c r="R71">
        <v>66</v>
      </c>
      <c r="S71" s="12">
        <v>25</v>
      </c>
      <c r="T71" s="11" t="s">
        <v>288</v>
      </c>
      <c r="U71" s="11" t="s">
        <v>289</v>
      </c>
      <c r="V71" s="11" t="s">
        <v>290</v>
      </c>
      <c r="W71">
        <f>+GETPIVOTDATA("mol",$N$17,"Cn",25,"Class","paraffin")</f>
        <v>1.2489470078970839E-2</v>
      </c>
      <c r="X71">
        <f t="shared" ref="X71:X73" si="5">+W71*S71</f>
        <v>0.31223675197427098</v>
      </c>
      <c r="Y71">
        <f t="shared" ref="Y71:Y73" si="6">X71*$Y$4</f>
        <v>0.2546303150562565</v>
      </c>
      <c r="Z71">
        <f t="shared" ref="Z71:Z73" si="7">+X71*$Z$4</f>
        <v>5.7606436918014474E-2</v>
      </c>
      <c r="AA71">
        <f t="shared" ref="AA71:AA73" si="8">+Y71/$AA$3</f>
        <v>3.0140247126032769E-3</v>
      </c>
      <c r="AB71">
        <f t="shared" ref="AB71:AB73" si="9">+Z71/$AB$3</f>
        <v>4.6305828000437138E-4</v>
      </c>
    </row>
    <row r="72" spans="2:28" x14ac:dyDescent="0.2">
      <c r="B72">
        <f>+'5% CO'!T30</f>
        <v>10</v>
      </c>
      <c r="C72" t="str">
        <f>+'5% CO'!U30</f>
        <v>iso-paraffin</v>
      </c>
      <c r="D72" t="str">
        <f>+'5% CO'!R30</f>
        <v>I15 (C10)</v>
      </c>
      <c r="E72">
        <f>+'10% CO'!Z30</f>
        <v>9.5023435808945927E-2</v>
      </c>
      <c r="F72" t="s">
        <v>376</v>
      </c>
      <c r="G72">
        <f>VLOOKUP(Tabella10[[#This Row],[Name]],Tabella278[],5,FALSE)</f>
        <v>29</v>
      </c>
      <c r="N72">
        <v>15</v>
      </c>
      <c r="O72" t="s">
        <v>76</v>
      </c>
      <c r="P72">
        <v>9.1269204423248443E-2</v>
      </c>
      <c r="R72">
        <v>67</v>
      </c>
      <c r="S72" s="12">
        <v>26</v>
      </c>
      <c r="T72" s="10" t="s">
        <v>291</v>
      </c>
      <c r="U72" s="10" t="s">
        <v>292</v>
      </c>
      <c r="V72" s="10" t="s">
        <v>293</v>
      </c>
      <c r="W72">
        <f>+GETPIVOTDATA("mol",$N$17,"Cn",26,"Class","paraffin")</f>
        <v>1.0568013143744557E-2</v>
      </c>
      <c r="X72">
        <f t="shared" si="5"/>
        <v>0.27476834173735848</v>
      </c>
      <c r="Y72">
        <f t="shared" si="6"/>
        <v>0.22407467724950575</v>
      </c>
      <c r="Z72">
        <f t="shared" si="7"/>
        <v>5.0693664487852744E-2</v>
      </c>
      <c r="AA72">
        <f t="shared" si="8"/>
        <v>2.6523417470908838E-3</v>
      </c>
      <c r="AB72">
        <f t="shared" si="9"/>
        <v>4.0749128640384688E-4</v>
      </c>
    </row>
    <row r="73" spans="2:28" x14ac:dyDescent="0.2">
      <c r="B73">
        <f>+'5% CO'!T31</f>
        <v>10</v>
      </c>
      <c r="C73" t="str">
        <f>+'5% CO'!U31</f>
        <v>Aromatic</v>
      </c>
      <c r="D73" t="str">
        <f>+'5% CO'!R31</f>
        <v>1,2-Methyl-n-propylbenzene</v>
      </c>
      <c r="E73">
        <f>+'10% CO'!Z31</f>
        <v>7.3831740830595086E-2</v>
      </c>
      <c r="F73" t="s">
        <v>376</v>
      </c>
      <c r="G73">
        <f>VLOOKUP(Tabella10[[#This Row],[Name]],Tabella278[],5,FALSE)</f>
        <v>30</v>
      </c>
      <c r="N73">
        <v>16</v>
      </c>
      <c r="O73" t="s">
        <v>57</v>
      </c>
      <c r="P73">
        <v>1.146716534437928E-2</v>
      </c>
      <c r="R73">
        <v>68</v>
      </c>
      <c r="S73" s="12">
        <v>27</v>
      </c>
      <c r="T73" s="11" t="s">
        <v>294</v>
      </c>
      <c r="U73" s="11" t="s">
        <v>295</v>
      </c>
      <c r="V73" s="11" t="s">
        <v>296</v>
      </c>
      <c r="W73">
        <f>+GETPIVOTDATA("mol",$N$17,"Cn",27,"Class","paraffin")</f>
        <v>8.6465562085182735E-3</v>
      </c>
      <c r="X73">
        <f t="shared" si="5"/>
        <v>0.23345701762999338</v>
      </c>
      <c r="Y73">
        <f t="shared" si="6"/>
        <v>0.19038512787283179</v>
      </c>
      <c r="Z73">
        <f t="shared" si="7"/>
        <v>4.3071889757161592E-2</v>
      </c>
      <c r="AA73">
        <f t="shared" si="8"/>
        <v>2.2535630928079888E-3</v>
      </c>
      <c r="AB73">
        <f t="shared" si="9"/>
        <v>3.4622511397249922E-4</v>
      </c>
    </row>
    <row r="74" spans="2:28" x14ac:dyDescent="0.2">
      <c r="B74">
        <f>+'5% CO'!T32</f>
        <v>10</v>
      </c>
      <c r="C74" t="str">
        <f>+'5% CO'!U32</f>
        <v>Naphthene</v>
      </c>
      <c r="D74" t="str">
        <f>+'5% CO'!R32</f>
        <v>Sec-butylcyclohexane</v>
      </c>
      <c r="E74">
        <f>+'10% CO'!Z32</f>
        <v>6.0313866677003856E-2</v>
      </c>
      <c r="F74" t="s">
        <v>376</v>
      </c>
      <c r="G74">
        <f>VLOOKUP(Tabella10[[#This Row],[Name]],Tabella278[],5,FALSE)</f>
        <v>31</v>
      </c>
      <c r="N74">
        <v>16</v>
      </c>
      <c r="O74" t="s">
        <v>76</v>
      </c>
      <c r="P74">
        <v>7.3976092006211927E-2</v>
      </c>
      <c r="S74" s="12"/>
    </row>
    <row r="75" spans="2:28" x14ac:dyDescent="0.2">
      <c r="B75">
        <f>+'5% CO'!T33</f>
        <v>11</v>
      </c>
      <c r="C75" t="str">
        <f>+'5% CO'!U33</f>
        <v>Olefin</v>
      </c>
      <c r="D75" t="str">
        <f>+'5% CO'!R33</f>
        <v>Undecene-1</v>
      </c>
      <c r="E75">
        <f>+'10% CO'!Z33</f>
        <v>6.3372814718665973E-2</v>
      </c>
      <c r="F75" t="s">
        <v>376</v>
      </c>
      <c r="G75">
        <f>VLOOKUP(Tabella10[[#This Row],[Name]],Tabella278[],5,FALSE)</f>
        <v>32</v>
      </c>
      <c r="N75">
        <v>17</v>
      </c>
      <c r="O75" t="s">
        <v>57</v>
      </c>
      <c r="P75">
        <v>4.2476745441187838E-3</v>
      </c>
      <c r="S75" s="12"/>
    </row>
    <row r="76" spans="2:28" x14ac:dyDescent="0.2">
      <c r="B76">
        <f>+'5% CO'!T34</f>
        <v>11</v>
      </c>
      <c r="C76" t="str">
        <f>+'5% CO'!U34</f>
        <v>iso-paraffin</v>
      </c>
      <c r="D76" t="str">
        <f>+'5% CO'!R34</f>
        <v>I26 (C11)</v>
      </c>
      <c r="E76">
        <f>+'10% CO'!Z34</f>
        <v>9.843091099268958E-2</v>
      </c>
      <c r="F76" t="s">
        <v>376</v>
      </c>
      <c r="G76">
        <f>VLOOKUP(Tabella10[[#This Row],[Name]],Tabella278[],5,FALSE)</f>
        <v>33</v>
      </c>
      <c r="N76">
        <v>17</v>
      </c>
      <c r="O76" t="s">
        <v>76</v>
      </c>
      <c r="P76">
        <v>6.436880733008038E-2</v>
      </c>
      <c r="S76" s="12"/>
    </row>
    <row r="77" spans="2:28" x14ac:dyDescent="0.2">
      <c r="B77">
        <f>+'5% CO'!T35</f>
        <v>11</v>
      </c>
      <c r="C77" t="str">
        <f>+'5% CO'!U35</f>
        <v>Aromatic</v>
      </c>
      <c r="D77" t="str">
        <f>+'5% CO'!R35</f>
        <v>1,2-Ethyl-i-propylbenzene</v>
      </c>
      <c r="E77">
        <f>+'10% CO'!Z35</f>
        <v>3.9455139593320178E-2</v>
      </c>
      <c r="F77" t="s">
        <v>376</v>
      </c>
      <c r="G77">
        <f>VLOOKUP(Tabella10[[#This Row],[Name]],Tabella278[],5,FALSE)</f>
        <v>34</v>
      </c>
      <c r="N77">
        <v>18</v>
      </c>
      <c r="O77" t="s">
        <v>76</v>
      </c>
      <c r="P77">
        <v>5.9565164992014807E-2</v>
      </c>
    </row>
    <row r="78" spans="2:28" x14ac:dyDescent="0.2">
      <c r="B78">
        <f>+'5% CO'!T36</f>
        <v>11</v>
      </c>
      <c r="C78" t="str">
        <f>+'5% CO'!U36</f>
        <v>paraffin</v>
      </c>
      <c r="D78" t="str">
        <f>+'5% CO'!R36</f>
        <v>n-Undecane</v>
      </c>
      <c r="E78">
        <f>+'10% CO'!Z36</f>
        <v>2.5579402749198827E-3</v>
      </c>
      <c r="F78" t="s">
        <v>376</v>
      </c>
      <c r="G78">
        <f>VLOOKUP(Tabella10[[#This Row],[Name]],Tabella278[],5,FALSE)</f>
        <v>35</v>
      </c>
      <c r="N78">
        <v>19</v>
      </c>
      <c r="O78" t="s">
        <v>76</v>
      </c>
      <c r="P78">
        <v>2.6900397093167962E-2</v>
      </c>
    </row>
    <row r="79" spans="2:28" x14ac:dyDescent="0.2">
      <c r="B79">
        <f>+'5% CO'!T37</f>
        <v>12</v>
      </c>
      <c r="C79" t="str">
        <f>+'5% CO'!U37</f>
        <v>iso-paraffin</v>
      </c>
      <c r="D79" t="str">
        <f>+'5% CO'!R37</f>
        <v>I47 (C12)</v>
      </c>
      <c r="E79">
        <f>+'10% CO'!Z37</f>
        <v>6.9381796070089666E-2</v>
      </c>
      <c r="F79" t="s">
        <v>376</v>
      </c>
      <c r="G79">
        <f>VLOOKUP(Tabella10[[#This Row],[Name]],Tabella278[],5,FALSE)</f>
        <v>36</v>
      </c>
      <c r="N79">
        <v>20</v>
      </c>
      <c r="O79" t="s">
        <v>76</v>
      </c>
      <c r="P79">
        <v>2.1136026287489115E-2</v>
      </c>
    </row>
    <row r="80" spans="2:28" x14ac:dyDescent="0.2">
      <c r="B80">
        <f>+'5% CO'!T38</f>
        <v>12</v>
      </c>
      <c r="C80" t="str">
        <f>+'5% CO'!U38</f>
        <v>Olefin</v>
      </c>
      <c r="D80" t="str">
        <f>+'5% CO'!R38</f>
        <v>Dodecene-1</v>
      </c>
      <c r="E80">
        <f>+'10% CO'!Z38</f>
        <v>6.8149503674872804E-3</v>
      </c>
      <c r="F80" t="s">
        <v>376</v>
      </c>
      <c r="G80">
        <f>VLOOKUP(Tabella10[[#This Row],[Name]],Tabella278[],5,FALSE)</f>
        <v>37</v>
      </c>
      <c r="N80">
        <v>21</v>
      </c>
      <c r="O80" t="s">
        <v>76</v>
      </c>
      <c r="P80">
        <v>1.9214569352262831E-2</v>
      </c>
    </row>
    <row r="81" spans="1:16" x14ac:dyDescent="0.2">
      <c r="B81">
        <f>+'5% CO'!T39</f>
        <v>12</v>
      </c>
      <c r="C81" t="str">
        <f>+'5% CO'!U39</f>
        <v>Naphthene</v>
      </c>
      <c r="D81" t="str">
        <f>+'5% CO'!R39</f>
        <v>1t-M-2-(4-MP)cyclopentane</v>
      </c>
      <c r="E81">
        <f>+'10% CO'!Z39</f>
        <v>6.2423700626390334E-3</v>
      </c>
      <c r="F81" t="s">
        <v>376</v>
      </c>
      <c r="G81">
        <f>VLOOKUP(Tabella10[[#This Row],[Name]],Tabella278[],5,FALSE)</f>
        <v>38</v>
      </c>
      <c r="N81">
        <v>22</v>
      </c>
      <c r="O81" t="s">
        <v>76</v>
      </c>
      <c r="P81">
        <v>1.7293112417036547E-2</v>
      </c>
    </row>
    <row r="82" spans="1:16" x14ac:dyDescent="0.2">
      <c r="B82">
        <f>+'5% CO'!T40</f>
        <v>12</v>
      </c>
      <c r="C82" t="str">
        <f>+'5% CO'!U40</f>
        <v>Aromatic</v>
      </c>
      <c r="D82" t="str">
        <f>+'5% CO'!R40</f>
        <v>1,3-Di-i-propylbenzene</v>
      </c>
      <c r="E82">
        <f>+'10% CO'!Z40</f>
        <v>2.4020366158280512E-2</v>
      </c>
      <c r="F82" t="s">
        <v>376</v>
      </c>
      <c r="G82">
        <f>VLOOKUP(Tabella10[[#This Row],[Name]],Tabella278[],5,FALSE)</f>
        <v>39</v>
      </c>
      <c r="N82">
        <v>23</v>
      </c>
      <c r="O82" t="s">
        <v>76</v>
      </c>
      <c r="P82">
        <v>1.5371655481810267E-2</v>
      </c>
    </row>
    <row r="83" spans="1:16" x14ac:dyDescent="0.2">
      <c r="B83">
        <f>+'5% CO'!T41</f>
        <v>13</v>
      </c>
      <c r="C83" t="str">
        <f>+'5% CO'!U41</f>
        <v>iso-paraffin</v>
      </c>
      <c r="D83" t="str">
        <f>+'5% CO'!R41</f>
        <v>(C13-IsoParaffin)</v>
      </c>
      <c r="E83">
        <f>+'10% CO'!Z41</f>
        <v>2.5062835735042269E-2</v>
      </c>
      <c r="F83" t="s">
        <v>376</v>
      </c>
      <c r="G83">
        <f>VLOOKUP(Tabella10[[#This Row],[Name]],Tabella278[],5,FALSE)</f>
        <v>40</v>
      </c>
      <c r="N83">
        <v>24</v>
      </c>
      <c r="O83" t="s">
        <v>76</v>
      </c>
      <c r="P83">
        <v>1.4410927014197125E-2</v>
      </c>
    </row>
    <row r="84" spans="1:16" x14ac:dyDescent="0.2">
      <c r="B84">
        <f>+'5% CO'!T42</f>
        <v>13</v>
      </c>
      <c r="C84" t="str">
        <f>+'5% CO'!U42</f>
        <v>Olefin</v>
      </c>
      <c r="D84" t="str">
        <f>+'5% CO'!R42</f>
        <v>Tridecene-1</v>
      </c>
      <c r="E84">
        <f>+'10% CO'!Z42</f>
        <v>2.165847240078149E-3</v>
      </c>
      <c r="F84" t="s">
        <v>376</v>
      </c>
      <c r="G84">
        <f>VLOOKUP(Tabella10[[#This Row],[Name]],Tabella278[],5,FALSE)</f>
        <v>41</v>
      </c>
      <c r="N84">
        <v>25</v>
      </c>
      <c r="O84" t="s">
        <v>76</v>
      </c>
      <c r="P84">
        <v>1.2489470078970839E-2</v>
      </c>
    </row>
    <row r="85" spans="1:16" x14ac:dyDescent="0.2">
      <c r="B85">
        <f>+'5% CO'!T43</f>
        <v>14</v>
      </c>
      <c r="C85" t="str">
        <f>+'5% CO'!U43</f>
        <v>iso-paraffin</v>
      </c>
      <c r="D85" t="str">
        <f>+'5% CO'!R43</f>
        <v>(C14-IsoParaffin)</v>
      </c>
      <c r="E85">
        <f>+'10% CO'!Z43</f>
        <v>5.7009082526194941E-3</v>
      </c>
      <c r="F85" t="s">
        <v>376</v>
      </c>
      <c r="G85">
        <f>VLOOKUP(Tabella10[[#This Row],[Name]],Tabella278[],5,FALSE)</f>
        <v>42</v>
      </c>
      <c r="N85">
        <v>26</v>
      </c>
      <c r="O85" t="s">
        <v>76</v>
      </c>
      <c r="P85">
        <v>1.0568013143744557E-2</v>
      </c>
    </row>
    <row r="86" spans="1:16" x14ac:dyDescent="0.2">
      <c r="B86">
        <f>+'5% CO'!T44</f>
        <v>15</v>
      </c>
      <c r="C86" t="str">
        <f>+'5% CO'!U44</f>
        <v>iso-paraffin</v>
      </c>
      <c r="D86" t="str">
        <f>+'5% CO'!R44</f>
        <v>(C15-IsoParaffin)</v>
      </c>
      <c r="E86">
        <f>+'10% CO'!Z44</f>
        <v>4.496622502748457E-3</v>
      </c>
      <c r="F86" t="s">
        <v>376</v>
      </c>
      <c r="G86">
        <f>VLOOKUP(Tabella10[[#This Row],[Name]],Tabella278[],5,FALSE)</f>
        <v>43</v>
      </c>
      <c r="N86">
        <v>27</v>
      </c>
      <c r="O86" t="s">
        <v>76</v>
      </c>
      <c r="P86">
        <v>8.6465562085182735E-3</v>
      </c>
    </row>
    <row r="87" spans="1:16" x14ac:dyDescent="0.2">
      <c r="B87">
        <f>+'5% CO'!T45</f>
        <v>16</v>
      </c>
      <c r="C87" t="str">
        <f>+'5% CO'!U45</f>
        <v>iso-paraffin</v>
      </c>
      <c r="D87" t="str">
        <f>+'5% CO'!R45</f>
        <v>(C16-IsoParaffin)</v>
      </c>
      <c r="E87">
        <f>+'10% CO'!Z45</f>
        <v>1.146716534437928E-2</v>
      </c>
      <c r="F87" t="s">
        <v>376</v>
      </c>
      <c r="G87">
        <f>VLOOKUP(Tabella10[[#This Row],[Name]],Tabella278[],5,FALSE)</f>
        <v>44</v>
      </c>
      <c r="N87">
        <v>28</v>
      </c>
      <c r="O87" t="s">
        <v>76</v>
      </c>
      <c r="P87">
        <v>0</v>
      </c>
    </row>
    <row r="88" spans="1:16" x14ac:dyDescent="0.2">
      <c r="B88">
        <f>+'5% CO'!T46</f>
        <v>17</v>
      </c>
      <c r="C88" t="str">
        <f>+'5% CO'!U46</f>
        <v>iso-paraffin</v>
      </c>
      <c r="D88" t="str">
        <f>+'5% CO'!R46</f>
        <v>(C17-IsoParaffin)</v>
      </c>
      <c r="E88">
        <f>+'10% CO'!Z46</f>
        <v>4.2476745441187838E-3</v>
      </c>
      <c r="F88" t="s">
        <v>376</v>
      </c>
      <c r="G88">
        <f>VLOOKUP(Tabella10[[#This Row],[Name]],Tabella278[],5,FALSE)</f>
        <v>45</v>
      </c>
      <c r="N88">
        <v>29</v>
      </c>
      <c r="O88" t="s">
        <v>76</v>
      </c>
      <c r="P88">
        <v>0</v>
      </c>
    </row>
    <row r="89" spans="1:16" x14ac:dyDescent="0.2">
      <c r="A89" t="s">
        <v>339</v>
      </c>
      <c r="B89">
        <f>+'5% CO'!AF4</f>
        <v>1</v>
      </c>
      <c r="C89" t="s">
        <v>76</v>
      </c>
      <c r="D89" t="s">
        <v>340</v>
      </c>
      <c r="E89">
        <f>+'10% CO'!AK4</f>
        <v>0</v>
      </c>
      <c r="F89" t="s">
        <v>374</v>
      </c>
      <c r="N89">
        <v>30</v>
      </c>
      <c r="O89" t="s">
        <v>76</v>
      </c>
      <c r="P89">
        <v>0</v>
      </c>
    </row>
    <row r="90" spans="1:16" x14ac:dyDescent="0.2">
      <c r="B90">
        <f>+'5% CO'!AF5</f>
        <v>2</v>
      </c>
      <c r="C90" t="s">
        <v>76</v>
      </c>
      <c r="D90" t="s">
        <v>120</v>
      </c>
      <c r="E90">
        <f>+'10% CO'!AK5</f>
        <v>0</v>
      </c>
      <c r="F90" t="s">
        <v>374</v>
      </c>
      <c r="N90">
        <v>31</v>
      </c>
      <c r="O90" t="s">
        <v>76</v>
      </c>
      <c r="P90">
        <v>0</v>
      </c>
    </row>
    <row r="91" spans="1:16" x14ac:dyDescent="0.2">
      <c r="B91">
        <f>+'5% CO'!AF6</f>
        <v>3</v>
      </c>
      <c r="C91" t="s">
        <v>76</v>
      </c>
      <c r="D91" t="s">
        <v>126</v>
      </c>
      <c r="E91">
        <f>+'10% CO'!AK6</f>
        <v>0</v>
      </c>
      <c r="F91" t="s">
        <v>374</v>
      </c>
      <c r="N91">
        <v>32</v>
      </c>
      <c r="O91" t="s">
        <v>76</v>
      </c>
      <c r="P91">
        <v>0</v>
      </c>
    </row>
    <row r="92" spans="1:16" x14ac:dyDescent="0.2">
      <c r="B92">
        <f>+'5% CO'!AF7</f>
        <v>4</v>
      </c>
      <c r="C92" t="s">
        <v>76</v>
      </c>
      <c r="D92" t="s">
        <v>132</v>
      </c>
      <c r="E92">
        <f>+'10% CO'!AK7</f>
        <v>0</v>
      </c>
      <c r="F92" t="s">
        <v>374</v>
      </c>
      <c r="N92">
        <v>33</v>
      </c>
      <c r="O92" t="s">
        <v>76</v>
      </c>
      <c r="P92">
        <v>0</v>
      </c>
    </row>
    <row r="93" spans="1:16" x14ac:dyDescent="0.2">
      <c r="B93">
        <f>+'5% CO'!AF8</f>
        <v>5</v>
      </c>
      <c r="C93" t="s">
        <v>76</v>
      </c>
      <c r="D93" t="s">
        <v>141</v>
      </c>
      <c r="E93">
        <f>+'10% CO'!AK8</f>
        <v>0</v>
      </c>
      <c r="F93" t="s">
        <v>374</v>
      </c>
      <c r="N93">
        <v>34</v>
      </c>
      <c r="O93" t="s">
        <v>76</v>
      </c>
      <c r="P93">
        <v>0</v>
      </c>
    </row>
    <row r="94" spans="1:16" x14ac:dyDescent="0.2">
      <c r="B94">
        <f>+'5% CO'!AF9</f>
        <v>6</v>
      </c>
      <c r="C94" t="s">
        <v>76</v>
      </c>
      <c r="D94" t="s">
        <v>151</v>
      </c>
      <c r="E94">
        <f>+'10% CO'!AK9</f>
        <v>0</v>
      </c>
      <c r="F94" t="s">
        <v>374</v>
      </c>
      <c r="N94">
        <v>35</v>
      </c>
      <c r="O94" t="s">
        <v>76</v>
      </c>
      <c r="P94">
        <v>0</v>
      </c>
    </row>
    <row r="95" spans="1:16" x14ac:dyDescent="0.2">
      <c r="B95">
        <f>+'5% CO'!AF10</f>
        <v>7</v>
      </c>
      <c r="C95" t="s">
        <v>76</v>
      </c>
      <c r="D95" t="s">
        <v>157</v>
      </c>
      <c r="E95">
        <f>+'10% CO'!AK10</f>
        <v>0</v>
      </c>
      <c r="F95" t="s">
        <v>374</v>
      </c>
      <c r="N95">
        <v>36</v>
      </c>
      <c r="O95" t="s">
        <v>76</v>
      </c>
      <c r="P95">
        <v>0</v>
      </c>
    </row>
    <row r="96" spans="1:16" x14ac:dyDescent="0.2">
      <c r="B96">
        <f>+'5% CO'!AF11</f>
        <v>8</v>
      </c>
      <c r="C96" t="s">
        <v>76</v>
      </c>
      <c r="D96" t="s">
        <v>169</v>
      </c>
      <c r="E96">
        <f>+'10% CO'!AK11</f>
        <v>2.4018211690328539E-2</v>
      </c>
      <c r="F96" t="s">
        <v>374</v>
      </c>
      <c r="N96">
        <v>37</v>
      </c>
      <c r="O96" t="s">
        <v>76</v>
      </c>
      <c r="P96">
        <v>0</v>
      </c>
    </row>
    <row r="97" spans="2:16" x14ac:dyDescent="0.2">
      <c r="B97">
        <f>+'5% CO'!AF12</f>
        <v>9</v>
      </c>
      <c r="C97" t="s">
        <v>76</v>
      </c>
      <c r="D97" t="s">
        <v>184</v>
      </c>
      <c r="E97">
        <f>+'10% CO'!AK12</f>
        <v>2.9782582496007386E-2</v>
      </c>
      <c r="F97" t="s">
        <v>374</v>
      </c>
      <c r="N97">
        <v>38</v>
      </c>
      <c r="O97" t="s">
        <v>76</v>
      </c>
      <c r="P97">
        <v>0</v>
      </c>
    </row>
    <row r="98" spans="2:16" x14ac:dyDescent="0.2">
      <c r="B98">
        <f>+'5% CO'!AF13</f>
        <v>10</v>
      </c>
      <c r="C98" t="s">
        <v>76</v>
      </c>
      <c r="D98" t="s">
        <v>199</v>
      </c>
      <c r="E98">
        <f>+'10% CO'!AK13</f>
        <v>7.5897548941438187E-2</v>
      </c>
      <c r="F98" t="s">
        <v>374</v>
      </c>
      <c r="N98">
        <v>39</v>
      </c>
      <c r="O98" t="s">
        <v>76</v>
      </c>
      <c r="P98">
        <v>0</v>
      </c>
    </row>
    <row r="99" spans="2:16" x14ac:dyDescent="0.2">
      <c r="B99">
        <f>+'5% CO'!AF14</f>
        <v>11</v>
      </c>
      <c r="C99" t="s">
        <v>76</v>
      </c>
      <c r="D99" t="s">
        <v>214</v>
      </c>
      <c r="E99">
        <f>+'10% CO'!AK14</f>
        <v>8.7426290552795896E-2</v>
      </c>
      <c r="F99" t="s">
        <v>374</v>
      </c>
    </row>
    <row r="100" spans="2:16" x14ac:dyDescent="0.2">
      <c r="B100">
        <f>+'5% CO'!AF15</f>
        <v>12</v>
      </c>
      <c r="C100" t="s">
        <v>76</v>
      </c>
      <c r="D100" t="s">
        <v>227</v>
      </c>
      <c r="E100">
        <f>+'10% CO'!AK15</f>
        <v>0.10087648909937987</v>
      </c>
      <c r="F100" t="s">
        <v>374</v>
      </c>
    </row>
    <row r="101" spans="2:16" x14ac:dyDescent="0.2">
      <c r="B101">
        <f>+'5% CO'!AF16</f>
        <v>13</v>
      </c>
      <c r="C101" t="s">
        <v>76</v>
      </c>
      <c r="D101" t="s">
        <v>242</v>
      </c>
      <c r="E101">
        <f>+'10% CO'!AK16</f>
        <v>0.10471940296983243</v>
      </c>
      <c r="F101" t="s">
        <v>374</v>
      </c>
    </row>
    <row r="102" spans="2:16" x14ac:dyDescent="0.2">
      <c r="B102">
        <f>+'5% CO'!AF17</f>
        <v>14</v>
      </c>
      <c r="C102" t="s">
        <v>76</v>
      </c>
      <c r="D102" t="s">
        <v>341</v>
      </c>
      <c r="E102">
        <f>+'10% CO'!AK17</f>
        <v>0.10279794603460617</v>
      </c>
      <c r="F102" t="s">
        <v>374</v>
      </c>
    </row>
    <row r="103" spans="2:16" x14ac:dyDescent="0.2">
      <c r="B103">
        <f>+'5% CO'!AF18</f>
        <v>15</v>
      </c>
      <c r="C103" t="s">
        <v>76</v>
      </c>
      <c r="D103" t="s">
        <v>254</v>
      </c>
      <c r="E103">
        <f>+'10% CO'!AK18</f>
        <v>9.1269204423248443E-2</v>
      </c>
      <c r="F103" t="s">
        <v>374</v>
      </c>
    </row>
    <row r="104" spans="2:16" x14ac:dyDescent="0.2">
      <c r="B104">
        <f>+'5% CO'!AF19</f>
        <v>16</v>
      </c>
      <c r="C104" t="s">
        <v>76</v>
      </c>
      <c r="D104" t="s">
        <v>260</v>
      </c>
      <c r="E104">
        <f>+'10% CO'!AK19</f>
        <v>7.3976092006211927E-2</v>
      </c>
      <c r="F104" t="s">
        <v>374</v>
      </c>
    </row>
    <row r="105" spans="2:16" x14ac:dyDescent="0.2">
      <c r="B105">
        <f>+'5% CO'!AF20</f>
        <v>17</v>
      </c>
      <c r="C105" t="s">
        <v>76</v>
      </c>
      <c r="D105" t="s">
        <v>266</v>
      </c>
      <c r="E105">
        <f>+'10% CO'!AK20</f>
        <v>6.436880733008038E-2</v>
      </c>
      <c r="F105" t="s">
        <v>374</v>
      </c>
    </row>
    <row r="106" spans="2:16" x14ac:dyDescent="0.2">
      <c r="B106">
        <f>+'5% CO'!AF21</f>
        <v>18</v>
      </c>
      <c r="C106" t="s">
        <v>76</v>
      </c>
      <c r="D106" t="s">
        <v>269</v>
      </c>
      <c r="E106">
        <f>+'10% CO'!AK21</f>
        <v>5.9565164992014807E-2</v>
      </c>
      <c r="F106" t="s">
        <v>374</v>
      </c>
    </row>
    <row r="107" spans="2:16" x14ac:dyDescent="0.2">
      <c r="B107">
        <f>+'5% CO'!AF22</f>
        <v>19</v>
      </c>
      <c r="C107" t="s">
        <v>76</v>
      </c>
      <c r="D107" t="s">
        <v>272</v>
      </c>
      <c r="E107">
        <f>+'10% CO'!AK22</f>
        <v>2.6900397093167962E-2</v>
      </c>
      <c r="F107" t="s">
        <v>374</v>
      </c>
    </row>
    <row r="108" spans="2:16" x14ac:dyDescent="0.2">
      <c r="B108">
        <f>+'5% CO'!AF23</f>
        <v>20</v>
      </c>
      <c r="C108" t="s">
        <v>76</v>
      </c>
      <c r="D108" t="s">
        <v>275</v>
      </c>
      <c r="E108">
        <f>+'10% CO'!AK23</f>
        <v>2.1136026287489115E-2</v>
      </c>
      <c r="F108" t="s">
        <v>374</v>
      </c>
    </row>
    <row r="109" spans="2:16" x14ac:dyDescent="0.2">
      <c r="B109">
        <f>+'5% CO'!AF24</f>
        <v>21</v>
      </c>
      <c r="C109" t="s">
        <v>76</v>
      </c>
      <c r="D109" t="s">
        <v>278</v>
      </c>
      <c r="E109">
        <f>+'10% CO'!AK24</f>
        <v>1.9214569352262831E-2</v>
      </c>
      <c r="F109" t="s">
        <v>374</v>
      </c>
    </row>
    <row r="110" spans="2:16" x14ac:dyDescent="0.2">
      <c r="B110">
        <f>+'5% CO'!AF25</f>
        <v>22</v>
      </c>
      <c r="C110" t="s">
        <v>76</v>
      </c>
      <c r="D110" t="s">
        <v>281</v>
      </c>
      <c r="E110">
        <f>+'10% CO'!AK25</f>
        <v>1.7293112417036547E-2</v>
      </c>
      <c r="F110" t="s">
        <v>374</v>
      </c>
    </row>
    <row r="111" spans="2:16" x14ac:dyDescent="0.2">
      <c r="B111">
        <f>+'5% CO'!AF26</f>
        <v>23</v>
      </c>
      <c r="C111" t="s">
        <v>76</v>
      </c>
      <c r="D111" t="s">
        <v>284</v>
      </c>
      <c r="E111">
        <f>+'10% CO'!AK26</f>
        <v>1.5371655481810267E-2</v>
      </c>
      <c r="F111" t="s">
        <v>374</v>
      </c>
    </row>
    <row r="112" spans="2:16" x14ac:dyDescent="0.2">
      <c r="B112">
        <f>+'5% CO'!AF27</f>
        <v>24</v>
      </c>
      <c r="C112" t="s">
        <v>76</v>
      </c>
      <c r="D112" t="s">
        <v>287</v>
      </c>
      <c r="E112">
        <f>+'10% CO'!AK27</f>
        <v>1.4410927014197125E-2</v>
      </c>
      <c r="F112" t="s">
        <v>374</v>
      </c>
    </row>
    <row r="113" spans="2:6" x14ac:dyDescent="0.2">
      <c r="B113">
        <f>+'5% CO'!AF28</f>
        <v>25</v>
      </c>
      <c r="C113" t="s">
        <v>76</v>
      </c>
      <c r="D113" t="s">
        <v>290</v>
      </c>
      <c r="E113">
        <f>+'10% CO'!AK28</f>
        <v>1.2489470078970839E-2</v>
      </c>
      <c r="F113" t="s">
        <v>374</v>
      </c>
    </row>
    <row r="114" spans="2:6" x14ac:dyDescent="0.2">
      <c r="B114">
        <f>+'5% CO'!AF29</f>
        <v>26</v>
      </c>
      <c r="C114" t="s">
        <v>76</v>
      </c>
      <c r="D114" t="s">
        <v>293</v>
      </c>
      <c r="E114">
        <f>+'10% CO'!AK29</f>
        <v>1.0568013143744557E-2</v>
      </c>
      <c r="F114" t="s">
        <v>374</v>
      </c>
    </row>
    <row r="115" spans="2:6" x14ac:dyDescent="0.2">
      <c r="B115">
        <f>+'5% CO'!AF30</f>
        <v>27</v>
      </c>
      <c r="C115" t="s">
        <v>76</v>
      </c>
      <c r="D115" t="s">
        <v>296</v>
      </c>
      <c r="E115">
        <f>+'10% CO'!AK30</f>
        <v>8.6465562085182735E-3</v>
      </c>
      <c r="F115" t="s">
        <v>374</v>
      </c>
    </row>
    <row r="116" spans="2:6" x14ac:dyDescent="0.2">
      <c r="B116">
        <f>+'5% CO'!AF31</f>
        <v>28</v>
      </c>
      <c r="C116" t="s">
        <v>76</v>
      </c>
      <c r="D116" t="s">
        <v>297</v>
      </c>
      <c r="E116">
        <f>+'10% CO'!AK31</f>
        <v>0</v>
      </c>
      <c r="F116" t="s">
        <v>374</v>
      </c>
    </row>
    <row r="117" spans="2:6" x14ac:dyDescent="0.2">
      <c r="B117">
        <f>+'5% CO'!AF32</f>
        <v>29</v>
      </c>
      <c r="C117" t="s">
        <v>76</v>
      </c>
      <c r="D117" t="s">
        <v>298</v>
      </c>
      <c r="E117">
        <f>+'10% CO'!AK32</f>
        <v>0</v>
      </c>
      <c r="F117" t="s">
        <v>374</v>
      </c>
    </row>
    <row r="118" spans="2:6" x14ac:dyDescent="0.2">
      <c r="B118">
        <f>+'5% CO'!AF33</f>
        <v>30</v>
      </c>
      <c r="C118" t="s">
        <v>76</v>
      </c>
      <c r="D118" t="s">
        <v>299</v>
      </c>
      <c r="E118">
        <f>+'10% CO'!AK33</f>
        <v>0</v>
      </c>
      <c r="F118" t="s">
        <v>374</v>
      </c>
    </row>
    <row r="119" spans="2:6" x14ac:dyDescent="0.2">
      <c r="B119">
        <f>+'5% CO'!AF34</f>
        <v>31</v>
      </c>
      <c r="C119" t="s">
        <v>76</v>
      </c>
      <c r="D119" t="s">
        <v>300</v>
      </c>
      <c r="E119">
        <f>+'10% CO'!AK34</f>
        <v>0</v>
      </c>
      <c r="F119" t="s">
        <v>374</v>
      </c>
    </row>
    <row r="120" spans="2:6" x14ac:dyDescent="0.2">
      <c r="B120">
        <f>+'5% CO'!AF35</f>
        <v>32</v>
      </c>
      <c r="C120" t="s">
        <v>76</v>
      </c>
      <c r="D120" t="s">
        <v>301</v>
      </c>
      <c r="E120">
        <f>+'10% CO'!AK35</f>
        <v>0</v>
      </c>
      <c r="F120" t="s">
        <v>374</v>
      </c>
    </row>
    <row r="121" spans="2:6" x14ac:dyDescent="0.2">
      <c r="B121">
        <f>+'5% CO'!AF36</f>
        <v>33</v>
      </c>
      <c r="C121" t="s">
        <v>76</v>
      </c>
      <c r="D121" t="s">
        <v>302</v>
      </c>
      <c r="E121">
        <f>+'10% CO'!AK36</f>
        <v>0</v>
      </c>
      <c r="F121" t="s">
        <v>374</v>
      </c>
    </row>
    <row r="122" spans="2:6" x14ac:dyDescent="0.2">
      <c r="B122">
        <f>+'5% CO'!AF37</f>
        <v>34</v>
      </c>
      <c r="C122" t="s">
        <v>76</v>
      </c>
      <c r="D122" t="s">
        <v>303</v>
      </c>
      <c r="E122">
        <f>+'10% CO'!AK37</f>
        <v>0</v>
      </c>
      <c r="F122" t="s">
        <v>374</v>
      </c>
    </row>
    <row r="123" spans="2:6" x14ac:dyDescent="0.2">
      <c r="B123">
        <f>+'5% CO'!AF38</f>
        <v>35</v>
      </c>
      <c r="C123" t="s">
        <v>76</v>
      </c>
      <c r="D123" t="s">
        <v>304</v>
      </c>
      <c r="E123">
        <f>+'10% CO'!AK38</f>
        <v>0</v>
      </c>
      <c r="F123" t="s">
        <v>374</v>
      </c>
    </row>
    <row r="124" spans="2:6" x14ac:dyDescent="0.2">
      <c r="B124">
        <f>+'5% CO'!AF39</f>
        <v>36</v>
      </c>
      <c r="C124" t="s">
        <v>76</v>
      </c>
      <c r="D124" t="s">
        <v>305</v>
      </c>
      <c r="E124">
        <f>+'10% CO'!AK39</f>
        <v>0</v>
      </c>
      <c r="F124" t="s">
        <v>374</v>
      </c>
    </row>
    <row r="125" spans="2:6" x14ac:dyDescent="0.2">
      <c r="B125">
        <f>+'5% CO'!AF40</f>
        <v>37</v>
      </c>
      <c r="C125" t="s">
        <v>76</v>
      </c>
      <c r="D125" t="s">
        <v>306</v>
      </c>
      <c r="E125">
        <f>+'10% CO'!AK40</f>
        <v>0</v>
      </c>
      <c r="F125" t="s">
        <v>374</v>
      </c>
    </row>
    <row r="126" spans="2:6" x14ac:dyDescent="0.2">
      <c r="B126">
        <f>+'5% CO'!AF41</f>
        <v>38</v>
      </c>
      <c r="C126" t="s">
        <v>76</v>
      </c>
      <c r="D126" t="s">
        <v>307</v>
      </c>
      <c r="E126">
        <f>+'10% CO'!AK41</f>
        <v>0</v>
      </c>
      <c r="F126" t="s">
        <v>374</v>
      </c>
    </row>
    <row r="127" spans="2:6" x14ac:dyDescent="0.2">
      <c r="B127">
        <f>+'5% CO'!AF42</f>
        <v>39</v>
      </c>
      <c r="C127" t="s">
        <v>76</v>
      </c>
      <c r="D127" t="s">
        <v>308</v>
      </c>
      <c r="E127">
        <f>+'10% CO'!AK42</f>
        <v>0</v>
      </c>
      <c r="F127" t="s">
        <v>374</v>
      </c>
    </row>
  </sheetData>
  <phoneticPr fontId="6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BDE-A040-AC40-A220-F7ABC58507A0}">
  <dimension ref="E1:BX75"/>
  <sheetViews>
    <sheetView topLeftCell="AE1" zoomScaleNormal="125" workbookViewId="0">
      <selection activeCell="AP2" sqref="AP2"/>
    </sheetView>
  </sheetViews>
  <sheetFormatPr baseColWidth="10" defaultRowHeight="16" x14ac:dyDescent="0.2"/>
  <cols>
    <col min="5" max="5" width="13.83203125" customWidth="1"/>
    <col min="6" max="6" width="0.83203125" customWidth="1"/>
    <col min="7" max="7" width="16.33203125" hidden="1" customWidth="1"/>
    <col min="8" max="8" width="0.6640625" customWidth="1"/>
    <col min="13" max="13" width="5.1640625" style="19" customWidth="1"/>
    <col min="14" max="14" width="4.83203125" style="19" bestFit="1" customWidth="1"/>
    <col min="15" max="15" width="2.1640625" style="19" bestFit="1" customWidth="1"/>
    <col min="16" max="16" width="4.83203125" style="19" bestFit="1" customWidth="1"/>
    <col min="17" max="17" width="3.5" style="19" bestFit="1" customWidth="1"/>
    <col min="18" max="18" width="2.1640625" style="19" bestFit="1" customWidth="1"/>
    <col min="19" max="19" width="2.33203125" style="19" bestFit="1" customWidth="1"/>
    <col min="20" max="20" width="7.83203125" style="19" bestFit="1" customWidth="1"/>
    <col min="21" max="21" width="2.1640625" style="19" bestFit="1" customWidth="1"/>
    <col min="22" max="23" width="4.83203125" style="19" bestFit="1" customWidth="1"/>
    <col min="24" max="24" width="8.1640625" customWidth="1"/>
    <col min="26" max="26" width="5.1640625" style="19" customWidth="1"/>
    <col min="27" max="27" width="4.83203125" style="19" bestFit="1" customWidth="1"/>
    <col min="28" max="28" width="2.1640625" style="19" bestFit="1" customWidth="1"/>
    <col min="29" max="29" width="4.83203125" style="19" bestFit="1" customWidth="1"/>
    <col min="30" max="30" width="3.5" style="19" bestFit="1" customWidth="1"/>
    <col min="31" max="31" width="2.1640625" style="19" bestFit="1" customWidth="1"/>
    <col min="32" max="32" width="2.33203125" style="19" bestFit="1" customWidth="1"/>
    <col min="33" max="33" width="7.83203125" style="19" bestFit="1" customWidth="1"/>
    <col min="34" max="34" width="2.1640625" style="19" bestFit="1" customWidth="1"/>
    <col min="35" max="36" width="4.83203125" style="19" bestFit="1" customWidth="1"/>
    <col min="50" max="50" width="5.1640625" style="19" customWidth="1"/>
    <col min="51" max="51" width="4.83203125" style="19" bestFit="1" customWidth="1"/>
    <col min="52" max="52" width="2.1640625" style="19" bestFit="1" customWidth="1"/>
    <col min="53" max="53" width="4.83203125" style="19" bestFit="1" customWidth="1"/>
    <col min="54" max="54" width="3.5" style="19" bestFit="1" customWidth="1"/>
    <col min="55" max="55" width="2.1640625" style="19" bestFit="1" customWidth="1"/>
    <col min="56" max="56" width="2.33203125" style="19" bestFit="1" customWidth="1"/>
    <col min="57" max="57" width="7.83203125" style="19" bestFit="1" customWidth="1"/>
    <col min="58" max="58" width="2.1640625" style="19" bestFit="1" customWidth="1"/>
    <col min="59" max="60" width="4.83203125" style="19" bestFit="1" customWidth="1"/>
    <col min="61" max="61" width="8.1640625" customWidth="1"/>
    <col min="63" max="63" width="5.1640625" style="19" customWidth="1"/>
    <col min="64" max="64" width="4.83203125" style="19" bestFit="1" customWidth="1"/>
    <col min="65" max="65" width="2.1640625" style="19" bestFit="1" customWidth="1"/>
    <col min="66" max="66" width="4.83203125" style="19" bestFit="1" customWidth="1"/>
    <col min="67" max="67" width="3.5" style="19" bestFit="1" customWidth="1"/>
    <col min="68" max="68" width="2.1640625" style="19" bestFit="1" customWidth="1"/>
    <col min="69" max="69" width="2.33203125" style="19" bestFit="1" customWidth="1"/>
    <col min="70" max="70" width="7.83203125" style="19" bestFit="1" customWidth="1"/>
    <col min="71" max="71" width="2.1640625" style="19" bestFit="1" customWidth="1"/>
    <col min="72" max="73" width="4.83203125" style="19" bestFit="1" customWidth="1"/>
  </cols>
  <sheetData>
    <row r="1" spans="5:76" ht="40" customHeight="1" x14ac:dyDescent="0.2">
      <c r="E1" s="27" t="s">
        <v>381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P1" s="27" t="s">
        <v>402</v>
      </c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</row>
    <row r="3" spans="5:76" x14ac:dyDescent="0.2">
      <c r="L3" s="9">
        <f>SUM(L6:L73)</f>
        <v>0.23140786185419154</v>
      </c>
      <c r="Y3" s="9">
        <f>SUM(Y6:Y73)</f>
        <v>0.74541938996819412</v>
      </c>
      <c r="AW3" s="9">
        <f>SUM(AW6:AW73)</f>
        <v>0.13749513180663681</v>
      </c>
      <c r="BJ3" s="9">
        <f>SUM(BJ6:BJ73)</f>
        <v>0.89494938979157435</v>
      </c>
    </row>
    <row r="5" spans="5:76" x14ac:dyDescent="0.2">
      <c r="E5" t="s">
        <v>365</v>
      </c>
      <c r="F5" t="s">
        <v>366</v>
      </c>
      <c r="G5" t="s">
        <v>336</v>
      </c>
      <c r="H5" t="s">
        <v>367</v>
      </c>
      <c r="I5" t="s">
        <v>368</v>
      </c>
      <c r="J5" t="s">
        <v>55</v>
      </c>
      <c r="L5" t="s">
        <v>369</v>
      </c>
      <c r="Y5" t="s">
        <v>373</v>
      </c>
      <c r="AP5" t="s">
        <v>365</v>
      </c>
      <c r="AQ5" t="s">
        <v>366</v>
      </c>
      <c r="AR5" t="s">
        <v>336</v>
      </c>
      <c r="AS5" t="s">
        <v>367</v>
      </c>
      <c r="AT5" t="s">
        <v>368</v>
      </c>
      <c r="AU5" t="s">
        <v>55</v>
      </c>
      <c r="AW5" t="s">
        <v>369</v>
      </c>
      <c r="BJ5" t="s">
        <v>373</v>
      </c>
    </row>
    <row r="6" spans="5:76" x14ac:dyDescent="0.2">
      <c r="E6">
        <f>+'5% CO Elab'!R6</f>
        <v>1</v>
      </c>
      <c r="F6">
        <f>+'5% CO Elab'!S6</f>
        <v>1</v>
      </c>
      <c r="G6" t="str">
        <f>+'5% CO Elab'!T6</f>
        <v>METHANE</v>
      </c>
      <c r="H6" t="str">
        <f>+'5% CO Elab'!U6</f>
        <v>CH4</v>
      </c>
      <c r="I6" t="str">
        <f>+'5% CO Elab'!V6</f>
        <v>CH4</v>
      </c>
      <c r="J6">
        <f>+'5% CO Elab'!W6</f>
        <v>11.284207492384297</v>
      </c>
      <c r="L6">
        <f>+'5% CO Elab'!AB6</f>
        <v>3.3720696605982703E-2</v>
      </c>
      <c r="M6" s="20">
        <v>1</v>
      </c>
      <c r="N6" s="20" t="s">
        <v>309</v>
      </c>
      <c r="O6" s="20" t="s">
        <v>310</v>
      </c>
      <c r="P6" s="20">
        <v>4</v>
      </c>
      <c r="Q6" s="20" t="s">
        <v>42</v>
      </c>
      <c r="R6" s="20" t="s">
        <v>311</v>
      </c>
      <c r="S6" s="20">
        <v>1</v>
      </c>
      <c r="T6" s="20" t="s">
        <v>114</v>
      </c>
      <c r="U6" s="20" t="s">
        <v>310</v>
      </c>
      <c r="V6" s="20">
        <v>2</v>
      </c>
      <c r="W6" s="20" t="s">
        <v>312</v>
      </c>
      <c r="X6" s="1"/>
      <c r="Y6">
        <f>+'5% CO Elab'!AA6</f>
        <v>0.10862232982029039</v>
      </c>
      <c r="Z6" s="20">
        <f>M6</f>
        <v>1</v>
      </c>
      <c r="AA6" s="20" t="s">
        <v>41</v>
      </c>
      <c r="AB6" s="20" t="str">
        <f t="shared" ref="AB6:AB21" si="0">O6</f>
        <v>+</v>
      </c>
      <c r="AC6" s="20">
        <f>+P6-Z6</f>
        <v>3</v>
      </c>
      <c r="AD6" s="20" t="str">
        <f>Q6</f>
        <v>H2</v>
      </c>
      <c r="AE6" s="20" t="str">
        <f>R6</f>
        <v>=</v>
      </c>
      <c r="AF6" s="20">
        <f t="shared" ref="AF6:AF69" si="1">S6</f>
        <v>1</v>
      </c>
      <c r="AG6" s="20" t="str">
        <f t="shared" ref="AG6:AG69" si="2">T6</f>
        <v>CH4</v>
      </c>
      <c r="AH6" s="20" t="str">
        <f t="shared" ref="AH6:AH69" si="3">U6</f>
        <v>+</v>
      </c>
      <c r="AI6" s="20">
        <f>+Z6</f>
        <v>1</v>
      </c>
      <c r="AJ6" s="20" t="str">
        <f>+W6</f>
        <v>H2O</v>
      </c>
      <c r="AL6">
        <f>+V6*L6</f>
        <v>6.7441393211965406E-2</v>
      </c>
      <c r="AM6">
        <f>+AI6*Y6</f>
        <v>0.10862232982029039</v>
      </c>
      <c r="AP6">
        <f>+'10% CO Elab'!S6</f>
        <v>1</v>
      </c>
      <c r="AQ6" t="str">
        <f>+'10% CO Elab'!T6</f>
        <v>METHANE</v>
      </c>
      <c r="AR6" t="str">
        <f>+'10% CO Elab'!U6</f>
        <v>CH4</v>
      </c>
      <c r="AS6" t="str">
        <f>+'10% CO Elab'!V6</f>
        <v>CH4</v>
      </c>
      <c r="AT6">
        <f>+'10% CO Elab'!W6</f>
        <v>12.780415015702763</v>
      </c>
      <c r="AU6">
        <f>+'10% CO Elab'!X6</f>
        <v>12.780415015702763</v>
      </c>
      <c r="AW6">
        <f>+'10% CO Elab'!AB6</f>
        <v>1.8953812956013026E-2</v>
      </c>
      <c r="AX6" s="20">
        <v>1</v>
      </c>
      <c r="AY6" s="20" t="s">
        <v>309</v>
      </c>
      <c r="AZ6" s="20" t="s">
        <v>310</v>
      </c>
      <c r="BA6" s="20">
        <v>4</v>
      </c>
      <c r="BB6" s="20" t="s">
        <v>42</v>
      </c>
      <c r="BC6" s="20" t="s">
        <v>311</v>
      </c>
      <c r="BD6" s="20">
        <v>1</v>
      </c>
      <c r="BE6" s="20" t="s">
        <v>114</v>
      </c>
      <c r="BF6" s="20" t="s">
        <v>310</v>
      </c>
      <c r="BG6" s="20">
        <v>2</v>
      </c>
      <c r="BH6" s="20" t="s">
        <v>312</v>
      </c>
      <c r="BI6" s="1"/>
      <c r="BJ6">
        <f>+'10% CO Elab'!AA6</f>
        <v>0.12336948309604598</v>
      </c>
      <c r="BK6" s="20">
        <f>AX6</f>
        <v>1</v>
      </c>
      <c r="BL6" s="20" t="s">
        <v>41</v>
      </c>
      <c r="BM6" s="20" t="str">
        <f t="shared" ref="BM6:BM21" si="4">AZ6</f>
        <v>+</v>
      </c>
      <c r="BN6" s="20">
        <f>+BA6-BK6</f>
        <v>3</v>
      </c>
      <c r="BO6" s="20" t="str">
        <f>BB6</f>
        <v>H2</v>
      </c>
      <c r="BP6" s="20" t="str">
        <f>BC6</f>
        <v>=</v>
      </c>
      <c r="BQ6" s="20">
        <f t="shared" ref="BQ6:BQ69" si="5">BD6</f>
        <v>1</v>
      </c>
      <c r="BR6" s="20" t="str">
        <f t="shared" ref="BR6:BR69" si="6">BE6</f>
        <v>CH4</v>
      </c>
      <c r="BS6" s="20" t="str">
        <f t="shared" ref="BS6:BS69" si="7">BF6</f>
        <v>+</v>
      </c>
      <c r="BT6" s="20">
        <f>+BK6</f>
        <v>1</v>
      </c>
      <c r="BU6" s="20" t="str">
        <f>+BH6</f>
        <v>H2O</v>
      </c>
      <c r="BW6">
        <f>+BG6*AW6</f>
        <v>3.7907625912026052E-2</v>
      </c>
      <c r="BX6">
        <f>+BT6*BJ6</f>
        <v>0.12336948309604598</v>
      </c>
    </row>
    <row r="7" spans="5:76" x14ac:dyDescent="0.2">
      <c r="E7">
        <f>+'5% CO Elab'!R7</f>
        <v>2</v>
      </c>
      <c r="F7">
        <f>+'5% CO Elab'!S7</f>
        <v>1</v>
      </c>
      <c r="G7" t="str">
        <f>+'5% CO Elab'!T7</f>
        <v>METHANOL</v>
      </c>
      <c r="H7" t="str">
        <f>+'5% CO Elab'!U7</f>
        <v>CH4O</v>
      </c>
      <c r="I7" t="str">
        <f>+'5% CO Elab'!V7</f>
        <v>MEOH</v>
      </c>
      <c r="J7">
        <f>+'5% CO Elab'!W7</f>
        <v>0.64499028268648395</v>
      </c>
      <c r="L7">
        <f>+'5% CO Elab'!AB7</f>
        <v>1.9274301408368005E-3</v>
      </c>
      <c r="M7" s="20">
        <v>1</v>
      </c>
      <c r="N7" s="20" t="s">
        <v>309</v>
      </c>
      <c r="O7" s="20" t="s">
        <v>310</v>
      </c>
      <c r="P7" s="20">
        <v>3</v>
      </c>
      <c r="Q7" s="20" t="s">
        <v>42</v>
      </c>
      <c r="R7" s="20" t="s">
        <v>311</v>
      </c>
      <c r="S7" s="20">
        <v>1</v>
      </c>
      <c r="T7" s="20" t="s">
        <v>116</v>
      </c>
      <c r="U7" s="20" t="s">
        <v>310</v>
      </c>
      <c r="V7" s="20">
        <v>1</v>
      </c>
      <c r="W7" s="20" t="s">
        <v>312</v>
      </c>
      <c r="X7" s="1"/>
      <c r="Y7">
        <f>+'5% CO Elab'!AA7</f>
        <v>6.2087078125900533E-3</v>
      </c>
      <c r="Z7" s="20">
        <f t="shared" ref="Z7:Z70" si="8">M7</f>
        <v>1</v>
      </c>
      <c r="AA7" s="20" t="s">
        <v>41</v>
      </c>
      <c r="AB7" s="20" t="str">
        <f t="shared" si="0"/>
        <v>+</v>
      </c>
      <c r="AC7" s="20">
        <f t="shared" ref="AC7:AC70" si="9">+P7-Z7</f>
        <v>2</v>
      </c>
      <c r="AD7" s="20" t="str">
        <f t="shared" ref="AD7:AD21" si="10">Q7</f>
        <v>H2</v>
      </c>
      <c r="AE7" s="20" t="str">
        <f t="shared" ref="AE7:AH70" si="11">R7</f>
        <v>=</v>
      </c>
      <c r="AF7" s="20">
        <f t="shared" si="1"/>
        <v>1</v>
      </c>
      <c r="AG7" s="20" t="str">
        <f t="shared" si="2"/>
        <v>CH4O</v>
      </c>
      <c r="AH7" s="20" t="str">
        <f t="shared" si="3"/>
        <v>+</v>
      </c>
      <c r="AI7" s="20">
        <v>0</v>
      </c>
      <c r="AJ7" s="20" t="str">
        <f t="shared" ref="AJ7:AJ70" si="12">+W7</f>
        <v>H2O</v>
      </c>
      <c r="AL7">
        <f t="shared" ref="AL7:AL70" si="13">+V7*L7</f>
        <v>1.9274301408368005E-3</v>
      </c>
      <c r="AM7">
        <f t="shared" ref="AM7:AM70" si="14">+AI7*Y7</f>
        <v>0</v>
      </c>
      <c r="AP7">
        <f>+'10% CO Elab'!S7</f>
        <v>1</v>
      </c>
      <c r="AQ7" t="str">
        <f>+'10% CO Elab'!T7</f>
        <v>METHANOL</v>
      </c>
      <c r="AR7" t="str">
        <f>+'10% CO Elab'!U7</f>
        <v>CH4O</v>
      </c>
      <c r="AS7" t="str">
        <f>+'10% CO Elab'!V7</f>
        <v>MEOH</v>
      </c>
      <c r="AT7">
        <f>+'10% CO Elab'!W7</f>
        <v>0.93023540589214981</v>
      </c>
      <c r="AU7">
        <f>+'10% CO Elab'!X7</f>
        <v>0.93023540589214981</v>
      </c>
      <c r="AW7">
        <f>+'10% CO Elab'!AB7</f>
        <v>1.3795724056439142E-3</v>
      </c>
      <c r="AX7" s="20">
        <v>1</v>
      </c>
      <c r="AY7" s="20" t="s">
        <v>309</v>
      </c>
      <c r="AZ7" s="20" t="s">
        <v>310</v>
      </c>
      <c r="BA7" s="20">
        <v>3</v>
      </c>
      <c r="BB7" s="20" t="s">
        <v>42</v>
      </c>
      <c r="BC7" s="20" t="s">
        <v>311</v>
      </c>
      <c r="BD7" s="20">
        <v>1</v>
      </c>
      <c r="BE7" s="20" t="s">
        <v>116</v>
      </c>
      <c r="BF7" s="20" t="s">
        <v>310</v>
      </c>
      <c r="BG7" s="20">
        <v>1</v>
      </c>
      <c r="BH7" s="20" t="s">
        <v>312</v>
      </c>
      <c r="BI7" s="1"/>
      <c r="BJ7">
        <f>+'10% CO Elab'!AA7</f>
        <v>8.9795723410821121E-3</v>
      </c>
      <c r="BK7" s="20">
        <f t="shared" ref="BK7:BK70" si="15">AX7</f>
        <v>1</v>
      </c>
      <c r="BL7" s="20" t="s">
        <v>41</v>
      </c>
      <c r="BM7" s="20" t="str">
        <f t="shared" si="4"/>
        <v>+</v>
      </c>
      <c r="BN7" s="20">
        <f t="shared" ref="BN7:BN70" si="16">+BA7-BK7</f>
        <v>2</v>
      </c>
      <c r="BO7" s="20" t="str">
        <f t="shared" ref="BO7:BO21" si="17">BB7</f>
        <v>H2</v>
      </c>
      <c r="BP7" s="20" t="str">
        <f t="shared" ref="BP7:BP70" si="18">BC7</f>
        <v>=</v>
      </c>
      <c r="BQ7" s="20">
        <f t="shared" si="5"/>
        <v>1</v>
      </c>
      <c r="BR7" s="20" t="str">
        <f t="shared" si="6"/>
        <v>CH4O</v>
      </c>
      <c r="BS7" s="20" t="str">
        <f t="shared" si="7"/>
        <v>+</v>
      </c>
      <c r="BT7" s="20">
        <v>0</v>
      </c>
      <c r="BU7" s="20" t="str">
        <f t="shared" ref="BU7:BU70" si="19">+BH7</f>
        <v>H2O</v>
      </c>
      <c r="BW7">
        <f t="shared" ref="BW7:BW70" si="20">+BG7*AW7</f>
        <v>1.3795724056439142E-3</v>
      </c>
      <c r="BX7">
        <f t="shared" ref="BX7:BX70" si="21">+BT7*BJ7</f>
        <v>0</v>
      </c>
    </row>
    <row r="8" spans="5:76" x14ac:dyDescent="0.2">
      <c r="E8">
        <f>+'5% CO Elab'!R8</f>
        <v>3</v>
      </c>
      <c r="F8">
        <f>+'5% CO Elab'!S8</f>
        <v>2</v>
      </c>
      <c r="G8" t="str">
        <f>+'5% CO Elab'!T8</f>
        <v>ETHANE</v>
      </c>
      <c r="H8" t="str">
        <f>+'5% CO Elab'!U8</f>
        <v>C2H6</v>
      </c>
      <c r="I8" t="str">
        <f>+'5% CO Elab'!V8</f>
        <v>C2</v>
      </c>
      <c r="J8">
        <f>+'5% CO Elab'!W8</f>
        <v>0.75254127723175768</v>
      </c>
      <c r="L8">
        <f>+'5% CO Elab'!AB8</f>
        <v>4.4976514496276694E-3</v>
      </c>
      <c r="M8" s="20">
        <v>2</v>
      </c>
      <c r="N8" s="20" t="s">
        <v>309</v>
      </c>
      <c r="O8" s="20" t="s">
        <v>310</v>
      </c>
      <c r="P8" s="20">
        <v>7</v>
      </c>
      <c r="Q8" s="20" t="s">
        <v>42</v>
      </c>
      <c r="R8" s="20" t="s">
        <v>311</v>
      </c>
      <c r="S8" s="20">
        <v>1</v>
      </c>
      <c r="T8" s="20" t="s">
        <v>119</v>
      </c>
      <c r="U8" s="20" t="s">
        <v>310</v>
      </c>
      <c r="V8" s="20">
        <v>4</v>
      </c>
      <c r="W8" s="20" t="s">
        <v>312</v>
      </c>
      <c r="X8" s="1"/>
      <c r="Y8">
        <f>+'5% CO Elab'!AA8</f>
        <v>1.4487997827763929E-2</v>
      </c>
      <c r="Z8" s="20">
        <f t="shared" si="8"/>
        <v>2</v>
      </c>
      <c r="AA8" s="20" t="s">
        <v>41</v>
      </c>
      <c r="AB8" s="20" t="str">
        <f t="shared" si="0"/>
        <v>+</v>
      </c>
      <c r="AC8" s="20">
        <f t="shared" si="9"/>
        <v>5</v>
      </c>
      <c r="AD8" s="20" t="str">
        <f t="shared" si="10"/>
        <v>H2</v>
      </c>
      <c r="AE8" s="20" t="str">
        <f t="shared" si="11"/>
        <v>=</v>
      </c>
      <c r="AF8" s="20">
        <f t="shared" si="1"/>
        <v>1</v>
      </c>
      <c r="AG8" s="20" t="str">
        <f t="shared" si="2"/>
        <v>C2H6</v>
      </c>
      <c r="AH8" s="20" t="str">
        <f t="shared" si="3"/>
        <v>+</v>
      </c>
      <c r="AI8" s="20">
        <f t="shared" ref="AI8:AI70" si="22">+Z8</f>
        <v>2</v>
      </c>
      <c r="AJ8" s="20" t="str">
        <f t="shared" si="12"/>
        <v>H2O</v>
      </c>
      <c r="AL8">
        <f t="shared" si="13"/>
        <v>1.7990605798510678E-2</v>
      </c>
      <c r="AM8">
        <f t="shared" si="14"/>
        <v>2.8975995655527859E-2</v>
      </c>
      <c r="AP8">
        <f>+'10% CO Elab'!S8</f>
        <v>2</v>
      </c>
      <c r="AQ8" t="str">
        <f>+'10% CO Elab'!T8</f>
        <v>ETHANE</v>
      </c>
      <c r="AR8" t="str">
        <f>+'10% CO Elab'!U8</f>
        <v>C2H6</v>
      </c>
      <c r="AS8" t="str">
        <f>+'10% CO Elab'!V8</f>
        <v>C2</v>
      </c>
      <c r="AT8">
        <f>+'10% CO Elab'!W8</f>
        <v>0.85144978553306494</v>
      </c>
      <c r="AU8">
        <f>+'10% CO Elab'!X8</f>
        <v>1.7028995710661299</v>
      </c>
      <c r="AW8">
        <f>+'10% CO Elab'!AB8</f>
        <v>2.5254610208827744E-3</v>
      </c>
      <c r="AX8" s="20">
        <v>2</v>
      </c>
      <c r="AY8" s="20" t="s">
        <v>309</v>
      </c>
      <c r="AZ8" s="20" t="s">
        <v>310</v>
      </c>
      <c r="BA8" s="20">
        <v>7</v>
      </c>
      <c r="BB8" s="20" t="s">
        <v>42</v>
      </c>
      <c r="BC8" s="20" t="s">
        <v>311</v>
      </c>
      <c r="BD8" s="20">
        <v>1</v>
      </c>
      <c r="BE8" s="20" t="s">
        <v>119</v>
      </c>
      <c r="BF8" s="20" t="s">
        <v>310</v>
      </c>
      <c r="BG8" s="20">
        <v>4</v>
      </c>
      <c r="BH8" s="20" t="s">
        <v>312</v>
      </c>
      <c r="BI8" s="1"/>
      <c r="BJ8">
        <f>+'10% CO Elab'!AA8</f>
        <v>1.6438107807045636E-2</v>
      </c>
      <c r="BK8" s="20">
        <f t="shared" si="15"/>
        <v>2</v>
      </c>
      <c r="BL8" s="20" t="s">
        <v>41</v>
      </c>
      <c r="BM8" s="20" t="str">
        <f t="shared" si="4"/>
        <v>+</v>
      </c>
      <c r="BN8" s="20">
        <f t="shared" si="16"/>
        <v>5</v>
      </c>
      <c r="BO8" s="20" t="str">
        <f t="shared" si="17"/>
        <v>H2</v>
      </c>
      <c r="BP8" s="20" t="str">
        <f t="shared" si="18"/>
        <v>=</v>
      </c>
      <c r="BQ8" s="20">
        <f t="shared" si="5"/>
        <v>1</v>
      </c>
      <c r="BR8" s="20" t="str">
        <f t="shared" si="6"/>
        <v>C2H6</v>
      </c>
      <c r="BS8" s="20" t="str">
        <f t="shared" si="7"/>
        <v>+</v>
      </c>
      <c r="BT8" s="20">
        <f t="shared" ref="BT8:BT71" si="23">+BK8</f>
        <v>2</v>
      </c>
      <c r="BU8" s="20" t="str">
        <f t="shared" si="19"/>
        <v>H2O</v>
      </c>
      <c r="BW8">
        <f t="shared" si="20"/>
        <v>1.0101844083531097E-2</v>
      </c>
      <c r="BX8">
        <f t="shared" si="21"/>
        <v>3.2876215614091271E-2</v>
      </c>
    </row>
    <row r="9" spans="5:76" x14ac:dyDescent="0.2">
      <c r="E9">
        <f>+'5% CO Elab'!R9</f>
        <v>4</v>
      </c>
      <c r="F9">
        <f>+'5% CO Elab'!S9</f>
        <v>2</v>
      </c>
      <c r="G9" t="str">
        <f>+'5% CO Elab'!T9</f>
        <v>ETHYLENE</v>
      </c>
      <c r="H9" t="str">
        <f>+'5% CO Elab'!U9</f>
        <v>C2H4</v>
      </c>
      <c r="I9" t="str">
        <f>+'5% CO Elab'!V9</f>
        <v>C2-O</v>
      </c>
      <c r="J9">
        <f>+'5% CO Elab'!W9</f>
        <v>2.9665605763140062</v>
      </c>
      <c r="L9">
        <f>+'5% CO Elab'!AB9</f>
        <v>1.7729998181027246E-2</v>
      </c>
      <c r="M9" s="20">
        <v>2</v>
      </c>
      <c r="N9" s="20" t="s">
        <v>309</v>
      </c>
      <c r="O9" s="20" t="s">
        <v>310</v>
      </c>
      <c r="P9" s="20">
        <v>6</v>
      </c>
      <c r="Q9" s="20" t="s">
        <v>42</v>
      </c>
      <c r="R9" s="20" t="s">
        <v>311</v>
      </c>
      <c r="S9" s="20">
        <v>1</v>
      </c>
      <c r="T9" s="20" t="s">
        <v>122</v>
      </c>
      <c r="U9" s="20" t="s">
        <v>310</v>
      </c>
      <c r="V9" s="20">
        <v>4</v>
      </c>
      <c r="W9" s="20" t="s">
        <v>312</v>
      </c>
      <c r="X9" s="1"/>
      <c r="Y9">
        <f>+'5% CO Elab'!AA9</f>
        <v>5.711251261016366E-2</v>
      </c>
      <c r="Z9" s="20">
        <f t="shared" si="8"/>
        <v>2</v>
      </c>
      <c r="AA9" s="20" t="s">
        <v>41</v>
      </c>
      <c r="AB9" s="20" t="str">
        <f t="shared" si="0"/>
        <v>+</v>
      </c>
      <c r="AC9" s="20">
        <f t="shared" si="9"/>
        <v>4</v>
      </c>
      <c r="AD9" s="20" t="str">
        <f t="shared" si="10"/>
        <v>H2</v>
      </c>
      <c r="AE9" s="20" t="str">
        <f t="shared" si="11"/>
        <v>=</v>
      </c>
      <c r="AF9" s="20">
        <f t="shared" si="1"/>
        <v>1</v>
      </c>
      <c r="AG9" s="20" t="str">
        <f t="shared" si="2"/>
        <v>C2H4</v>
      </c>
      <c r="AH9" s="20" t="str">
        <f t="shared" si="3"/>
        <v>+</v>
      </c>
      <c r="AI9" s="20">
        <f t="shared" si="22"/>
        <v>2</v>
      </c>
      <c r="AJ9" s="20" t="str">
        <f t="shared" si="12"/>
        <v>H2O</v>
      </c>
      <c r="AL9">
        <f t="shared" si="13"/>
        <v>7.0919992724108982E-2</v>
      </c>
      <c r="AM9">
        <f t="shared" si="14"/>
        <v>0.11422502522032732</v>
      </c>
      <c r="AP9">
        <f>+'10% CO Elab'!S9</f>
        <v>2</v>
      </c>
      <c r="AQ9" t="str">
        <f>+'10% CO Elab'!T9</f>
        <v>ETHYLENE</v>
      </c>
      <c r="AR9" t="str">
        <f>+'10% CO Elab'!U9</f>
        <v>C2H4</v>
      </c>
      <c r="AS9" t="str">
        <f>+'10% CO Elab'!V9</f>
        <v>C2-O</v>
      </c>
      <c r="AT9">
        <f>+'10% CO Elab'!W9</f>
        <v>3.7332760249047356</v>
      </c>
      <c r="AU9">
        <f>+'10% CO Elab'!X9</f>
        <v>7.4665520498094713</v>
      </c>
      <c r="AW9">
        <f>+'10% CO Elab'!AB9</f>
        <v>1.1073163962558736E-2</v>
      </c>
      <c r="AX9" s="20">
        <v>2</v>
      </c>
      <c r="AY9" s="20" t="s">
        <v>309</v>
      </c>
      <c r="AZ9" s="20" t="s">
        <v>310</v>
      </c>
      <c r="BA9" s="20">
        <v>6</v>
      </c>
      <c r="BB9" s="20" t="s">
        <v>42</v>
      </c>
      <c r="BC9" s="20" t="s">
        <v>311</v>
      </c>
      <c r="BD9" s="20">
        <v>1</v>
      </c>
      <c r="BE9" s="20" t="s">
        <v>122</v>
      </c>
      <c r="BF9" s="20" t="s">
        <v>310</v>
      </c>
      <c r="BG9" s="20">
        <v>4</v>
      </c>
      <c r="BH9" s="20" t="s">
        <v>312</v>
      </c>
      <c r="BI9" s="1"/>
      <c r="BJ9">
        <f>+'10% CO Elab'!AA9</f>
        <v>7.2074706945192704E-2</v>
      </c>
      <c r="BK9" s="20">
        <f t="shared" si="15"/>
        <v>2</v>
      </c>
      <c r="BL9" s="20" t="s">
        <v>41</v>
      </c>
      <c r="BM9" s="20" t="str">
        <f t="shared" si="4"/>
        <v>+</v>
      </c>
      <c r="BN9" s="20">
        <f t="shared" si="16"/>
        <v>4</v>
      </c>
      <c r="BO9" s="20" t="str">
        <f t="shared" si="17"/>
        <v>H2</v>
      </c>
      <c r="BP9" s="20" t="str">
        <f t="shared" si="18"/>
        <v>=</v>
      </c>
      <c r="BQ9" s="20">
        <f t="shared" si="5"/>
        <v>1</v>
      </c>
      <c r="BR9" s="20" t="str">
        <f t="shared" si="6"/>
        <v>C2H4</v>
      </c>
      <c r="BS9" s="20" t="str">
        <f t="shared" si="7"/>
        <v>+</v>
      </c>
      <c r="BT9" s="20">
        <f t="shared" si="23"/>
        <v>2</v>
      </c>
      <c r="BU9" s="20" t="str">
        <f t="shared" si="19"/>
        <v>H2O</v>
      </c>
      <c r="BW9">
        <f t="shared" si="20"/>
        <v>4.4292655850234945E-2</v>
      </c>
      <c r="BX9">
        <f t="shared" si="21"/>
        <v>0.14414941389038541</v>
      </c>
    </row>
    <row r="10" spans="5:76" x14ac:dyDescent="0.2">
      <c r="E10">
        <f>+'5% CO Elab'!R10</f>
        <v>5</v>
      </c>
      <c r="F10">
        <f>+'5% CO Elab'!S10</f>
        <v>3</v>
      </c>
      <c r="G10" t="str">
        <f>+'5% CO Elab'!T10</f>
        <v>PROPANE</v>
      </c>
      <c r="H10" t="str">
        <f>+'5% CO Elab'!U10</f>
        <v>C3H8</v>
      </c>
      <c r="I10" t="str">
        <f>+'5% CO Elab'!V10</f>
        <v>C3</v>
      </c>
      <c r="J10">
        <f>+'5% CO Elab'!W10</f>
        <v>0.32611293825283549</v>
      </c>
      <c r="L10">
        <f>+'5% CO Elab'!AB10</f>
        <v>2.9235784943332011E-3</v>
      </c>
      <c r="M10" s="20">
        <v>3</v>
      </c>
      <c r="N10" s="20" t="s">
        <v>309</v>
      </c>
      <c r="O10" s="20" t="s">
        <v>310</v>
      </c>
      <c r="P10" s="20">
        <v>10</v>
      </c>
      <c r="Q10" s="20" t="s">
        <v>42</v>
      </c>
      <c r="R10" s="20" t="s">
        <v>311</v>
      </c>
      <c r="S10" s="20">
        <v>1</v>
      </c>
      <c r="T10" s="20" t="s">
        <v>125</v>
      </c>
      <c r="U10" s="20" t="s">
        <v>310</v>
      </c>
      <c r="V10" s="20">
        <v>6</v>
      </c>
      <c r="W10" s="20" t="s">
        <v>312</v>
      </c>
      <c r="X10" s="1"/>
      <c r="Y10">
        <f>+'5% CO Elab'!AA10</f>
        <v>9.417536985597939E-3</v>
      </c>
      <c r="Z10" s="20">
        <f t="shared" si="8"/>
        <v>3</v>
      </c>
      <c r="AA10" s="20" t="s">
        <v>41</v>
      </c>
      <c r="AB10" s="20" t="str">
        <f t="shared" si="0"/>
        <v>+</v>
      </c>
      <c r="AC10" s="20">
        <f t="shared" si="9"/>
        <v>7</v>
      </c>
      <c r="AD10" s="20" t="str">
        <f t="shared" si="10"/>
        <v>H2</v>
      </c>
      <c r="AE10" s="20" t="str">
        <f t="shared" si="11"/>
        <v>=</v>
      </c>
      <c r="AF10" s="20">
        <f t="shared" si="1"/>
        <v>1</v>
      </c>
      <c r="AG10" s="20" t="str">
        <f t="shared" si="2"/>
        <v>C3H8</v>
      </c>
      <c r="AH10" s="20" t="str">
        <f t="shared" si="3"/>
        <v>+</v>
      </c>
      <c r="AI10" s="20">
        <f t="shared" si="22"/>
        <v>3</v>
      </c>
      <c r="AJ10" s="20" t="str">
        <f t="shared" si="12"/>
        <v>H2O</v>
      </c>
      <c r="AL10">
        <f t="shared" si="13"/>
        <v>1.7541470965999208E-2</v>
      </c>
      <c r="AM10">
        <f t="shared" si="14"/>
        <v>2.8252610956793815E-2</v>
      </c>
      <c r="AP10">
        <f>+'10% CO Elab'!S10</f>
        <v>3</v>
      </c>
      <c r="AQ10" t="str">
        <f>+'10% CO Elab'!T10</f>
        <v>PROPANE</v>
      </c>
      <c r="AR10" t="str">
        <f>+'10% CO Elab'!U10</f>
        <v>C3H8</v>
      </c>
      <c r="AS10" t="str">
        <f>+'10% CO Elab'!V10</f>
        <v>C3</v>
      </c>
      <c r="AT10">
        <f>+'10% CO Elab'!W10</f>
        <v>0.39016143535167691</v>
      </c>
      <c r="AU10">
        <f>+'10% CO Elab'!X10</f>
        <v>1.1704843060550307</v>
      </c>
      <c r="AW10">
        <f>+'10% CO Elab'!AB10</f>
        <v>1.7358701245349076E-3</v>
      </c>
      <c r="AX10" s="20">
        <v>3</v>
      </c>
      <c r="AY10" s="20" t="s">
        <v>309</v>
      </c>
      <c r="AZ10" s="20" t="s">
        <v>310</v>
      </c>
      <c r="BA10" s="20">
        <v>10</v>
      </c>
      <c r="BB10" s="20" t="s">
        <v>42</v>
      </c>
      <c r="BC10" s="20" t="s">
        <v>311</v>
      </c>
      <c r="BD10" s="20">
        <v>1</v>
      </c>
      <c r="BE10" s="20" t="s">
        <v>125</v>
      </c>
      <c r="BF10" s="20" t="s">
        <v>310</v>
      </c>
      <c r="BG10" s="20">
        <v>6</v>
      </c>
      <c r="BH10" s="20" t="s">
        <v>312</v>
      </c>
      <c r="BI10" s="1"/>
      <c r="BJ10">
        <f>+'10% CO Elab'!AA10</f>
        <v>1.1298697548758976E-2</v>
      </c>
      <c r="BK10" s="20">
        <f t="shared" si="15"/>
        <v>3</v>
      </c>
      <c r="BL10" s="20" t="s">
        <v>41</v>
      </c>
      <c r="BM10" s="20" t="str">
        <f t="shared" si="4"/>
        <v>+</v>
      </c>
      <c r="BN10" s="20">
        <f t="shared" si="16"/>
        <v>7</v>
      </c>
      <c r="BO10" s="20" t="str">
        <f t="shared" si="17"/>
        <v>H2</v>
      </c>
      <c r="BP10" s="20" t="str">
        <f t="shared" si="18"/>
        <v>=</v>
      </c>
      <c r="BQ10" s="20">
        <f t="shared" si="5"/>
        <v>1</v>
      </c>
      <c r="BR10" s="20" t="str">
        <f t="shared" si="6"/>
        <v>C3H8</v>
      </c>
      <c r="BS10" s="20" t="str">
        <f t="shared" si="7"/>
        <v>+</v>
      </c>
      <c r="BT10" s="20">
        <f t="shared" si="23"/>
        <v>3</v>
      </c>
      <c r="BU10" s="20" t="str">
        <f t="shared" si="19"/>
        <v>H2O</v>
      </c>
      <c r="BW10">
        <f t="shared" si="20"/>
        <v>1.0415220747209446E-2</v>
      </c>
      <c r="BX10">
        <f t="shared" si="21"/>
        <v>3.3896092646276924E-2</v>
      </c>
    </row>
    <row r="11" spans="5:76" x14ac:dyDescent="0.2">
      <c r="E11">
        <f>+'5% CO Elab'!R11</f>
        <v>6</v>
      </c>
      <c r="F11">
        <f>+'5% CO Elab'!S11</f>
        <v>3</v>
      </c>
      <c r="G11" t="str">
        <f>+'5% CO Elab'!T11</f>
        <v>PROPYLENE</v>
      </c>
      <c r="H11" t="str">
        <f>+'5% CO Elab'!U11</f>
        <v>C3H6-2</v>
      </c>
      <c r="I11" t="str">
        <f>+'5% CO Elab'!V11</f>
        <v>C3-O</v>
      </c>
      <c r="J11">
        <f>+'5% CO Elab'!W11</f>
        <v>2.9824519040758708</v>
      </c>
      <c r="L11">
        <f>+'5% CO Elab'!AB11</f>
        <v>2.673746185555859E-2</v>
      </c>
      <c r="M11" s="20">
        <v>3</v>
      </c>
      <c r="N11" s="20" t="s">
        <v>309</v>
      </c>
      <c r="O11" s="20" t="s">
        <v>310</v>
      </c>
      <c r="P11" s="20">
        <v>9</v>
      </c>
      <c r="Q11" s="20" t="s">
        <v>42</v>
      </c>
      <c r="R11" s="20" t="s">
        <v>311</v>
      </c>
      <c r="S11" s="20">
        <v>1</v>
      </c>
      <c r="T11" s="20" t="s">
        <v>313</v>
      </c>
      <c r="U11" s="20" t="s">
        <v>310</v>
      </c>
      <c r="V11" s="20">
        <v>6</v>
      </c>
      <c r="W11" s="20" t="s">
        <v>312</v>
      </c>
      <c r="X11" s="1"/>
      <c r="Y11">
        <f>+'5% CO Elab'!AA11</f>
        <v>8.6127680995672029E-2</v>
      </c>
      <c r="Z11" s="20">
        <f t="shared" si="8"/>
        <v>3</v>
      </c>
      <c r="AA11" s="20" t="s">
        <v>41</v>
      </c>
      <c r="AB11" s="20" t="str">
        <f t="shared" si="0"/>
        <v>+</v>
      </c>
      <c r="AC11" s="20">
        <f t="shared" si="9"/>
        <v>6</v>
      </c>
      <c r="AD11" s="20" t="str">
        <f t="shared" si="10"/>
        <v>H2</v>
      </c>
      <c r="AE11" s="20" t="str">
        <f t="shared" si="11"/>
        <v>=</v>
      </c>
      <c r="AF11" s="20">
        <f t="shared" si="1"/>
        <v>1</v>
      </c>
      <c r="AG11" s="20" t="str">
        <f t="shared" si="2"/>
        <v>C3H6</v>
      </c>
      <c r="AH11" s="20" t="str">
        <f t="shared" si="3"/>
        <v>+</v>
      </c>
      <c r="AI11" s="20">
        <f t="shared" si="22"/>
        <v>3</v>
      </c>
      <c r="AJ11" s="20" t="str">
        <f t="shared" si="12"/>
        <v>H2O</v>
      </c>
      <c r="AL11">
        <f t="shared" si="13"/>
        <v>0.16042477113335155</v>
      </c>
      <c r="AM11">
        <f t="shared" si="14"/>
        <v>0.25838304298701609</v>
      </c>
      <c r="AP11">
        <f>+'10% CO Elab'!S11</f>
        <v>3</v>
      </c>
      <c r="AQ11" t="str">
        <f>+'10% CO Elab'!T11</f>
        <v>PROPYLENE</v>
      </c>
      <c r="AR11" t="str">
        <f>+'10% CO Elab'!U11</f>
        <v>C3H6-2</v>
      </c>
      <c r="AS11" t="str">
        <f>+'10% CO Elab'!V11</f>
        <v>C3-O</v>
      </c>
      <c r="AT11">
        <f>+'10% CO Elab'!W11</f>
        <v>3.720086299119822</v>
      </c>
      <c r="AU11">
        <f>+'10% CO Elab'!X11</f>
        <v>11.160258897359466</v>
      </c>
      <c r="AW11">
        <f>+'10% CO Elab'!AB11</f>
        <v>1.6551063437402778E-2</v>
      </c>
      <c r="AX11" s="20">
        <v>3</v>
      </c>
      <c r="AY11" s="20" t="s">
        <v>309</v>
      </c>
      <c r="AZ11" s="20" t="s">
        <v>310</v>
      </c>
      <c r="BA11" s="20">
        <v>9</v>
      </c>
      <c r="BB11" s="20" t="s">
        <v>42</v>
      </c>
      <c r="BC11" s="20" t="s">
        <v>311</v>
      </c>
      <c r="BD11" s="20">
        <v>1</v>
      </c>
      <c r="BE11" s="20" t="s">
        <v>313</v>
      </c>
      <c r="BF11" s="20" t="s">
        <v>310</v>
      </c>
      <c r="BG11" s="20">
        <v>6</v>
      </c>
      <c r="BH11" s="20" t="s">
        <v>312</v>
      </c>
      <c r="BI11" s="1"/>
      <c r="BJ11">
        <f>+'10% CO Elab'!AA11</f>
        <v>0.10773009872477733</v>
      </c>
      <c r="BK11" s="20">
        <f t="shared" si="15"/>
        <v>3</v>
      </c>
      <c r="BL11" s="20" t="s">
        <v>41</v>
      </c>
      <c r="BM11" s="20" t="str">
        <f t="shared" si="4"/>
        <v>+</v>
      </c>
      <c r="BN11" s="20">
        <f t="shared" si="16"/>
        <v>6</v>
      </c>
      <c r="BO11" s="20" t="str">
        <f t="shared" si="17"/>
        <v>H2</v>
      </c>
      <c r="BP11" s="20" t="str">
        <f t="shared" si="18"/>
        <v>=</v>
      </c>
      <c r="BQ11" s="20">
        <f t="shared" si="5"/>
        <v>1</v>
      </c>
      <c r="BR11" s="20" t="str">
        <f t="shared" si="6"/>
        <v>C3H6</v>
      </c>
      <c r="BS11" s="20" t="str">
        <f t="shared" si="7"/>
        <v>+</v>
      </c>
      <c r="BT11" s="20">
        <f t="shared" si="23"/>
        <v>3</v>
      </c>
      <c r="BU11" s="20" t="str">
        <f t="shared" si="19"/>
        <v>H2O</v>
      </c>
      <c r="BW11">
        <f t="shared" si="20"/>
        <v>9.9306380624416671E-2</v>
      </c>
      <c r="BX11">
        <f t="shared" si="21"/>
        <v>0.32319029617433198</v>
      </c>
    </row>
    <row r="12" spans="5:76" x14ac:dyDescent="0.2">
      <c r="E12">
        <f>+'5% CO Elab'!R12</f>
        <v>7</v>
      </c>
      <c r="F12">
        <f>+'5% CO Elab'!S12</f>
        <v>4</v>
      </c>
      <c r="G12" t="str">
        <f>+'5% CO Elab'!T12</f>
        <v>N-BUTANE</v>
      </c>
      <c r="H12" t="str">
        <f>+'5% CO Elab'!U12</f>
        <v>C4H10-1</v>
      </c>
      <c r="I12" t="str">
        <f>+'5% CO Elab'!V12</f>
        <v>C4</v>
      </c>
      <c r="J12">
        <f>+'5% CO Elab'!W12</f>
        <v>0.23449560985954729</v>
      </c>
      <c r="L12">
        <f>+'5% CO Elab'!AB12</f>
        <v>2.8029811826290321E-3</v>
      </c>
      <c r="M12" s="20">
        <v>4</v>
      </c>
      <c r="N12" s="20" t="s">
        <v>309</v>
      </c>
      <c r="O12" s="20" t="s">
        <v>310</v>
      </c>
      <c r="P12" s="20">
        <v>13</v>
      </c>
      <c r="Q12" s="20" t="s">
        <v>42</v>
      </c>
      <c r="R12" s="20" t="s">
        <v>311</v>
      </c>
      <c r="S12" s="20">
        <v>1</v>
      </c>
      <c r="T12" s="20" t="s">
        <v>314</v>
      </c>
      <c r="U12" s="20" t="s">
        <v>310</v>
      </c>
      <c r="V12" s="20">
        <v>8</v>
      </c>
      <c r="W12" s="20" t="s">
        <v>312</v>
      </c>
      <c r="X12" s="1"/>
      <c r="Y12">
        <f>+'5% CO Elab'!AA12</f>
        <v>9.0290645551367437E-3</v>
      </c>
      <c r="Z12" s="20">
        <f t="shared" si="8"/>
        <v>4</v>
      </c>
      <c r="AA12" s="20" t="s">
        <v>41</v>
      </c>
      <c r="AB12" s="20" t="str">
        <f t="shared" si="0"/>
        <v>+</v>
      </c>
      <c r="AC12" s="20">
        <f t="shared" si="9"/>
        <v>9</v>
      </c>
      <c r="AD12" s="20" t="str">
        <f t="shared" si="10"/>
        <v>H2</v>
      </c>
      <c r="AE12" s="20" t="str">
        <f t="shared" si="11"/>
        <v>=</v>
      </c>
      <c r="AF12" s="20">
        <f t="shared" si="1"/>
        <v>1</v>
      </c>
      <c r="AG12" s="20" t="str">
        <f t="shared" si="2"/>
        <v>C4H10</v>
      </c>
      <c r="AH12" s="20" t="str">
        <f t="shared" si="3"/>
        <v>+</v>
      </c>
      <c r="AI12" s="20">
        <f t="shared" si="22"/>
        <v>4</v>
      </c>
      <c r="AJ12" s="20" t="str">
        <f t="shared" si="12"/>
        <v>H2O</v>
      </c>
      <c r="AL12">
        <f t="shared" si="13"/>
        <v>2.2423849461032257E-2</v>
      </c>
      <c r="AM12">
        <f t="shared" si="14"/>
        <v>3.6116258220546975E-2</v>
      </c>
      <c r="AP12">
        <f>+'10% CO Elab'!S12</f>
        <v>4</v>
      </c>
      <c r="AQ12" t="str">
        <f>+'10% CO Elab'!T12</f>
        <v>N-BUTANE</v>
      </c>
      <c r="AR12" t="str">
        <f>+'10% CO Elab'!U12</f>
        <v>C4H10-1</v>
      </c>
      <c r="AS12" t="str">
        <f>+'10% CO Elab'!V12</f>
        <v>C4</v>
      </c>
      <c r="AT12">
        <f>+'10% CO Elab'!W12</f>
        <v>0.28059486675993217</v>
      </c>
      <c r="AU12">
        <f>+'10% CO Elab'!X12</f>
        <v>1.1223794670397287</v>
      </c>
      <c r="AW12">
        <f>+'10% CO Elab'!AB12</f>
        <v>1.6645289263144351E-3</v>
      </c>
      <c r="AX12" s="20">
        <v>4</v>
      </c>
      <c r="AY12" s="20" t="s">
        <v>309</v>
      </c>
      <c r="AZ12" s="20" t="s">
        <v>310</v>
      </c>
      <c r="BA12" s="20">
        <v>13</v>
      </c>
      <c r="BB12" s="20" t="s">
        <v>42</v>
      </c>
      <c r="BC12" s="20" t="s">
        <v>311</v>
      </c>
      <c r="BD12" s="20">
        <v>1</v>
      </c>
      <c r="BE12" s="20" t="s">
        <v>314</v>
      </c>
      <c r="BF12" s="20" t="s">
        <v>310</v>
      </c>
      <c r="BG12" s="20">
        <v>8</v>
      </c>
      <c r="BH12" s="20" t="s">
        <v>312</v>
      </c>
      <c r="BI12" s="1"/>
      <c r="BJ12">
        <f>+'10% CO Elab'!AA12</f>
        <v>1.0834341022273363E-2</v>
      </c>
      <c r="BK12" s="20">
        <f t="shared" si="15"/>
        <v>4</v>
      </c>
      <c r="BL12" s="20" t="s">
        <v>41</v>
      </c>
      <c r="BM12" s="20" t="str">
        <f t="shared" si="4"/>
        <v>+</v>
      </c>
      <c r="BN12" s="20">
        <f t="shared" si="16"/>
        <v>9</v>
      </c>
      <c r="BO12" s="20" t="str">
        <f t="shared" si="17"/>
        <v>H2</v>
      </c>
      <c r="BP12" s="20" t="str">
        <f t="shared" si="18"/>
        <v>=</v>
      </c>
      <c r="BQ12" s="20">
        <f t="shared" si="5"/>
        <v>1</v>
      </c>
      <c r="BR12" s="20" t="str">
        <f t="shared" si="6"/>
        <v>C4H10</v>
      </c>
      <c r="BS12" s="20" t="str">
        <f t="shared" si="7"/>
        <v>+</v>
      </c>
      <c r="BT12" s="20">
        <f t="shared" si="23"/>
        <v>4</v>
      </c>
      <c r="BU12" s="20" t="str">
        <f t="shared" si="19"/>
        <v>H2O</v>
      </c>
      <c r="BW12">
        <f t="shared" si="20"/>
        <v>1.3316231410515481E-2</v>
      </c>
      <c r="BX12">
        <f t="shared" si="21"/>
        <v>4.3337364089093451E-2</v>
      </c>
    </row>
    <row r="13" spans="5:76" x14ac:dyDescent="0.2">
      <c r="E13">
        <f>+'5% CO Elab'!R13</f>
        <v>8</v>
      </c>
      <c r="F13">
        <f>+'5% CO Elab'!S13</f>
        <v>4</v>
      </c>
      <c r="G13" t="str">
        <f>+'5% CO Elab'!T13</f>
        <v>ISOBUTANE</v>
      </c>
      <c r="H13" t="str">
        <f>+'5% CO Elab'!U13</f>
        <v>C4H10-2</v>
      </c>
      <c r="I13" t="str">
        <f>+'5% CO Elab'!V13</f>
        <v>C4-IP</v>
      </c>
      <c r="J13">
        <f>+'5% CO Elab'!W13</f>
        <v>6.9756425894330863E-3</v>
      </c>
      <c r="L13">
        <f>+'5% CO Elab'!AB13</f>
        <v>8.3381496679779018E-5</v>
      </c>
      <c r="M13" s="20">
        <v>4</v>
      </c>
      <c r="N13" s="20" t="s">
        <v>309</v>
      </c>
      <c r="O13" s="20" t="s">
        <v>310</v>
      </c>
      <c r="P13" s="20">
        <v>13</v>
      </c>
      <c r="Q13" s="20" t="s">
        <v>42</v>
      </c>
      <c r="R13" s="20" t="s">
        <v>311</v>
      </c>
      <c r="S13" s="20">
        <v>1</v>
      </c>
      <c r="T13" s="20" t="s">
        <v>314</v>
      </c>
      <c r="U13" s="20" t="s">
        <v>310</v>
      </c>
      <c r="V13" s="20">
        <v>8</v>
      </c>
      <c r="W13" s="20" t="s">
        <v>312</v>
      </c>
      <c r="X13" s="1"/>
      <c r="Y13">
        <f>+'5% CO Elab'!AA13</f>
        <v>2.6859149854138839E-4</v>
      </c>
      <c r="Z13" s="20">
        <f t="shared" si="8"/>
        <v>4</v>
      </c>
      <c r="AA13" s="20" t="s">
        <v>41</v>
      </c>
      <c r="AB13" s="20" t="str">
        <f t="shared" si="0"/>
        <v>+</v>
      </c>
      <c r="AC13" s="20">
        <f t="shared" si="9"/>
        <v>9</v>
      </c>
      <c r="AD13" s="20" t="str">
        <f t="shared" si="10"/>
        <v>H2</v>
      </c>
      <c r="AE13" s="20" t="str">
        <f t="shared" si="11"/>
        <v>=</v>
      </c>
      <c r="AF13" s="20">
        <f t="shared" si="1"/>
        <v>1</v>
      </c>
      <c r="AG13" s="20" t="str">
        <f t="shared" si="2"/>
        <v>C4H10</v>
      </c>
      <c r="AH13" s="20" t="str">
        <f t="shared" si="3"/>
        <v>+</v>
      </c>
      <c r="AI13" s="20">
        <f t="shared" si="22"/>
        <v>4</v>
      </c>
      <c r="AJ13" s="20" t="str">
        <f t="shared" si="12"/>
        <v>H2O</v>
      </c>
      <c r="AL13">
        <f t="shared" si="13"/>
        <v>6.6705197343823214E-4</v>
      </c>
      <c r="AM13">
        <f t="shared" si="14"/>
        <v>1.0743659941655536E-3</v>
      </c>
      <c r="AP13">
        <f>+'10% CO Elab'!S13</f>
        <v>4</v>
      </c>
      <c r="AQ13" t="str">
        <f>+'10% CO Elab'!T13</f>
        <v>ISOBUTANE</v>
      </c>
      <c r="AR13" t="str">
        <f>+'10% CO Elab'!U13</f>
        <v>C4H10-2</v>
      </c>
      <c r="AS13" t="str">
        <f>+'10% CO Elab'!V13</f>
        <v>C4-IP</v>
      </c>
      <c r="AT13">
        <f>+'10% CO Elab'!W13</f>
        <v>7.6987156206226167E-3</v>
      </c>
      <c r="AU13">
        <f>+'10% CO Elab'!X13</f>
        <v>3.0794862482490467E-2</v>
      </c>
      <c r="AW13">
        <f>+'10% CO Elab'!AB13</f>
        <v>4.5669883394406514E-5</v>
      </c>
      <c r="AX13" s="20">
        <v>4</v>
      </c>
      <c r="AY13" s="20" t="s">
        <v>309</v>
      </c>
      <c r="AZ13" s="20" t="s">
        <v>310</v>
      </c>
      <c r="BA13" s="20">
        <v>13</v>
      </c>
      <c r="BB13" s="20" t="s">
        <v>42</v>
      </c>
      <c r="BC13" s="20" t="s">
        <v>311</v>
      </c>
      <c r="BD13" s="20">
        <v>1</v>
      </c>
      <c r="BE13" s="20" t="s">
        <v>314</v>
      </c>
      <c r="BF13" s="20" t="s">
        <v>310</v>
      </c>
      <c r="BG13" s="20">
        <v>8</v>
      </c>
      <c r="BH13" s="20" t="s">
        <v>312</v>
      </c>
      <c r="BI13" s="1"/>
      <c r="BJ13">
        <f>+'10% CO Elab'!AA13</f>
        <v>2.9726313752807051E-4</v>
      </c>
      <c r="BK13" s="20">
        <f t="shared" si="15"/>
        <v>4</v>
      </c>
      <c r="BL13" s="20" t="s">
        <v>41</v>
      </c>
      <c r="BM13" s="20" t="str">
        <f t="shared" si="4"/>
        <v>+</v>
      </c>
      <c r="BN13" s="20">
        <f t="shared" si="16"/>
        <v>9</v>
      </c>
      <c r="BO13" s="20" t="str">
        <f t="shared" si="17"/>
        <v>H2</v>
      </c>
      <c r="BP13" s="20" t="str">
        <f t="shared" si="18"/>
        <v>=</v>
      </c>
      <c r="BQ13" s="20">
        <f t="shared" si="5"/>
        <v>1</v>
      </c>
      <c r="BR13" s="20" t="str">
        <f t="shared" si="6"/>
        <v>C4H10</v>
      </c>
      <c r="BS13" s="20" t="str">
        <f t="shared" si="7"/>
        <v>+</v>
      </c>
      <c r="BT13" s="20">
        <f t="shared" si="23"/>
        <v>4</v>
      </c>
      <c r="BU13" s="20" t="str">
        <f t="shared" si="19"/>
        <v>H2O</v>
      </c>
      <c r="BW13">
        <f t="shared" si="20"/>
        <v>3.6535906715525211E-4</v>
      </c>
      <c r="BX13">
        <f t="shared" si="21"/>
        <v>1.189052550112282E-3</v>
      </c>
    </row>
    <row r="14" spans="5:76" x14ac:dyDescent="0.2">
      <c r="E14">
        <f>+'5% CO Elab'!R14</f>
        <v>9</v>
      </c>
      <c r="F14">
        <f>+'5% CO Elab'!S14</f>
        <v>4</v>
      </c>
      <c r="G14" t="str">
        <f>+'5% CO Elab'!T14</f>
        <v>1-BUTENE</v>
      </c>
      <c r="H14" t="str">
        <f>+'5% CO Elab'!U14</f>
        <v>C4H8-1</v>
      </c>
      <c r="I14" t="str">
        <f>+'5% CO Elab'!V14</f>
        <v>C4-O</v>
      </c>
      <c r="J14">
        <f>+'5% CO Elab'!W14</f>
        <v>1.7628374464376446</v>
      </c>
      <c r="L14">
        <f>+'5% CO Elab'!AB14</f>
        <v>2.1071610651295765E-2</v>
      </c>
      <c r="M14" s="20">
        <v>4</v>
      </c>
      <c r="N14" s="20" t="s">
        <v>309</v>
      </c>
      <c r="O14" s="20" t="s">
        <v>310</v>
      </c>
      <c r="P14" s="20">
        <v>12</v>
      </c>
      <c r="Q14" s="20" t="s">
        <v>42</v>
      </c>
      <c r="R14" s="20" t="s">
        <v>311</v>
      </c>
      <c r="S14" s="20">
        <v>1</v>
      </c>
      <c r="T14" s="20" t="s">
        <v>315</v>
      </c>
      <c r="U14" s="20" t="s">
        <v>310</v>
      </c>
      <c r="V14" s="20">
        <v>8</v>
      </c>
      <c r="W14" s="20" t="s">
        <v>312</v>
      </c>
      <c r="X14" s="1"/>
      <c r="Y14">
        <f>+'5% CO Elab'!AA14</f>
        <v>6.7876635787046766E-2</v>
      </c>
      <c r="Z14" s="20">
        <f t="shared" si="8"/>
        <v>4</v>
      </c>
      <c r="AA14" s="20" t="s">
        <v>41</v>
      </c>
      <c r="AB14" s="20" t="str">
        <f t="shared" si="0"/>
        <v>+</v>
      </c>
      <c r="AC14" s="20">
        <f t="shared" si="9"/>
        <v>8</v>
      </c>
      <c r="AD14" s="20" t="str">
        <f t="shared" si="10"/>
        <v>H2</v>
      </c>
      <c r="AE14" s="20" t="str">
        <f t="shared" si="11"/>
        <v>=</v>
      </c>
      <c r="AF14" s="20">
        <f t="shared" si="1"/>
        <v>1</v>
      </c>
      <c r="AG14" s="20" t="str">
        <f t="shared" si="2"/>
        <v>C4H8</v>
      </c>
      <c r="AH14" s="20" t="str">
        <f t="shared" si="3"/>
        <v>+</v>
      </c>
      <c r="AI14" s="20">
        <f t="shared" si="22"/>
        <v>4</v>
      </c>
      <c r="AJ14" s="20" t="str">
        <f t="shared" si="12"/>
        <v>H2O</v>
      </c>
      <c r="AL14">
        <f t="shared" si="13"/>
        <v>0.16857288521036612</v>
      </c>
      <c r="AM14">
        <f t="shared" si="14"/>
        <v>0.27150654314818706</v>
      </c>
      <c r="AP14">
        <f>+'10% CO Elab'!S14</f>
        <v>4</v>
      </c>
      <c r="AQ14" t="str">
        <f>+'10% CO Elab'!T14</f>
        <v>1-BUTENE</v>
      </c>
      <c r="AR14" t="str">
        <f>+'10% CO Elab'!U14</f>
        <v>C4H8-1</v>
      </c>
      <c r="AS14" t="str">
        <f>+'10% CO Elab'!V14</f>
        <v>C4-O</v>
      </c>
      <c r="AT14">
        <f>+'10% CO Elab'!W14</f>
        <v>2.2092539944376051</v>
      </c>
      <c r="AU14">
        <f>+'10% CO Elab'!X14</f>
        <v>8.8370159777504202</v>
      </c>
      <c r="AW14">
        <f>+'10% CO Elab'!AB14</f>
        <v>1.3105611024820846E-2</v>
      </c>
      <c r="AX14" s="20">
        <v>4</v>
      </c>
      <c r="AY14" s="20" t="s">
        <v>309</v>
      </c>
      <c r="AZ14" s="20" t="s">
        <v>310</v>
      </c>
      <c r="BA14" s="20">
        <v>12</v>
      </c>
      <c r="BB14" s="20" t="s">
        <v>42</v>
      </c>
      <c r="BC14" s="20" t="s">
        <v>311</v>
      </c>
      <c r="BD14" s="20">
        <v>1</v>
      </c>
      <c r="BE14" s="20" t="s">
        <v>315</v>
      </c>
      <c r="BF14" s="20" t="s">
        <v>310</v>
      </c>
      <c r="BG14" s="20">
        <v>8</v>
      </c>
      <c r="BH14" s="20" t="s">
        <v>312</v>
      </c>
      <c r="BI14" s="1"/>
      <c r="BJ14">
        <f>+'10% CO Elab'!AA14</f>
        <v>8.5303809926912638E-2</v>
      </c>
      <c r="BK14" s="20">
        <f t="shared" si="15"/>
        <v>4</v>
      </c>
      <c r="BL14" s="20" t="s">
        <v>41</v>
      </c>
      <c r="BM14" s="20" t="str">
        <f t="shared" si="4"/>
        <v>+</v>
      </c>
      <c r="BN14" s="20">
        <f t="shared" si="16"/>
        <v>8</v>
      </c>
      <c r="BO14" s="20" t="str">
        <f t="shared" si="17"/>
        <v>H2</v>
      </c>
      <c r="BP14" s="20" t="str">
        <f t="shared" si="18"/>
        <v>=</v>
      </c>
      <c r="BQ14" s="20">
        <f t="shared" si="5"/>
        <v>1</v>
      </c>
      <c r="BR14" s="20" t="str">
        <f t="shared" si="6"/>
        <v>C4H8</v>
      </c>
      <c r="BS14" s="20" t="str">
        <f t="shared" si="7"/>
        <v>+</v>
      </c>
      <c r="BT14" s="20">
        <f t="shared" si="23"/>
        <v>4</v>
      </c>
      <c r="BU14" s="20" t="str">
        <f t="shared" si="19"/>
        <v>H2O</v>
      </c>
      <c r="BW14">
        <f t="shared" si="20"/>
        <v>0.10484488819856677</v>
      </c>
      <c r="BX14">
        <f t="shared" si="21"/>
        <v>0.34121523970765055</v>
      </c>
    </row>
    <row r="15" spans="5:76" x14ac:dyDescent="0.2">
      <c r="E15">
        <f>+'5% CO Elab'!R15</f>
        <v>10</v>
      </c>
      <c r="F15">
        <f>+'5% CO Elab'!S15</f>
        <v>5</v>
      </c>
      <c r="G15" t="str">
        <f>+'5% CO Elab'!T15</f>
        <v>N-PENTANE</v>
      </c>
      <c r="H15" t="str">
        <f>+'5% CO Elab'!U15</f>
        <v>C5H12-1</v>
      </c>
      <c r="I15" t="str">
        <f>+'5% CO Elab'!V15</f>
        <v>C5</v>
      </c>
      <c r="J15">
        <f>+'5% CO Elab'!W15</f>
        <v>0.15138392685270663</v>
      </c>
      <c r="L15">
        <f>+'5% CO Elab'!AB15</f>
        <v>2.261909607682952E-3</v>
      </c>
      <c r="M15" s="20">
        <v>5</v>
      </c>
      <c r="N15" s="20" t="s">
        <v>309</v>
      </c>
      <c r="O15" s="20" t="s">
        <v>310</v>
      </c>
      <c r="P15" s="20">
        <v>16</v>
      </c>
      <c r="Q15" s="20" t="s">
        <v>42</v>
      </c>
      <c r="R15" s="20" t="s">
        <v>311</v>
      </c>
      <c r="S15" s="20">
        <v>1</v>
      </c>
      <c r="T15" s="20" t="s">
        <v>316</v>
      </c>
      <c r="U15" s="20" t="s">
        <v>310</v>
      </c>
      <c r="V15" s="20">
        <v>10</v>
      </c>
      <c r="W15" s="20" t="s">
        <v>312</v>
      </c>
      <c r="X15" s="1"/>
      <c r="Y15">
        <f>+'5% CO Elab'!AA15</f>
        <v>7.2861451914913999E-3</v>
      </c>
      <c r="Z15" s="20">
        <f t="shared" si="8"/>
        <v>5</v>
      </c>
      <c r="AA15" s="20" t="s">
        <v>41</v>
      </c>
      <c r="AB15" s="20" t="str">
        <f t="shared" si="0"/>
        <v>+</v>
      </c>
      <c r="AC15" s="20">
        <f t="shared" si="9"/>
        <v>11</v>
      </c>
      <c r="AD15" s="20" t="str">
        <f t="shared" si="10"/>
        <v>H2</v>
      </c>
      <c r="AE15" s="20" t="str">
        <f t="shared" si="11"/>
        <v>=</v>
      </c>
      <c r="AF15" s="20">
        <f t="shared" si="1"/>
        <v>1</v>
      </c>
      <c r="AG15" s="20" t="str">
        <f t="shared" si="2"/>
        <v>C5H12</v>
      </c>
      <c r="AH15" s="20" t="str">
        <f t="shared" si="3"/>
        <v>+</v>
      </c>
      <c r="AI15" s="20">
        <f t="shared" si="22"/>
        <v>5</v>
      </c>
      <c r="AJ15" s="20" t="str">
        <f t="shared" si="12"/>
        <v>H2O</v>
      </c>
      <c r="AL15">
        <f t="shared" si="13"/>
        <v>2.261909607682952E-2</v>
      </c>
      <c r="AM15">
        <f t="shared" si="14"/>
        <v>3.6430725957457E-2</v>
      </c>
      <c r="AP15">
        <f>+'10% CO Elab'!S15</f>
        <v>5</v>
      </c>
      <c r="AQ15" t="str">
        <f>+'10% CO Elab'!T15</f>
        <v>N-PENTANE</v>
      </c>
      <c r="AR15" t="str">
        <f>+'10% CO Elab'!U15</f>
        <v>C5H12-1</v>
      </c>
      <c r="AS15" t="str">
        <f>+'10% CO Elab'!V15</f>
        <v>C5</v>
      </c>
      <c r="AT15">
        <f>+'10% CO Elab'!W15</f>
        <v>2.6257785936464689E-2</v>
      </c>
      <c r="AU15">
        <f>+'10% CO Elab'!X15</f>
        <v>0.13128892968232345</v>
      </c>
      <c r="AW15">
        <f>+'10% CO Elab'!AB15</f>
        <v>1.947061823373091E-4</v>
      </c>
      <c r="AX15" s="20">
        <v>5</v>
      </c>
      <c r="AY15" s="20" t="s">
        <v>309</v>
      </c>
      <c r="AZ15" s="20" t="s">
        <v>310</v>
      </c>
      <c r="BA15" s="20">
        <v>16</v>
      </c>
      <c r="BB15" s="20" t="s">
        <v>42</v>
      </c>
      <c r="BC15" s="20" t="s">
        <v>311</v>
      </c>
      <c r="BD15" s="20">
        <v>1</v>
      </c>
      <c r="BE15" s="20" t="s">
        <v>316</v>
      </c>
      <c r="BF15" s="20" t="s">
        <v>310</v>
      </c>
      <c r="BG15" s="20">
        <v>10</v>
      </c>
      <c r="BH15" s="20" t="s">
        <v>312</v>
      </c>
      <c r="BI15" s="1"/>
      <c r="BJ15">
        <f>+'10% CO Elab'!AA15</f>
        <v>1.2673334450595489E-3</v>
      </c>
      <c r="BK15" s="20">
        <f t="shared" si="15"/>
        <v>5</v>
      </c>
      <c r="BL15" s="20" t="s">
        <v>41</v>
      </c>
      <c r="BM15" s="20" t="str">
        <f t="shared" si="4"/>
        <v>+</v>
      </c>
      <c r="BN15" s="20">
        <f t="shared" si="16"/>
        <v>11</v>
      </c>
      <c r="BO15" s="20" t="str">
        <f t="shared" si="17"/>
        <v>H2</v>
      </c>
      <c r="BP15" s="20" t="str">
        <f t="shared" si="18"/>
        <v>=</v>
      </c>
      <c r="BQ15" s="20">
        <f t="shared" si="5"/>
        <v>1</v>
      </c>
      <c r="BR15" s="20" t="str">
        <f t="shared" si="6"/>
        <v>C5H12</v>
      </c>
      <c r="BS15" s="20" t="str">
        <f t="shared" si="7"/>
        <v>+</v>
      </c>
      <c r="BT15" s="20">
        <f t="shared" si="23"/>
        <v>5</v>
      </c>
      <c r="BU15" s="20" t="str">
        <f t="shared" si="19"/>
        <v>H2O</v>
      </c>
      <c r="BW15">
        <f t="shared" si="20"/>
        <v>1.947061823373091E-3</v>
      </c>
      <c r="BX15">
        <f t="shared" si="21"/>
        <v>6.3366672252977447E-3</v>
      </c>
    </row>
    <row r="16" spans="5:76" x14ac:dyDescent="0.2">
      <c r="E16">
        <f>+'5% CO Elab'!R16</f>
        <v>11</v>
      </c>
      <c r="F16">
        <f>+'5% CO Elab'!S16</f>
        <v>5</v>
      </c>
      <c r="G16" t="str">
        <f>+'5% CO Elab'!T16</f>
        <v>2-METHYL-1-BUTANE</v>
      </c>
      <c r="H16" t="str">
        <f>+'5% CO Elab'!U16</f>
        <v>C5H12-5</v>
      </c>
      <c r="I16" t="str">
        <f>+'5% CO Elab'!V16</f>
        <v>C5-IP</v>
      </c>
      <c r="J16">
        <f>+'5% CO Elab'!W16</f>
        <v>2.012898643733339E-2</v>
      </c>
      <c r="L16">
        <f>+'5% CO Elab'!AB16</f>
        <v>3.0075813702351578E-4</v>
      </c>
      <c r="M16" s="20">
        <v>5</v>
      </c>
      <c r="N16" s="20" t="s">
        <v>309</v>
      </c>
      <c r="O16" s="20" t="s">
        <v>310</v>
      </c>
      <c r="P16" s="20">
        <v>16</v>
      </c>
      <c r="Q16" s="20" t="s">
        <v>42</v>
      </c>
      <c r="R16" s="20" t="s">
        <v>311</v>
      </c>
      <c r="S16" s="20">
        <v>1</v>
      </c>
      <c r="T16" s="20" t="s">
        <v>316</v>
      </c>
      <c r="U16" s="20" t="s">
        <v>310</v>
      </c>
      <c r="V16" s="20">
        <v>10</v>
      </c>
      <c r="W16" s="20" t="s">
        <v>312</v>
      </c>
      <c r="X16" s="1"/>
      <c r="Y16">
        <f>+'5% CO Elab'!AA16</f>
        <v>9.6881300934062854E-4</v>
      </c>
      <c r="Z16" s="20">
        <f t="shared" si="8"/>
        <v>5</v>
      </c>
      <c r="AA16" s="20" t="s">
        <v>41</v>
      </c>
      <c r="AB16" s="20" t="str">
        <f t="shared" si="0"/>
        <v>+</v>
      </c>
      <c r="AC16" s="20">
        <f t="shared" si="9"/>
        <v>11</v>
      </c>
      <c r="AD16" s="20" t="str">
        <f t="shared" si="10"/>
        <v>H2</v>
      </c>
      <c r="AE16" s="20" t="str">
        <f t="shared" si="11"/>
        <v>=</v>
      </c>
      <c r="AF16" s="20">
        <f t="shared" si="1"/>
        <v>1</v>
      </c>
      <c r="AG16" s="20" t="str">
        <f t="shared" si="2"/>
        <v>C5H12</v>
      </c>
      <c r="AH16" s="20" t="str">
        <f t="shared" si="3"/>
        <v>+</v>
      </c>
      <c r="AI16" s="20">
        <f t="shared" si="22"/>
        <v>5</v>
      </c>
      <c r="AJ16" s="20" t="str">
        <f t="shared" si="12"/>
        <v>H2O</v>
      </c>
      <c r="AL16">
        <f t="shared" si="13"/>
        <v>3.0075813702351577E-3</v>
      </c>
      <c r="AM16">
        <f t="shared" si="14"/>
        <v>4.8440650467031429E-3</v>
      </c>
      <c r="AP16">
        <f>+'10% CO Elab'!S16</f>
        <v>5</v>
      </c>
      <c r="AQ16" t="str">
        <f>+'10% CO Elab'!T16</f>
        <v>2-METHYL-1-BUTANE</v>
      </c>
      <c r="AR16" t="str">
        <f>+'10% CO Elab'!U16</f>
        <v>C5H12-5</v>
      </c>
      <c r="AS16" t="str">
        <f>+'10% CO Elab'!V16</f>
        <v>C5-IP</v>
      </c>
      <c r="AT16">
        <f>+'10% CO Elab'!W16</f>
        <v>8.7843466307430312E-2</v>
      </c>
      <c r="AU16">
        <f>+'10% CO Elab'!X16</f>
        <v>0.43921733153715159</v>
      </c>
      <c r="AW16">
        <f>+'10% CO Elab'!AB16</f>
        <v>6.5137502489284933E-4</v>
      </c>
      <c r="AX16" s="20">
        <v>5</v>
      </c>
      <c r="AY16" s="20" t="s">
        <v>309</v>
      </c>
      <c r="AZ16" s="20" t="s">
        <v>310</v>
      </c>
      <c r="BA16" s="20">
        <v>16</v>
      </c>
      <c r="BB16" s="20" t="s">
        <v>42</v>
      </c>
      <c r="BC16" s="20" t="s">
        <v>311</v>
      </c>
      <c r="BD16" s="20">
        <v>1</v>
      </c>
      <c r="BE16" s="20" t="s">
        <v>316</v>
      </c>
      <c r="BF16" s="20" t="s">
        <v>310</v>
      </c>
      <c r="BG16" s="20">
        <v>10</v>
      </c>
      <c r="BH16" s="20" t="s">
        <v>312</v>
      </c>
      <c r="BI16" s="1"/>
      <c r="BJ16">
        <f>+'10% CO Elab'!AA16</f>
        <v>4.239769607793405E-3</v>
      </c>
      <c r="BK16" s="20">
        <f t="shared" si="15"/>
        <v>5</v>
      </c>
      <c r="BL16" s="20" t="s">
        <v>41</v>
      </c>
      <c r="BM16" s="20" t="str">
        <f t="shared" si="4"/>
        <v>+</v>
      </c>
      <c r="BN16" s="20">
        <f t="shared" si="16"/>
        <v>11</v>
      </c>
      <c r="BO16" s="20" t="str">
        <f t="shared" si="17"/>
        <v>H2</v>
      </c>
      <c r="BP16" s="20" t="str">
        <f t="shared" si="18"/>
        <v>=</v>
      </c>
      <c r="BQ16" s="20">
        <f t="shared" si="5"/>
        <v>1</v>
      </c>
      <c r="BR16" s="20" t="str">
        <f t="shared" si="6"/>
        <v>C5H12</v>
      </c>
      <c r="BS16" s="20" t="str">
        <f t="shared" si="7"/>
        <v>+</v>
      </c>
      <c r="BT16" s="20">
        <f t="shared" si="23"/>
        <v>5</v>
      </c>
      <c r="BU16" s="20" t="str">
        <f t="shared" si="19"/>
        <v>H2O</v>
      </c>
      <c r="BW16">
        <f t="shared" si="20"/>
        <v>6.5137502489284928E-3</v>
      </c>
      <c r="BX16">
        <f t="shared" si="21"/>
        <v>2.1198848038967023E-2</v>
      </c>
    </row>
    <row r="17" spans="5:76" x14ac:dyDescent="0.2">
      <c r="E17">
        <f>+'5% CO Elab'!R17</f>
        <v>12</v>
      </c>
      <c r="F17">
        <f>+'5% CO Elab'!S17</f>
        <v>5</v>
      </c>
      <c r="G17" t="str">
        <f>+'5% CO Elab'!T17</f>
        <v>1-PENTENE</v>
      </c>
      <c r="H17" t="str">
        <f>+'5% CO Elab'!U17</f>
        <v>C5H10-2</v>
      </c>
      <c r="I17" t="str">
        <f>+'5% CO Elab'!V17</f>
        <v>C5-O</v>
      </c>
      <c r="J17">
        <f>+'5% CO Elab'!W17</f>
        <v>1.3749473586741283</v>
      </c>
      <c r="L17">
        <f>+'5% CO Elab'!AB17</f>
        <v>2.0543836491104365E-2</v>
      </c>
      <c r="M17" s="20">
        <v>5</v>
      </c>
      <c r="N17" s="20" t="s">
        <v>309</v>
      </c>
      <c r="O17" s="20" t="s">
        <v>310</v>
      </c>
      <c r="P17" s="20">
        <v>15</v>
      </c>
      <c r="Q17" s="20" t="s">
        <v>42</v>
      </c>
      <c r="R17" s="20" t="s">
        <v>311</v>
      </c>
      <c r="S17" s="20">
        <v>1</v>
      </c>
      <c r="T17" s="20" t="s">
        <v>317</v>
      </c>
      <c r="U17" s="20" t="s">
        <v>310</v>
      </c>
      <c r="V17" s="20">
        <v>10</v>
      </c>
      <c r="W17" s="20" t="s">
        <v>312</v>
      </c>
      <c r="X17" s="1"/>
      <c r="Y17">
        <f>+'5% CO Elab'!AA17</f>
        <v>6.6176550537658266E-2</v>
      </c>
      <c r="Z17" s="20">
        <f t="shared" si="8"/>
        <v>5</v>
      </c>
      <c r="AA17" s="20" t="s">
        <v>41</v>
      </c>
      <c r="AB17" s="20" t="str">
        <f t="shared" si="0"/>
        <v>+</v>
      </c>
      <c r="AC17" s="20">
        <f t="shared" si="9"/>
        <v>10</v>
      </c>
      <c r="AD17" s="20" t="str">
        <f t="shared" si="10"/>
        <v>H2</v>
      </c>
      <c r="AE17" s="20" t="str">
        <f t="shared" si="11"/>
        <v>=</v>
      </c>
      <c r="AF17" s="20">
        <f t="shared" si="1"/>
        <v>1</v>
      </c>
      <c r="AG17" s="20" t="str">
        <f t="shared" si="2"/>
        <v>C5H10</v>
      </c>
      <c r="AH17" s="20" t="str">
        <f t="shared" si="3"/>
        <v>+</v>
      </c>
      <c r="AI17" s="20">
        <f t="shared" si="22"/>
        <v>5</v>
      </c>
      <c r="AJ17" s="20" t="str">
        <f t="shared" si="12"/>
        <v>H2O</v>
      </c>
      <c r="AL17">
        <f t="shared" si="13"/>
        <v>0.20543836491104364</v>
      </c>
      <c r="AM17">
        <f t="shared" si="14"/>
        <v>0.33088275268829132</v>
      </c>
      <c r="AP17">
        <f>+'10% CO Elab'!S17</f>
        <v>5</v>
      </c>
      <c r="AQ17" t="str">
        <f>+'10% CO Elab'!T17</f>
        <v>1-PENTENE</v>
      </c>
      <c r="AR17" t="str">
        <f>+'10% CO Elab'!U17</f>
        <v>C5H10-2</v>
      </c>
      <c r="AS17" t="str">
        <f>+'10% CO Elab'!V17</f>
        <v>C5-O</v>
      </c>
      <c r="AT17">
        <f>+'10% CO Elab'!W17</f>
        <v>1.4620285249164708</v>
      </c>
      <c r="AU17">
        <f>+'10% CO Elab'!X17</f>
        <v>7.3101426245823546</v>
      </c>
      <c r="AW17">
        <f>+'10% CO Elab'!AB17</f>
        <v>1.0841203186115259E-2</v>
      </c>
      <c r="AX17" s="20">
        <v>5</v>
      </c>
      <c r="AY17" s="20" t="s">
        <v>309</v>
      </c>
      <c r="AZ17" s="20" t="s">
        <v>310</v>
      </c>
      <c r="BA17" s="20">
        <v>15</v>
      </c>
      <c r="BB17" s="20" t="s">
        <v>42</v>
      </c>
      <c r="BC17" s="20" t="s">
        <v>311</v>
      </c>
      <c r="BD17" s="20">
        <v>1</v>
      </c>
      <c r="BE17" s="20" t="s">
        <v>317</v>
      </c>
      <c r="BF17" s="20" t="s">
        <v>310</v>
      </c>
      <c r="BG17" s="20">
        <v>10</v>
      </c>
      <c r="BH17" s="20" t="s">
        <v>312</v>
      </c>
      <c r="BI17" s="1"/>
      <c r="BJ17">
        <f>+'10% CO Elab'!AA17</f>
        <v>7.056488508745877E-2</v>
      </c>
      <c r="BK17" s="20">
        <f t="shared" si="15"/>
        <v>5</v>
      </c>
      <c r="BL17" s="20" t="s">
        <v>41</v>
      </c>
      <c r="BM17" s="20" t="str">
        <f t="shared" si="4"/>
        <v>+</v>
      </c>
      <c r="BN17" s="20">
        <f t="shared" si="16"/>
        <v>10</v>
      </c>
      <c r="BO17" s="20" t="str">
        <f t="shared" si="17"/>
        <v>H2</v>
      </c>
      <c r="BP17" s="20" t="str">
        <f t="shared" si="18"/>
        <v>=</v>
      </c>
      <c r="BQ17" s="20">
        <f t="shared" si="5"/>
        <v>1</v>
      </c>
      <c r="BR17" s="20" t="str">
        <f t="shared" si="6"/>
        <v>C5H10</v>
      </c>
      <c r="BS17" s="20" t="str">
        <f t="shared" si="7"/>
        <v>+</v>
      </c>
      <c r="BT17" s="20">
        <f t="shared" si="23"/>
        <v>5</v>
      </c>
      <c r="BU17" s="20" t="str">
        <f t="shared" si="19"/>
        <v>H2O</v>
      </c>
      <c r="BW17">
        <f t="shared" si="20"/>
        <v>0.10841203186115259</v>
      </c>
      <c r="BX17">
        <f t="shared" si="21"/>
        <v>0.35282442543729386</v>
      </c>
    </row>
    <row r="18" spans="5:76" x14ac:dyDescent="0.2">
      <c r="E18">
        <f>+'5% CO Elab'!R18</f>
        <v>13</v>
      </c>
      <c r="F18">
        <f>+'5% CO Elab'!S18</f>
        <v>5</v>
      </c>
      <c r="G18" t="str">
        <f>+'5% CO Elab'!T18</f>
        <v>CYCLOPENTANE</v>
      </c>
      <c r="H18">
        <f>+'5% CO Elab'!U18</f>
        <v>0</v>
      </c>
      <c r="I18" t="str">
        <f>+'5% CO Elab'!V18</f>
        <v>C5-N</v>
      </c>
      <c r="J18">
        <f>+'5% CO Elab'!W18</f>
        <v>8.41926789492611E-3</v>
      </c>
      <c r="L18">
        <f>+'5% CO Elab'!AB18</f>
        <v>1.2579686190674019E-4</v>
      </c>
      <c r="M18" s="20">
        <v>5</v>
      </c>
      <c r="N18" s="20" t="s">
        <v>309</v>
      </c>
      <c r="O18" s="20" t="s">
        <v>310</v>
      </c>
      <c r="P18" s="20">
        <v>15</v>
      </c>
      <c r="Q18" s="20" t="s">
        <v>42</v>
      </c>
      <c r="R18" s="20" t="s">
        <v>311</v>
      </c>
      <c r="S18" s="20">
        <v>1</v>
      </c>
      <c r="T18" s="20" t="s">
        <v>317</v>
      </c>
      <c r="U18" s="20" t="s">
        <v>310</v>
      </c>
      <c r="V18" s="20">
        <v>10</v>
      </c>
      <c r="W18" s="20" t="s">
        <v>312</v>
      </c>
      <c r="X18" s="1"/>
      <c r="Y18">
        <f>+'5% CO Elab'!AA18</f>
        <v>4.0522140998614881E-4</v>
      </c>
      <c r="Z18" s="20">
        <f t="shared" si="8"/>
        <v>5</v>
      </c>
      <c r="AA18" s="20" t="s">
        <v>41</v>
      </c>
      <c r="AB18" s="20" t="str">
        <f t="shared" si="0"/>
        <v>+</v>
      </c>
      <c r="AC18" s="20">
        <f t="shared" si="9"/>
        <v>10</v>
      </c>
      <c r="AD18" s="20" t="str">
        <f t="shared" si="10"/>
        <v>H2</v>
      </c>
      <c r="AE18" s="20" t="str">
        <f t="shared" si="11"/>
        <v>=</v>
      </c>
      <c r="AF18" s="20">
        <f t="shared" si="1"/>
        <v>1</v>
      </c>
      <c r="AG18" s="20" t="str">
        <f t="shared" si="2"/>
        <v>C5H10</v>
      </c>
      <c r="AH18" s="20" t="str">
        <f t="shared" si="3"/>
        <v>+</v>
      </c>
      <c r="AI18" s="20">
        <f t="shared" si="22"/>
        <v>5</v>
      </c>
      <c r="AJ18" s="20" t="str">
        <f t="shared" si="12"/>
        <v>H2O</v>
      </c>
      <c r="AL18">
        <f t="shared" si="13"/>
        <v>1.2579686190674019E-3</v>
      </c>
      <c r="AM18">
        <f t="shared" si="14"/>
        <v>2.0261070499307441E-3</v>
      </c>
      <c r="AP18">
        <f>+'10% CO Elab'!S18</f>
        <v>5</v>
      </c>
      <c r="AQ18" t="str">
        <f>+'10% CO Elab'!T18</f>
        <v>CYCLOPENTANE</v>
      </c>
      <c r="AR18">
        <f>+'10% CO Elab'!U18</f>
        <v>0</v>
      </c>
      <c r="AS18" t="str">
        <f>+'10% CO Elab'!V18</f>
        <v>C5-N</v>
      </c>
      <c r="AT18">
        <f>+'10% CO Elab'!W18</f>
        <v>9.2919825558525175E-3</v>
      </c>
      <c r="AU18">
        <f>+'10% CO Elab'!X18</f>
        <v>4.6459912779262591E-2</v>
      </c>
      <c r="AW18">
        <f>+'10% CO Elab'!AB18</f>
        <v>6.8901713730647646E-5</v>
      </c>
      <c r="AX18" s="20">
        <v>5</v>
      </c>
      <c r="AY18" s="20" t="s">
        <v>309</v>
      </c>
      <c r="AZ18" s="20" t="s">
        <v>310</v>
      </c>
      <c r="BA18" s="20">
        <v>15</v>
      </c>
      <c r="BB18" s="20" t="s">
        <v>42</v>
      </c>
      <c r="BC18" s="20" t="s">
        <v>311</v>
      </c>
      <c r="BD18" s="20">
        <v>1</v>
      </c>
      <c r="BE18" s="20" t="s">
        <v>317</v>
      </c>
      <c r="BF18" s="20" t="s">
        <v>310</v>
      </c>
      <c r="BG18" s="20">
        <v>10</v>
      </c>
      <c r="BH18" s="20" t="s">
        <v>312</v>
      </c>
      <c r="BI18" s="1"/>
      <c r="BJ18">
        <f>+'10% CO Elab'!AA18</f>
        <v>4.4847803590279835E-4</v>
      </c>
      <c r="BK18" s="20">
        <f t="shared" si="15"/>
        <v>5</v>
      </c>
      <c r="BL18" s="20" t="s">
        <v>41</v>
      </c>
      <c r="BM18" s="20" t="str">
        <f t="shared" si="4"/>
        <v>+</v>
      </c>
      <c r="BN18" s="20">
        <f t="shared" si="16"/>
        <v>10</v>
      </c>
      <c r="BO18" s="20" t="str">
        <f t="shared" si="17"/>
        <v>H2</v>
      </c>
      <c r="BP18" s="20" t="str">
        <f t="shared" si="18"/>
        <v>=</v>
      </c>
      <c r="BQ18" s="20">
        <f t="shared" si="5"/>
        <v>1</v>
      </c>
      <c r="BR18" s="20" t="str">
        <f t="shared" si="6"/>
        <v>C5H10</v>
      </c>
      <c r="BS18" s="20" t="str">
        <f t="shared" si="7"/>
        <v>+</v>
      </c>
      <c r="BT18" s="20">
        <f t="shared" si="23"/>
        <v>5</v>
      </c>
      <c r="BU18" s="20" t="str">
        <f t="shared" si="19"/>
        <v>H2O</v>
      </c>
      <c r="BW18">
        <f t="shared" si="20"/>
        <v>6.890171373064764E-4</v>
      </c>
      <c r="BX18">
        <f t="shared" si="21"/>
        <v>2.2423901795139917E-3</v>
      </c>
    </row>
    <row r="19" spans="5:76" x14ac:dyDescent="0.2">
      <c r="E19">
        <f>+'5% CO Elab'!R19</f>
        <v>14</v>
      </c>
      <c r="F19">
        <f>+'5% CO Elab'!S19</f>
        <v>6</v>
      </c>
      <c r="G19" t="str">
        <f>+'5% CO Elab'!T19</f>
        <v>2,2-DIMETHYL-BUTANE</v>
      </c>
      <c r="H19" t="str">
        <f>+'5% CO Elab'!U19</f>
        <v>C6H14-4</v>
      </c>
      <c r="I19" t="str">
        <f>+'5% CO Elab'!V19</f>
        <v>C6-IP</v>
      </c>
      <c r="J19">
        <f>+'5% CO Elab'!W19</f>
        <v>0.41390825335664844</v>
      </c>
      <c r="L19">
        <f>+'5% CO Elab'!AB19</f>
        <v>7.4213140675966037E-3</v>
      </c>
      <c r="M19" s="20">
        <v>6</v>
      </c>
      <c r="N19" s="20" t="s">
        <v>309</v>
      </c>
      <c r="O19" s="20" t="s">
        <v>310</v>
      </c>
      <c r="P19" s="20">
        <v>19</v>
      </c>
      <c r="Q19" s="20" t="s">
        <v>42</v>
      </c>
      <c r="R19" s="20" t="s">
        <v>311</v>
      </c>
      <c r="S19" s="20">
        <v>1</v>
      </c>
      <c r="T19" s="20" t="s">
        <v>318</v>
      </c>
      <c r="U19" s="20" t="s">
        <v>310</v>
      </c>
      <c r="V19" s="20">
        <v>12</v>
      </c>
      <c r="W19" s="20" t="s">
        <v>312</v>
      </c>
      <c r="X19" s="1"/>
      <c r="Y19">
        <f>+'5% CO Elab'!AA19</f>
        <v>2.3905805795465619E-2</v>
      </c>
      <c r="Z19" s="20">
        <f t="shared" si="8"/>
        <v>6</v>
      </c>
      <c r="AA19" s="20" t="s">
        <v>41</v>
      </c>
      <c r="AB19" s="20" t="str">
        <f t="shared" si="0"/>
        <v>+</v>
      </c>
      <c r="AC19" s="20">
        <f t="shared" si="9"/>
        <v>13</v>
      </c>
      <c r="AD19" s="20" t="str">
        <f t="shared" si="10"/>
        <v>H2</v>
      </c>
      <c r="AE19" s="20" t="str">
        <f t="shared" si="11"/>
        <v>=</v>
      </c>
      <c r="AF19" s="20">
        <f t="shared" si="1"/>
        <v>1</v>
      </c>
      <c r="AG19" s="20" t="str">
        <f t="shared" si="2"/>
        <v>C6H14</v>
      </c>
      <c r="AH19" s="20" t="str">
        <f t="shared" si="3"/>
        <v>+</v>
      </c>
      <c r="AI19" s="20">
        <f t="shared" si="22"/>
        <v>6</v>
      </c>
      <c r="AJ19" s="20" t="str">
        <f t="shared" si="12"/>
        <v>H2O</v>
      </c>
      <c r="AL19">
        <f t="shared" si="13"/>
        <v>8.9055768811159244E-2</v>
      </c>
      <c r="AM19">
        <f t="shared" si="14"/>
        <v>0.14343483477279373</v>
      </c>
      <c r="AP19">
        <f>+'10% CO Elab'!S19</f>
        <v>6</v>
      </c>
      <c r="AQ19" t="str">
        <f>+'10% CO Elab'!T19</f>
        <v>2,2-DIMETHYL-BUTANE</v>
      </c>
      <c r="AR19" t="str">
        <f>+'10% CO Elab'!U19</f>
        <v>C6H14-4</v>
      </c>
      <c r="AS19" t="str">
        <f>+'10% CO Elab'!V19</f>
        <v>C6-IP</v>
      </c>
      <c r="AT19">
        <f>+'10% CO Elab'!W19</f>
        <v>0.34416377186333286</v>
      </c>
      <c r="AU19">
        <f>+'10% CO Elab'!X19</f>
        <v>2.0649826311799973</v>
      </c>
      <c r="AW19">
        <f>+'10% CO Elab'!AB19</f>
        <v>3.062443160156574E-3</v>
      </c>
      <c r="AX19" s="20">
        <v>6</v>
      </c>
      <c r="AY19" s="20" t="s">
        <v>309</v>
      </c>
      <c r="AZ19" s="20" t="s">
        <v>310</v>
      </c>
      <c r="BA19" s="20">
        <v>19</v>
      </c>
      <c r="BB19" s="20" t="s">
        <v>42</v>
      </c>
      <c r="BC19" s="20" t="s">
        <v>311</v>
      </c>
      <c r="BD19" s="20">
        <v>1</v>
      </c>
      <c r="BE19" s="20" t="s">
        <v>318</v>
      </c>
      <c r="BF19" s="20" t="s">
        <v>310</v>
      </c>
      <c r="BG19" s="20">
        <v>12</v>
      </c>
      <c r="BH19" s="20" t="s">
        <v>312</v>
      </c>
      <c r="BI19" s="1"/>
      <c r="BJ19">
        <f>+'10% CO Elab'!AA19</f>
        <v>1.9933299466252181E-2</v>
      </c>
      <c r="BK19" s="20">
        <f t="shared" si="15"/>
        <v>6</v>
      </c>
      <c r="BL19" s="20" t="s">
        <v>41</v>
      </c>
      <c r="BM19" s="20" t="str">
        <f t="shared" si="4"/>
        <v>+</v>
      </c>
      <c r="BN19" s="20">
        <f t="shared" si="16"/>
        <v>13</v>
      </c>
      <c r="BO19" s="20" t="str">
        <f t="shared" si="17"/>
        <v>H2</v>
      </c>
      <c r="BP19" s="20" t="str">
        <f t="shared" si="18"/>
        <v>=</v>
      </c>
      <c r="BQ19" s="20">
        <f t="shared" si="5"/>
        <v>1</v>
      </c>
      <c r="BR19" s="20" t="str">
        <f t="shared" si="6"/>
        <v>C6H14</v>
      </c>
      <c r="BS19" s="20" t="str">
        <f t="shared" si="7"/>
        <v>+</v>
      </c>
      <c r="BT19" s="20">
        <f t="shared" si="23"/>
        <v>6</v>
      </c>
      <c r="BU19" s="20" t="str">
        <f t="shared" si="19"/>
        <v>H2O</v>
      </c>
      <c r="BW19">
        <f t="shared" si="20"/>
        <v>3.6749317921878889E-2</v>
      </c>
      <c r="BX19">
        <f t="shared" si="21"/>
        <v>0.11959979679751309</v>
      </c>
    </row>
    <row r="20" spans="5:76" x14ac:dyDescent="0.2">
      <c r="E20">
        <f>+'5% CO Elab'!R20</f>
        <v>15</v>
      </c>
      <c r="F20">
        <f>+'5% CO Elab'!S20</f>
        <v>6</v>
      </c>
      <c r="G20" t="str">
        <f>+'5% CO Elab'!T20</f>
        <v>N-HEXANE</v>
      </c>
      <c r="H20" t="str">
        <f>+'5% CO Elab'!U20</f>
        <v>C6H14-1</v>
      </c>
      <c r="I20" t="str">
        <f>+'5% CO Elab'!V20</f>
        <v>C6</v>
      </c>
      <c r="J20">
        <f>+'5% CO Elab'!W20</f>
        <v>5.0046800678118075E-3</v>
      </c>
      <c r="L20">
        <f>+'5% CO Elab'!AB20</f>
        <v>8.9733177074555461E-5</v>
      </c>
      <c r="M20" s="20">
        <v>6</v>
      </c>
      <c r="N20" s="20" t="s">
        <v>309</v>
      </c>
      <c r="O20" s="20" t="s">
        <v>310</v>
      </c>
      <c r="P20" s="20">
        <v>19</v>
      </c>
      <c r="Q20" s="20" t="s">
        <v>42</v>
      </c>
      <c r="R20" s="20" t="s">
        <v>311</v>
      </c>
      <c r="S20" s="20">
        <v>1</v>
      </c>
      <c r="T20" s="20" t="s">
        <v>318</v>
      </c>
      <c r="U20" s="20" t="s">
        <v>310</v>
      </c>
      <c r="V20" s="20">
        <v>12</v>
      </c>
      <c r="W20" s="20" t="s">
        <v>312</v>
      </c>
      <c r="X20" s="1"/>
      <c r="Y20">
        <f>+'5% CO Elab'!AA20</f>
        <v>2.8905176159040469E-4</v>
      </c>
      <c r="Z20" s="20">
        <f t="shared" si="8"/>
        <v>6</v>
      </c>
      <c r="AA20" s="20" t="s">
        <v>41</v>
      </c>
      <c r="AB20" s="20" t="str">
        <f t="shared" si="0"/>
        <v>+</v>
      </c>
      <c r="AC20" s="20">
        <f t="shared" si="9"/>
        <v>13</v>
      </c>
      <c r="AD20" s="20" t="str">
        <f t="shared" si="10"/>
        <v>H2</v>
      </c>
      <c r="AE20" s="20" t="str">
        <f t="shared" si="11"/>
        <v>=</v>
      </c>
      <c r="AF20" s="20">
        <f t="shared" si="1"/>
        <v>1</v>
      </c>
      <c r="AG20" s="20" t="str">
        <f t="shared" si="2"/>
        <v>C6H14</v>
      </c>
      <c r="AH20" s="20" t="str">
        <f t="shared" si="3"/>
        <v>+</v>
      </c>
      <c r="AI20" s="20">
        <f t="shared" si="22"/>
        <v>6</v>
      </c>
      <c r="AJ20" s="20" t="str">
        <f t="shared" si="12"/>
        <v>H2O</v>
      </c>
      <c r="AL20">
        <f t="shared" si="13"/>
        <v>1.0767981248946655E-3</v>
      </c>
      <c r="AM20">
        <f t="shared" si="14"/>
        <v>1.7343105695424282E-3</v>
      </c>
      <c r="AP20">
        <f>+'10% CO Elab'!S20</f>
        <v>6</v>
      </c>
      <c r="AQ20" t="str">
        <f>+'10% CO Elab'!T20</f>
        <v>N-HEXANE</v>
      </c>
      <c r="AR20" t="str">
        <f>+'10% CO Elab'!U20</f>
        <v>C6H14-1</v>
      </c>
      <c r="AS20" t="str">
        <f>+'10% CO Elab'!V20</f>
        <v>C6</v>
      </c>
      <c r="AT20">
        <f>+'10% CO Elab'!W20</f>
        <v>4.9116407679064113E-3</v>
      </c>
      <c r="AU20">
        <f>+'10% CO Elab'!X20</f>
        <v>2.946984460743847E-2</v>
      </c>
      <c r="AW20">
        <f>+'10% CO Elab'!AB20</f>
        <v>4.3704834455365592E-5</v>
      </c>
      <c r="AX20" s="20">
        <v>6</v>
      </c>
      <c r="AY20" s="20" t="s">
        <v>309</v>
      </c>
      <c r="AZ20" s="20" t="s">
        <v>310</v>
      </c>
      <c r="BA20" s="20">
        <v>19</v>
      </c>
      <c r="BB20" s="20" t="s">
        <v>42</v>
      </c>
      <c r="BC20" s="20" t="s">
        <v>311</v>
      </c>
      <c r="BD20" s="20">
        <v>1</v>
      </c>
      <c r="BE20" s="20" t="s">
        <v>318</v>
      </c>
      <c r="BF20" s="20" t="s">
        <v>310</v>
      </c>
      <c r="BG20" s="20">
        <v>12</v>
      </c>
      <c r="BH20" s="20" t="s">
        <v>312</v>
      </c>
      <c r="BI20" s="1"/>
      <c r="BJ20">
        <f>+'10% CO Elab'!AA20</f>
        <v>2.8447272578186817E-4</v>
      </c>
      <c r="BK20" s="20">
        <f t="shared" si="15"/>
        <v>6</v>
      </c>
      <c r="BL20" s="20" t="s">
        <v>41</v>
      </c>
      <c r="BM20" s="20" t="str">
        <f t="shared" si="4"/>
        <v>+</v>
      </c>
      <c r="BN20" s="20">
        <f t="shared" si="16"/>
        <v>13</v>
      </c>
      <c r="BO20" s="20" t="str">
        <f t="shared" si="17"/>
        <v>H2</v>
      </c>
      <c r="BP20" s="20" t="str">
        <f t="shared" si="18"/>
        <v>=</v>
      </c>
      <c r="BQ20" s="20">
        <f t="shared" si="5"/>
        <v>1</v>
      </c>
      <c r="BR20" s="20" t="str">
        <f t="shared" si="6"/>
        <v>C6H14</v>
      </c>
      <c r="BS20" s="20" t="str">
        <f t="shared" si="7"/>
        <v>+</v>
      </c>
      <c r="BT20" s="20">
        <f t="shared" si="23"/>
        <v>6</v>
      </c>
      <c r="BU20" s="20" t="str">
        <f t="shared" si="19"/>
        <v>H2O</v>
      </c>
      <c r="BW20">
        <f t="shared" si="20"/>
        <v>5.2445801346438716E-4</v>
      </c>
      <c r="BX20">
        <f t="shared" si="21"/>
        <v>1.7068363546912089E-3</v>
      </c>
    </row>
    <row r="21" spans="5:76" x14ac:dyDescent="0.2">
      <c r="E21">
        <f>+'5% CO Elab'!R21</f>
        <v>16</v>
      </c>
      <c r="F21">
        <f>+'5% CO Elab'!S21</f>
        <v>6</v>
      </c>
      <c r="G21" t="str">
        <f>+'5% CO Elab'!T21</f>
        <v>2-METHYL-1-PENTENE</v>
      </c>
      <c r="H21" t="str">
        <f>+'5% CO Elab'!U21</f>
        <v>C6H12-D2</v>
      </c>
      <c r="I21" t="str">
        <f>+'5% CO Elab'!V21</f>
        <v>C6-O</v>
      </c>
      <c r="J21">
        <f>+'5% CO Elab'!W21</f>
        <v>0.42227517162425904</v>
      </c>
      <c r="L21">
        <f>+'5% CO Elab'!AB21</f>
        <v>7.5713316807712464E-3</v>
      </c>
      <c r="M21" s="20">
        <v>6</v>
      </c>
      <c r="N21" s="20" t="s">
        <v>309</v>
      </c>
      <c r="O21" s="20" t="s">
        <v>310</v>
      </c>
      <c r="P21" s="20">
        <v>18</v>
      </c>
      <c r="Q21" s="20" t="s">
        <v>42</v>
      </c>
      <c r="R21" s="20" t="s">
        <v>311</v>
      </c>
      <c r="S21" s="20">
        <v>1</v>
      </c>
      <c r="T21" s="20" t="s">
        <v>319</v>
      </c>
      <c r="U21" s="20" t="s">
        <v>310</v>
      </c>
      <c r="V21" s="20">
        <v>12</v>
      </c>
      <c r="W21" s="20" t="s">
        <v>312</v>
      </c>
      <c r="X21" s="1"/>
      <c r="Y21">
        <f>+'5% CO Elab'!AA21</f>
        <v>2.4389047967106219E-2</v>
      </c>
      <c r="Z21" s="20">
        <f t="shared" si="8"/>
        <v>6</v>
      </c>
      <c r="AA21" s="20" t="s">
        <v>41</v>
      </c>
      <c r="AB21" s="20" t="str">
        <f t="shared" si="0"/>
        <v>+</v>
      </c>
      <c r="AC21" s="20">
        <f t="shared" si="9"/>
        <v>12</v>
      </c>
      <c r="AD21" s="20" t="str">
        <f t="shared" si="10"/>
        <v>H2</v>
      </c>
      <c r="AE21" s="20" t="str">
        <f t="shared" si="11"/>
        <v>=</v>
      </c>
      <c r="AF21" s="20">
        <f t="shared" si="1"/>
        <v>1</v>
      </c>
      <c r="AG21" s="20" t="str">
        <f t="shared" si="2"/>
        <v>C6H12</v>
      </c>
      <c r="AH21" s="20" t="str">
        <f t="shared" si="3"/>
        <v>+</v>
      </c>
      <c r="AI21" s="20">
        <f t="shared" si="22"/>
        <v>6</v>
      </c>
      <c r="AJ21" s="20" t="str">
        <f t="shared" si="12"/>
        <v>H2O</v>
      </c>
      <c r="AL21">
        <f t="shared" si="13"/>
        <v>9.085598016925496E-2</v>
      </c>
      <c r="AM21">
        <f t="shared" si="14"/>
        <v>0.1463342878026373</v>
      </c>
      <c r="AP21">
        <f>+'10% CO Elab'!S21</f>
        <v>6</v>
      </c>
      <c r="AQ21" t="str">
        <f>+'10% CO Elab'!T21</f>
        <v>2-METHYL-1-PENTENE</v>
      </c>
      <c r="AR21" t="str">
        <f>+'10% CO Elab'!U21</f>
        <v>C6H12-D2</v>
      </c>
      <c r="AS21" t="str">
        <f>+'10% CO Elab'!V21</f>
        <v>C6-O</v>
      </c>
      <c r="AT21">
        <f>+'10% CO Elab'!W21</f>
        <v>0.63054996610516634</v>
      </c>
      <c r="AU21">
        <f>+'10% CO Elab'!X21</f>
        <v>3.783299796630998</v>
      </c>
      <c r="AW21">
        <f>+'10% CO Elab'!AB21</f>
        <v>5.6107690254003084E-3</v>
      </c>
      <c r="AX21" s="20">
        <v>6</v>
      </c>
      <c r="AY21" s="20" t="s">
        <v>309</v>
      </c>
      <c r="AZ21" s="20" t="s">
        <v>310</v>
      </c>
      <c r="BA21" s="20">
        <v>18</v>
      </c>
      <c r="BB21" s="20" t="s">
        <v>42</v>
      </c>
      <c r="BC21" s="20" t="s">
        <v>311</v>
      </c>
      <c r="BD21" s="20">
        <v>1</v>
      </c>
      <c r="BE21" s="20" t="s">
        <v>319</v>
      </c>
      <c r="BF21" s="20" t="s">
        <v>310</v>
      </c>
      <c r="BG21" s="20">
        <v>12</v>
      </c>
      <c r="BH21" s="20" t="s">
        <v>312</v>
      </c>
      <c r="BI21" s="1"/>
      <c r="BJ21">
        <f>+'10% CO Elab'!AA21</f>
        <v>3.6520233477103328E-2</v>
      </c>
      <c r="BK21" s="20">
        <f t="shared" si="15"/>
        <v>6</v>
      </c>
      <c r="BL21" s="20" t="s">
        <v>41</v>
      </c>
      <c r="BM21" s="20" t="str">
        <f t="shared" si="4"/>
        <v>+</v>
      </c>
      <c r="BN21" s="20">
        <f t="shared" si="16"/>
        <v>12</v>
      </c>
      <c r="BO21" s="20" t="str">
        <f t="shared" si="17"/>
        <v>H2</v>
      </c>
      <c r="BP21" s="20" t="str">
        <f t="shared" si="18"/>
        <v>=</v>
      </c>
      <c r="BQ21" s="20">
        <f t="shared" si="5"/>
        <v>1</v>
      </c>
      <c r="BR21" s="20" t="str">
        <f t="shared" si="6"/>
        <v>C6H12</v>
      </c>
      <c r="BS21" s="20" t="str">
        <f t="shared" si="7"/>
        <v>+</v>
      </c>
      <c r="BT21" s="20">
        <f t="shared" si="23"/>
        <v>6</v>
      </c>
      <c r="BU21" s="20" t="str">
        <f t="shared" si="19"/>
        <v>H2O</v>
      </c>
      <c r="BW21">
        <f t="shared" si="20"/>
        <v>6.7329228304803701E-2</v>
      </c>
      <c r="BX21">
        <f t="shared" si="21"/>
        <v>0.21912140086261997</v>
      </c>
    </row>
    <row r="22" spans="5:76" x14ac:dyDescent="0.2">
      <c r="E22">
        <f>+'5% CO Elab'!R22</f>
        <v>17</v>
      </c>
      <c r="F22">
        <f>+'5% CO Elab'!S22</f>
        <v>6</v>
      </c>
      <c r="G22" t="str">
        <f>+'5% CO Elab'!T22</f>
        <v>BENZENE</v>
      </c>
      <c r="H22">
        <f>+'5% CO Elab'!U22</f>
        <v>0</v>
      </c>
      <c r="I22" t="str">
        <f>+'5% CO Elab'!V22</f>
        <v>C6-A</v>
      </c>
      <c r="J22">
        <f>+'5% CO Elab'!W22</f>
        <v>2.2556645398328491E-3</v>
      </c>
      <c r="L22">
        <f>+'5% CO Elab'!AB22</f>
        <v>4.0443733231905739E-5</v>
      </c>
      <c r="M22" s="20">
        <v>6</v>
      </c>
      <c r="N22" s="20" t="s">
        <v>309</v>
      </c>
      <c r="O22" s="20" t="s">
        <v>310</v>
      </c>
      <c r="P22" s="20">
        <v>15</v>
      </c>
      <c r="Q22" s="20" t="s">
        <v>42</v>
      </c>
      <c r="R22" s="20" t="s">
        <v>311</v>
      </c>
      <c r="S22" s="20">
        <v>1</v>
      </c>
      <c r="T22" s="20" t="s">
        <v>372</v>
      </c>
      <c r="U22" s="20" t="s">
        <v>310</v>
      </c>
      <c r="V22" s="20">
        <v>12</v>
      </c>
      <c r="W22" s="20" t="s">
        <v>312</v>
      </c>
      <c r="X22" s="1"/>
      <c r="Y22">
        <f>+'5% CO Elab'!AA22</f>
        <v>1.3027881901764998E-4</v>
      </c>
      <c r="Z22" s="20">
        <f t="shared" si="8"/>
        <v>6</v>
      </c>
      <c r="AA22" s="20" t="s">
        <v>41</v>
      </c>
      <c r="AB22" s="20" t="str">
        <f t="shared" ref="AB22:AB73" si="24">O22</f>
        <v>+</v>
      </c>
      <c r="AC22" s="20">
        <f t="shared" si="9"/>
        <v>9</v>
      </c>
      <c r="AD22" s="20" t="str">
        <f t="shared" ref="AD22:AD73" si="25">Q22</f>
        <v>H2</v>
      </c>
      <c r="AE22" s="20" t="str">
        <f t="shared" si="11"/>
        <v>=</v>
      </c>
      <c r="AF22" s="20">
        <f t="shared" si="1"/>
        <v>1</v>
      </c>
      <c r="AG22" s="20" t="str">
        <f t="shared" si="2"/>
        <v>C6H6</v>
      </c>
      <c r="AH22" s="20" t="str">
        <f t="shared" si="3"/>
        <v>+</v>
      </c>
      <c r="AI22" s="20">
        <f t="shared" si="22"/>
        <v>6</v>
      </c>
      <c r="AJ22" s="20" t="str">
        <f t="shared" si="12"/>
        <v>H2O</v>
      </c>
      <c r="AL22">
        <f t="shared" si="13"/>
        <v>4.8532479878286887E-4</v>
      </c>
      <c r="AM22">
        <f t="shared" si="14"/>
        <v>7.8167291410589988E-4</v>
      </c>
      <c r="AP22">
        <f>+'10% CO Elab'!S22</f>
        <v>6</v>
      </c>
      <c r="AQ22" t="str">
        <f>+'10% CO Elab'!T22</f>
        <v>BENZENE</v>
      </c>
      <c r="AR22">
        <f>+'10% CO Elab'!U22</f>
        <v>0</v>
      </c>
      <c r="AS22" t="str">
        <f>+'10% CO Elab'!V22</f>
        <v>C6-A</v>
      </c>
      <c r="AT22">
        <f>+'10% CO Elab'!W22</f>
        <v>2.4894795862967231E-3</v>
      </c>
      <c r="AU22">
        <f>+'10% CO Elab'!X22</f>
        <v>1.4936877517780339E-2</v>
      </c>
      <c r="AW22">
        <f>+'10% CO Elab'!AB22</f>
        <v>2.2151924039324094E-5</v>
      </c>
      <c r="AX22" s="20">
        <v>6</v>
      </c>
      <c r="AY22" s="20" t="s">
        <v>309</v>
      </c>
      <c r="AZ22" s="20" t="s">
        <v>310</v>
      </c>
      <c r="BA22" s="20">
        <v>15</v>
      </c>
      <c r="BB22" s="20" t="s">
        <v>42</v>
      </c>
      <c r="BC22" s="20" t="s">
        <v>311</v>
      </c>
      <c r="BD22" s="20">
        <v>1</v>
      </c>
      <c r="BE22" s="20" t="s">
        <v>372</v>
      </c>
      <c r="BF22" s="20" t="s">
        <v>310</v>
      </c>
      <c r="BG22" s="20">
        <v>12</v>
      </c>
      <c r="BH22" s="20" t="s">
        <v>312</v>
      </c>
      <c r="BI22" s="1"/>
      <c r="BJ22">
        <f>+'10% CO Elab'!AA22</f>
        <v>1.4418583873633171E-4</v>
      </c>
      <c r="BK22" s="20">
        <f t="shared" si="15"/>
        <v>6</v>
      </c>
      <c r="BL22" s="20" t="s">
        <v>41</v>
      </c>
      <c r="BM22" s="20" t="str">
        <f t="shared" ref="BM22:BM73" si="26">AZ22</f>
        <v>+</v>
      </c>
      <c r="BN22" s="20">
        <f t="shared" si="16"/>
        <v>9</v>
      </c>
      <c r="BO22" s="20" t="str">
        <f t="shared" ref="BO22:BO73" si="27">BB22</f>
        <v>H2</v>
      </c>
      <c r="BP22" s="20" t="str">
        <f t="shared" si="18"/>
        <v>=</v>
      </c>
      <c r="BQ22" s="20">
        <f t="shared" si="5"/>
        <v>1</v>
      </c>
      <c r="BR22" s="20" t="str">
        <f t="shared" si="6"/>
        <v>C6H6</v>
      </c>
      <c r="BS22" s="20" t="str">
        <f t="shared" si="7"/>
        <v>+</v>
      </c>
      <c r="BT22" s="20">
        <f t="shared" si="23"/>
        <v>6</v>
      </c>
      <c r="BU22" s="20" t="str">
        <f t="shared" si="19"/>
        <v>H2O</v>
      </c>
      <c r="BW22">
        <f t="shared" si="20"/>
        <v>2.658230884718891E-4</v>
      </c>
      <c r="BX22">
        <f t="shared" si="21"/>
        <v>8.6511503241799024E-4</v>
      </c>
    </row>
    <row r="23" spans="5:76" x14ac:dyDescent="0.2">
      <c r="E23">
        <f>+'5% CO Elab'!R23</f>
        <v>18</v>
      </c>
      <c r="F23">
        <f>+'5% CO Elab'!S23</f>
        <v>6</v>
      </c>
      <c r="G23" t="str">
        <f>+'5% CO Elab'!T23</f>
        <v>CYCLOHEXANE</v>
      </c>
      <c r="H23">
        <f>+'5% CO Elab'!U23</f>
        <v>0</v>
      </c>
      <c r="I23" t="str">
        <f>+'5% CO Elab'!V23</f>
        <v>C6-N</v>
      </c>
      <c r="J23">
        <f>+'5% CO Elab'!W23</f>
        <v>2.7183577285660624E-2</v>
      </c>
      <c r="L23">
        <f>+'5% CO Elab'!AB23</f>
        <v>4.8739754011100413E-4</v>
      </c>
      <c r="M23" s="20">
        <v>6</v>
      </c>
      <c r="N23" s="20" t="s">
        <v>309</v>
      </c>
      <c r="O23" s="20" t="s">
        <v>310</v>
      </c>
      <c r="P23" s="20">
        <v>18</v>
      </c>
      <c r="Q23" s="20" t="s">
        <v>42</v>
      </c>
      <c r="R23" s="20" t="s">
        <v>311</v>
      </c>
      <c r="S23" s="20">
        <v>1</v>
      </c>
      <c r="T23" s="20" t="s">
        <v>319</v>
      </c>
      <c r="U23" s="20" t="s">
        <v>310</v>
      </c>
      <c r="V23" s="20">
        <v>12</v>
      </c>
      <c r="W23" s="20" t="s">
        <v>312</v>
      </c>
      <c r="X23" s="1"/>
      <c r="Y23">
        <f>+'5% CO Elab'!AA23</f>
        <v>1.5700226176864544E-3</v>
      </c>
      <c r="Z23" s="20">
        <f t="shared" si="8"/>
        <v>6</v>
      </c>
      <c r="AA23" s="20" t="s">
        <v>41</v>
      </c>
      <c r="AB23" s="20" t="str">
        <f t="shared" si="24"/>
        <v>+</v>
      </c>
      <c r="AC23" s="20">
        <f t="shared" si="9"/>
        <v>12</v>
      </c>
      <c r="AD23" s="20" t="str">
        <f t="shared" si="25"/>
        <v>H2</v>
      </c>
      <c r="AE23" s="20" t="str">
        <f t="shared" si="11"/>
        <v>=</v>
      </c>
      <c r="AF23" s="20">
        <f t="shared" si="1"/>
        <v>1</v>
      </c>
      <c r="AG23" s="20" t="str">
        <f t="shared" si="2"/>
        <v>C6H12</v>
      </c>
      <c r="AH23" s="20" t="str">
        <f t="shared" si="3"/>
        <v>+</v>
      </c>
      <c r="AI23" s="20">
        <f t="shared" si="22"/>
        <v>6</v>
      </c>
      <c r="AJ23" s="20" t="str">
        <f t="shared" si="12"/>
        <v>H2O</v>
      </c>
      <c r="AL23">
        <f t="shared" si="13"/>
        <v>5.8487704813320494E-3</v>
      </c>
      <c r="AM23">
        <f t="shared" si="14"/>
        <v>9.4201357061187256E-3</v>
      </c>
      <c r="AP23">
        <f>+'10% CO Elab'!S23</f>
        <v>6</v>
      </c>
      <c r="AQ23" t="str">
        <f>+'10% CO Elab'!T23</f>
        <v>CYCLOHEXANE</v>
      </c>
      <c r="AR23">
        <f>+'10% CO Elab'!U23</f>
        <v>0</v>
      </c>
      <c r="AS23" t="str">
        <f>+'10% CO Elab'!V23</f>
        <v>C6-N</v>
      </c>
      <c r="AT23">
        <f>+'10% CO Elab'!W23</f>
        <v>3.0001340864358388E-2</v>
      </c>
      <c r="AU23">
        <f>+'10% CO Elab'!X23</f>
        <v>0.18000804518615032</v>
      </c>
      <c r="AW23">
        <f>+'10% CO Elab'!AB23</f>
        <v>2.6695837457890454E-4</v>
      </c>
      <c r="AX23" s="20">
        <v>6</v>
      </c>
      <c r="AY23" s="20" t="s">
        <v>309</v>
      </c>
      <c r="AZ23" s="20" t="s">
        <v>310</v>
      </c>
      <c r="BA23" s="20">
        <v>18</v>
      </c>
      <c r="BB23" s="20" t="s">
        <v>42</v>
      </c>
      <c r="BC23" s="20" t="s">
        <v>311</v>
      </c>
      <c r="BD23" s="20">
        <v>1</v>
      </c>
      <c r="BE23" s="20" t="s">
        <v>319</v>
      </c>
      <c r="BF23" s="20" t="s">
        <v>310</v>
      </c>
      <c r="BG23" s="20">
        <v>12</v>
      </c>
      <c r="BH23" s="20" t="s">
        <v>312</v>
      </c>
      <c r="BI23" s="1"/>
      <c r="BJ23">
        <f>+'10% CO Elab'!AA23</f>
        <v>1.7376195890712175E-3</v>
      </c>
      <c r="BK23" s="20">
        <f t="shared" si="15"/>
        <v>6</v>
      </c>
      <c r="BL23" s="20" t="s">
        <v>41</v>
      </c>
      <c r="BM23" s="20" t="str">
        <f t="shared" si="26"/>
        <v>+</v>
      </c>
      <c r="BN23" s="20">
        <f t="shared" si="16"/>
        <v>12</v>
      </c>
      <c r="BO23" s="20" t="str">
        <f t="shared" si="27"/>
        <v>H2</v>
      </c>
      <c r="BP23" s="20" t="str">
        <f t="shared" si="18"/>
        <v>=</v>
      </c>
      <c r="BQ23" s="20">
        <f t="shared" si="5"/>
        <v>1</v>
      </c>
      <c r="BR23" s="20" t="str">
        <f t="shared" si="6"/>
        <v>C6H12</v>
      </c>
      <c r="BS23" s="20" t="str">
        <f t="shared" si="7"/>
        <v>+</v>
      </c>
      <c r="BT23" s="20">
        <f t="shared" si="23"/>
        <v>6</v>
      </c>
      <c r="BU23" s="20" t="str">
        <f t="shared" si="19"/>
        <v>H2O</v>
      </c>
      <c r="BW23">
        <f t="shared" si="20"/>
        <v>3.2035004949468545E-3</v>
      </c>
      <c r="BX23">
        <f t="shared" si="21"/>
        <v>1.0425717534427306E-2</v>
      </c>
    </row>
    <row r="24" spans="5:76" x14ac:dyDescent="0.2">
      <c r="E24">
        <f>+'5% CO Elab'!R24</f>
        <v>19</v>
      </c>
      <c r="F24">
        <f>+'5% CO Elab'!S24</f>
        <v>7</v>
      </c>
      <c r="G24" t="str">
        <f>+'5% CO Elab'!T24</f>
        <v>N-HEPTANE</v>
      </c>
      <c r="H24" t="str">
        <f>+'5% CO Elab'!U24</f>
        <v>C7H16-1</v>
      </c>
      <c r="I24" t="str">
        <f>+'5% CO Elab'!V24</f>
        <v>C7</v>
      </c>
      <c r="J24">
        <f>+'5% CO Elab'!W24</f>
        <v>3.6542649360789502E-5</v>
      </c>
      <c r="L24">
        <f>+'5% CO Elab'!AB24</f>
        <v>7.6440504587844699E-7</v>
      </c>
      <c r="M24" s="20">
        <v>7</v>
      </c>
      <c r="N24" s="20" t="s">
        <v>309</v>
      </c>
      <c r="O24" s="20" t="s">
        <v>310</v>
      </c>
      <c r="P24" s="20">
        <v>22</v>
      </c>
      <c r="Q24" s="20" t="s">
        <v>42</v>
      </c>
      <c r="R24" s="20" t="s">
        <v>311</v>
      </c>
      <c r="S24" s="20">
        <v>1</v>
      </c>
      <c r="T24" s="20" t="s">
        <v>320</v>
      </c>
      <c r="U24" s="20" t="s">
        <v>310</v>
      </c>
      <c r="V24" s="20">
        <v>14</v>
      </c>
      <c r="W24" s="20" t="s">
        <v>312</v>
      </c>
      <c r="X24" s="1"/>
      <c r="Y24">
        <f>+'5% CO Elab'!AA24</f>
        <v>2.4623292329901479E-6</v>
      </c>
      <c r="Z24" s="20">
        <f t="shared" si="8"/>
        <v>7</v>
      </c>
      <c r="AA24" s="20" t="s">
        <v>41</v>
      </c>
      <c r="AB24" s="20" t="str">
        <f t="shared" si="24"/>
        <v>+</v>
      </c>
      <c r="AC24" s="20">
        <f t="shared" si="9"/>
        <v>15</v>
      </c>
      <c r="AD24" s="20" t="str">
        <f t="shared" si="25"/>
        <v>H2</v>
      </c>
      <c r="AE24" s="20" t="str">
        <f t="shared" si="11"/>
        <v>=</v>
      </c>
      <c r="AF24" s="20">
        <f t="shared" si="1"/>
        <v>1</v>
      </c>
      <c r="AG24" s="20" t="str">
        <f t="shared" si="2"/>
        <v>C7H16</v>
      </c>
      <c r="AH24" s="20" t="str">
        <f t="shared" si="3"/>
        <v>+</v>
      </c>
      <c r="AI24" s="20">
        <f t="shared" si="22"/>
        <v>7</v>
      </c>
      <c r="AJ24" s="20" t="str">
        <f t="shared" si="12"/>
        <v>H2O</v>
      </c>
      <c r="AL24">
        <f t="shared" si="13"/>
        <v>1.0701670642298258E-5</v>
      </c>
      <c r="AM24">
        <f t="shared" si="14"/>
        <v>1.7236304630931035E-5</v>
      </c>
      <c r="AP24">
        <f>+'10% CO Elab'!S24</f>
        <v>7</v>
      </c>
      <c r="AQ24" t="str">
        <f>+'10% CO Elab'!T24</f>
        <v>N-HEPTANE</v>
      </c>
      <c r="AR24" t="str">
        <f>+'10% CO Elab'!U24</f>
        <v>C7H16-1</v>
      </c>
      <c r="AS24" t="str">
        <f>+'10% CO Elab'!V24</f>
        <v>C7</v>
      </c>
      <c r="AT24">
        <f>+'10% CO Elab'!W24</f>
        <v>1.5354985472503198E-5</v>
      </c>
      <c r="AU24">
        <f>+'10% CO Elab'!X24</f>
        <v>1.0748489830752239E-4</v>
      </c>
      <c r="AW24">
        <f>+'10% CO Elab'!AB24</f>
        <v>1.5940395171939082E-7</v>
      </c>
      <c r="AX24" s="20">
        <v>7</v>
      </c>
      <c r="AY24" s="20" t="s">
        <v>309</v>
      </c>
      <c r="AZ24" s="20" t="s">
        <v>310</v>
      </c>
      <c r="BA24" s="20">
        <v>22</v>
      </c>
      <c r="BB24" s="20" t="s">
        <v>42</v>
      </c>
      <c r="BC24" s="20" t="s">
        <v>311</v>
      </c>
      <c r="BD24" s="20">
        <v>1</v>
      </c>
      <c r="BE24" s="20" t="s">
        <v>320</v>
      </c>
      <c r="BF24" s="20" t="s">
        <v>310</v>
      </c>
      <c r="BG24" s="20">
        <v>14</v>
      </c>
      <c r="BH24" s="20" t="s">
        <v>312</v>
      </c>
      <c r="BI24" s="1"/>
      <c r="BJ24">
        <f>+'10% CO Elab'!AA24</f>
        <v>1.0375528751247638E-6</v>
      </c>
      <c r="BK24" s="20">
        <f t="shared" si="15"/>
        <v>7</v>
      </c>
      <c r="BL24" s="20" t="s">
        <v>41</v>
      </c>
      <c r="BM24" s="20" t="str">
        <f t="shared" si="26"/>
        <v>+</v>
      </c>
      <c r="BN24" s="20">
        <f t="shared" si="16"/>
        <v>15</v>
      </c>
      <c r="BO24" s="20" t="str">
        <f t="shared" si="27"/>
        <v>H2</v>
      </c>
      <c r="BP24" s="20" t="str">
        <f t="shared" si="18"/>
        <v>=</v>
      </c>
      <c r="BQ24" s="20">
        <f t="shared" si="5"/>
        <v>1</v>
      </c>
      <c r="BR24" s="20" t="str">
        <f t="shared" si="6"/>
        <v>C7H16</v>
      </c>
      <c r="BS24" s="20" t="str">
        <f t="shared" si="7"/>
        <v>+</v>
      </c>
      <c r="BT24" s="20">
        <f t="shared" si="23"/>
        <v>7</v>
      </c>
      <c r="BU24" s="20" t="str">
        <f t="shared" si="19"/>
        <v>H2O</v>
      </c>
      <c r="BW24">
        <f t="shared" si="20"/>
        <v>2.2316553240714717E-6</v>
      </c>
      <c r="BX24">
        <f t="shared" si="21"/>
        <v>7.2628701258733463E-6</v>
      </c>
    </row>
    <row r="25" spans="5:76" x14ac:dyDescent="0.2">
      <c r="E25">
        <f>+'5% CO Elab'!R25</f>
        <v>20</v>
      </c>
      <c r="F25">
        <f>+'5% CO Elab'!S25</f>
        <v>7</v>
      </c>
      <c r="G25" t="str">
        <f>+'5% CO Elab'!T25</f>
        <v>2-METHYLHEXANE</v>
      </c>
      <c r="H25" t="str">
        <f>+'5% CO Elab'!U25</f>
        <v>C7H16-2</v>
      </c>
      <c r="I25" t="str">
        <f>+'5% CO Elab'!V25</f>
        <v>C7-IP</v>
      </c>
      <c r="J25">
        <f>+'5% CO Elab'!W25</f>
        <v>0.2307181649094556</v>
      </c>
      <c r="L25">
        <f>+'5% CO Elab'!AB25</f>
        <v>4.8261998655697146E-3</v>
      </c>
      <c r="M25" s="20">
        <v>7</v>
      </c>
      <c r="N25" s="20" t="s">
        <v>309</v>
      </c>
      <c r="O25" s="20" t="s">
        <v>310</v>
      </c>
      <c r="P25" s="20">
        <v>22</v>
      </c>
      <c r="Q25" s="20" t="s">
        <v>42</v>
      </c>
      <c r="R25" s="20" t="s">
        <v>311</v>
      </c>
      <c r="S25" s="20">
        <v>1</v>
      </c>
      <c r="T25" s="20" t="s">
        <v>320</v>
      </c>
      <c r="U25" s="20" t="s">
        <v>310</v>
      </c>
      <c r="V25" s="20">
        <v>14</v>
      </c>
      <c r="W25" s="20" t="s">
        <v>312</v>
      </c>
      <c r="X25" s="1"/>
      <c r="Y25">
        <f>+'5% CO Elab'!AA25</f>
        <v>1.5546329890573661E-2</v>
      </c>
      <c r="Z25" s="20">
        <f t="shared" si="8"/>
        <v>7</v>
      </c>
      <c r="AA25" s="20" t="s">
        <v>41</v>
      </c>
      <c r="AB25" s="20" t="str">
        <f t="shared" si="24"/>
        <v>+</v>
      </c>
      <c r="AC25" s="20">
        <f t="shared" si="9"/>
        <v>15</v>
      </c>
      <c r="AD25" s="20" t="str">
        <f t="shared" si="25"/>
        <v>H2</v>
      </c>
      <c r="AE25" s="20" t="str">
        <f t="shared" si="11"/>
        <v>=</v>
      </c>
      <c r="AF25" s="20">
        <f t="shared" si="1"/>
        <v>1</v>
      </c>
      <c r="AG25" s="20" t="str">
        <f t="shared" si="2"/>
        <v>C7H16</v>
      </c>
      <c r="AH25" s="20" t="str">
        <f t="shared" si="3"/>
        <v>+</v>
      </c>
      <c r="AI25" s="20">
        <f t="shared" si="22"/>
        <v>7</v>
      </c>
      <c r="AJ25" s="20" t="str">
        <f t="shared" si="12"/>
        <v>H2O</v>
      </c>
      <c r="AL25">
        <f t="shared" si="13"/>
        <v>6.7566798117976001E-2</v>
      </c>
      <c r="AM25">
        <f t="shared" si="14"/>
        <v>0.10882430923401562</v>
      </c>
      <c r="AP25">
        <f>+'10% CO Elab'!S25</f>
        <v>7</v>
      </c>
      <c r="AQ25" t="str">
        <f>+'10% CO Elab'!T25</f>
        <v>2-METHYLHEXANE</v>
      </c>
      <c r="AR25" t="str">
        <f>+'10% CO Elab'!U25</f>
        <v>C7H16-2</v>
      </c>
      <c r="AS25" t="str">
        <f>+'10% CO Elab'!V25</f>
        <v>C7-IP</v>
      </c>
      <c r="AT25">
        <f>+'10% CO Elab'!W25</f>
        <v>0.25517737575835936</v>
      </c>
      <c r="AU25">
        <f>+'10% CO Elab'!X25</f>
        <v>1.7862416303085156</v>
      </c>
      <c r="AW25">
        <f>+'10% CO Elab'!AB25</f>
        <v>2.6490602780515193E-3</v>
      </c>
      <c r="AX25" s="20">
        <v>7</v>
      </c>
      <c r="AY25" s="20" t="s">
        <v>309</v>
      </c>
      <c r="AZ25" s="20" t="s">
        <v>310</v>
      </c>
      <c r="BA25" s="20">
        <v>22</v>
      </c>
      <c r="BB25" s="20" t="s">
        <v>42</v>
      </c>
      <c r="BC25" s="20" t="s">
        <v>311</v>
      </c>
      <c r="BD25" s="20">
        <v>1</v>
      </c>
      <c r="BE25" s="20" t="s">
        <v>320</v>
      </c>
      <c r="BF25" s="20" t="s">
        <v>310</v>
      </c>
      <c r="BG25" s="20">
        <v>14</v>
      </c>
      <c r="BH25" s="20" t="s">
        <v>312</v>
      </c>
      <c r="BI25" s="1"/>
      <c r="BJ25">
        <f>+'10% CO Elab'!AA25</f>
        <v>1.7242609597970287E-2</v>
      </c>
      <c r="BK25" s="20">
        <f t="shared" si="15"/>
        <v>7</v>
      </c>
      <c r="BL25" s="20" t="s">
        <v>41</v>
      </c>
      <c r="BM25" s="20" t="str">
        <f t="shared" si="26"/>
        <v>+</v>
      </c>
      <c r="BN25" s="20">
        <f t="shared" si="16"/>
        <v>15</v>
      </c>
      <c r="BO25" s="20" t="str">
        <f t="shared" si="27"/>
        <v>H2</v>
      </c>
      <c r="BP25" s="20" t="str">
        <f t="shared" si="18"/>
        <v>=</v>
      </c>
      <c r="BQ25" s="20">
        <f t="shared" si="5"/>
        <v>1</v>
      </c>
      <c r="BR25" s="20" t="str">
        <f t="shared" si="6"/>
        <v>C7H16</v>
      </c>
      <c r="BS25" s="20" t="str">
        <f t="shared" si="7"/>
        <v>+</v>
      </c>
      <c r="BT25" s="20">
        <f t="shared" si="23"/>
        <v>7</v>
      </c>
      <c r="BU25" s="20" t="str">
        <f t="shared" si="19"/>
        <v>H2O</v>
      </c>
      <c r="BW25">
        <f t="shared" si="20"/>
        <v>3.7086843892721266E-2</v>
      </c>
      <c r="BX25">
        <f t="shared" si="21"/>
        <v>0.120698267185792</v>
      </c>
    </row>
    <row r="26" spans="5:76" x14ac:dyDescent="0.2">
      <c r="E26">
        <f>+'5% CO Elab'!R26</f>
        <v>21</v>
      </c>
      <c r="F26">
        <f>+'5% CO Elab'!S26</f>
        <v>7</v>
      </c>
      <c r="G26" t="str">
        <f>+'5% CO Elab'!T26</f>
        <v>1-HEPTENE</v>
      </c>
      <c r="H26" t="str">
        <f>+'5% CO Elab'!U26</f>
        <v>C7H14-7</v>
      </c>
      <c r="I26" t="str">
        <f>+'5% CO Elab'!V26</f>
        <v>C7-O</v>
      </c>
      <c r="J26">
        <f>+'5% CO Elab'!W26</f>
        <v>0.16140389481812606</v>
      </c>
      <c r="L26">
        <f>+'5% CO Elab'!AB26</f>
        <v>3.3762727602283551E-3</v>
      </c>
      <c r="M26" s="20">
        <v>7</v>
      </c>
      <c r="N26" s="20" t="s">
        <v>309</v>
      </c>
      <c r="O26" s="20" t="s">
        <v>310</v>
      </c>
      <c r="P26" s="20">
        <v>21</v>
      </c>
      <c r="Q26" s="20" t="s">
        <v>42</v>
      </c>
      <c r="R26" s="20" t="s">
        <v>311</v>
      </c>
      <c r="S26" s="20">
        <v>1</v>
      </c>
      <c r="T26" s="20" t="s">
        <v>321</v>
      </c>
      <c r="U26" s="20" t="s">
        <v>310</v>
      </c>
      <c r="V26" s="20">
        <v>14</v>
      </c>
      <c r="W26" s="20" t="s">
        <v>312</v>
      </c>
      <c r="X26" s="1"/>
      <c r="Y26">
        <f>+'5% CO Elab'!AA26</f>
        <v>1.0875772158862223E-2</v>
      </c>
      <c r="Z26" s="20">
        <f t="shared" si="8"/>
        <v>7</v>
      </c>
      <c r="AA26" s="20" t="s">
        <v>41</v>
      </c>
      <c r="AB26" s="20" t="str">
        <f t="shared" si="24"/>
        <v>+</v>
      </c>
      <c r="AC26" s="20">
        <f t="shared" si="9"/>
        <v>14</v>
      </c>
      <c r="AD26" s="20" t="str">
        <f t="shared" si="25"/>
        <v>H2</v>
      </c>
      <c r="AE26" s="20" t="str">
        <f t="shared" si="11"/>
        <v>=</v>
      </c>
      <c r="AF26" s="20">
        <f t="shared" si="1"/>
        <v>1</v>
      </c>
      <c r="AG26" s="20" t="str">
        <f t="shared" si="2"/>
        <v>C7H14</v>
      </c>
      <c r="AH26" s="20" t="str">
        <f t="shared" si="3"/>
        <v>+</v>
      </c>
      <c r="AI26" s="20">
        <f t="shared" si="22"/>
        <v>7</v>
      </c>
      <c r="AJ26" s="20" t="str">
        <f t="shared" si="12"/>
        <v>H2O</v>
      </c>
      <c r="AL26">
        <f t="shared" si="13"/>
        <v>4.7267818643196971E-2</v>
      </c>
      <c r="AM26">
        <f t="shared" si="14"/>
        <v>7.613040511203556E-2</v>
      </c>
      <c r="AP26">
        <f>+'10% CO Elab'!S26</f>
        <v>7</v>
      </c>
      <c r="AQ26" t="str">
        <f>+'10% CO Elab'!T26</f>
        <v>1-HEPTENE</v>
      </c>
      <c r="AR26" t="str">
        <f>+'10% CO Elab'!U26</f>
        <v>C7H14-7</v>
      </c>
      <c r="AS26" t="str">
        <f>+'10% CO Elab'!V26</f>
        <v>C7-O</v>
      </c>
      <c r="AT26">
        <f>+'10% CO Elab'!W26</f>
        <v>0.18837447528941109</v>
      </c>
      <c r="AU26">
        <f>+'10% CO Elab'!X26</f>
        <v>1.3186213270258778</v>
      </c>
      <c r="AW26">
        <f>+'10% CO Elab'!AB26</f>
        <v>1.9555626293473595E-3</v>
      </c>
      <c r="AX26" s="20">
        <v>7</v>
      </c>
      <c r="AY26" s="20" t="s">
        <v>309</v>
      </c>
      <c r="AZ26" s="20" t="s">
        <v>310</v>
      </c>
      <c r="BA26" s="20">
        <v>21</v>
      </c>
      <c r="BB26" s="20" t="s">
        <v>42</v>
      </c>
      <c r="BC26" s="20" t="s">
        <v>311</v>
      </c>
      <c r="BD26" s="20">
        <v>1</v>
      </c>
      <c r="BE26" s="20" t="s">
        <v>321</v>
      </c>
      <c r="BF26" s="20" t="s">
        <v>310</v>
      </c>
      <c r="BG26" s="20">
        <v>14</v>
      </c>
      <c r="BH26" s="20" t="s">
        <v>312</v>
      </c>
      <c r="BI26" s="1"/>
      <c r="BJ26">
        <f>+'10% CO Elab'!AA26</f>
        <v>1.2728665799563593E-2</v>
      </c>
      <c r="BK26" s="20">
        <f t="shared" si="15"/>
        <v>7</v>
      </c>
      <c r="BL26" s="20" t="s">
        <v>41</v>
      </c>
      <c r="BM26" s="20" t="str">
        <f t="shared" si="26"/>
        <v>+</v>
      </c>
      <c r="BN26" s="20">
        <f t="shared" si="16"/>
        <v>14</v>
      </c>
      <c r="BO26" s="20" t="str">
        <f t="shared" si="27"/>
        <v>H2</v>
      </c>
      <c r="BP26" s="20" t="str">
        <f t="shared" si="18"/>
        <v>=</v>
      </c>
      <c r="BQ26" s="20">
        <f t="shared" si="5"/>
        <v>1</v>
      </c>
      <c r="BR26" s="20" t="str">
        <f t="shared" si="6"/>
        <v>C7H14</v>
      </c>
      <c r="BS26" s="20" t="str">
        <f t="shared" si="7"/>
        <v>+</v>
      </c>
      <c r="BT26" s="20">
        <f t="shared" si="23"/>
        <v>7</v>
      </c>
      <c r="BU26" s="20" t="str">
        <f t="shared" si="19"/>
        <v>H2O</v>
      </c>
      <c r="BW26">
        <f t="shared" si="20"/>
        <v>2.7377876810863032E-2</v>
      </c>
      <c r="BX26">
        <f t="shared" si="21"/>
        <v>8.9100660596945144E-2</v>
      </c>
    </row>
    <row r="27" spans="5:76" x14ac:dyDescent="0.2">
      <c r="E27">
        <f>+'5% CO Elab'!R27</f>
        <v>22</v>
      </c>
      <c r="F27">
        <f>+'5% CO Elab'!S27</f>
        <v>7</v>
      </c>
      <c r="G27" t="str">
        <f>+'5% CO Elab'!T27</f>
        <v>TOLUENE</v>
      </c>
      <c r="H27" t="str">
        <f>+'5% CO Elab'!U27</f>
        <v>C7H8</v>
      </c>
      <c r="I27" t="str">
        <f>+'5% CO Elab'!V27</f>
        <v>C7-A</v>
      </c>
      <c r="J27">
        <f>+'5% CO Elab'!W27</f>
        <v>6.031083063378081E-3</v>
      </c>
      <c r="L27">
        <f>+'5% CO Elab'!AB27</f>
        <v>1.26159170350276E-4</v>
      </c>
      <c r="M27" s="20">
        <v>7</v>
      </c>
      <c r="N27" s="20" t="s">
        <v>309</v>
      </c>
      <c r="O27" s="20" t="s">
        <v>310</v>
      </c>
      <c r="P27" s="20">
        <v>18</v>
      </c>
      <c r="Q27" s="20" t="s">
        <v>42</v>
      </c>
      <c r="R27" s="20" t="s">
        <v>311</v>
      </c>
      <c r="S27" s="20">
        <v>1</v>
      </c>
      <c r="T27" s="20" t="s">
        <v>165</v>
      </c>
      <c r="U27" s="20" t="s">
        <v>310</v>
      </c>
      <c r="V27" s="20">
        <v>14</v>
      </c>
      <c r="W27" s="20" t="s">
        <v>312</v>
      </c>
      <c r="X27" s="1"/>
      <c r="Y27">
        <f>+'5% CO Elab'!AA27</f>
        <v>4.0638849107318194E-4</v>
      </c>
      <c r="Z27" s="20">
        <f t="shared" si="8"/>
        <v>7</v>
      </c>
      <c r="AA27" s="20" t="s">
        <v>41</v>
      </c>
      <c r="AB27" s="20" t="str">
        <f t="shared" si="24"/>
        <v>+</v>
      </c>
      <c r="AC27" s="20">
        <f t="shared" si="9"/>
        <v>11</v>
      </c>
      <c r="AD27" s="20" t="str">
        <f t="shared" si="25"/>
        <v>H2</v>
      </c>
      <c r="AE27" s="20" t="str">
        <f t="shared" si="11"/>
        <v>=</v>
      </c>
      <c r="AF27" s="20">
        <f t="shared" si="1"/>
        <v>1</v>
      </c>
      <c r="AG27" s="20" t="str">
        <f t="shared" si="2"/>
        <v>C7H8</v>
      </c>
      <c r="AH27" s="20" t="str">
        <f t="shared" si="3"/>
        <v>+</v>
      </c>
      <c r="AI27" s="20">
        <f t="shared" si="22"/>
        <v>7</v>
      </c>
      <c r="AJ27" s="20" t="str">
        <f t="shared" si="12"/>
        <v>H2O</v>
      </c>
      <c r="AL27">
        <f t="shared" si="13"/>
        <v>1.7662283849038639E-3</v>
      </c>
      <c r="AM27">
        <f t="shared" si="14"/>
        <v>2.8447194375122737E-3</v>
      </c>
      <c r="AP27">
        <f>+'10% CO Elab'!S27</f>
        <v>7</v>
      </c>
      <c r="AQ27" t="str">
        <f>+'10% CO Elab'!T27</f>
        <v>TOLUENE</v>
      </c>
      <c r="AR27" t="str">
        <f>+'10% CO Elab'!U27</f>
        <v>C7H8</v>
      </c>
      <c r="AS27" t="str">
        <f>+'10% CO Elab'!V27</f>
        <v>C7-A</v>
      </c>
      <c r="AT27">
        <f>+'10% CO Elab'!W27</f>
        <v>6.6562460438608648E-3</v>
      </c>
      <c r="AU27">
        <f>+'10% CO Elab'!X27</f>
        <v>4.6593722307026054E-2</v>
      </c>
      <c r="AW27">
        <f>+'10% CO Elab'!AB27</f>
        <v>6.9100158050166608E-5</v>
      </c>
      <c r="AX27" s="20">
        <v>7</v>
      </c>
      <c r="AY27" s="20" t="s">
        <v>309</v>
      </c>
      <c r="AZ27" s="20" t="s">
        <v>310</v>
      </c>
      <c r="BA27" s="20">
        <v>18</v>
      </c>
      <c r="BB27" s="20" t="s">
        <v>42</v>
      </c>
      <c r="BC27" s="20" t="s">
        <v>311</v>
      </c>
      <c r="BD27" s="20">
        <v>1</v>
      </c>
      <c r="BE27" s="20" t="s">
        <v>165</v>
      </c>
      <c r="BF27" s="20" t="s">
        <v>310</v>
      </c>
      <c r="BG27" s="20">
        <v>14</v>
      </c>
      <c r="BH27" s="20" t="s">
        <v>312</v>
      </c>
      <c r="BI27" s="1"/>
      <c r="BJ27">
        <f>+'10% CO Elab'!AA27</f>
        <v>4.4976970070814476E-4</v>
      </c>
      <c r="BK27" s="20">
        <f t="shared" si="15"/>
        <v>7</v>
      </c>
      <c r="BL27" s="20" t="s">
        <v>41</v>
      </c>
      <c r="BM27" s="20" t="str">
        <f t="shared" si="26"/>
        <v>+</v>
      </c>
      <c r="BN27" s="20">
        <f t="shared" si="16"/>
        <v>11</v>
      </c>
      <c r="BO27" s="20" t="str">
        <f t="shared" si="27"/>
        <v>H2</v>
      </c>
      <c r="BP27" s="20" t="str">
        <f t="shared" si="18"/>
        <v>=</v>
      </c>
      <c r="BQ27" s="20">
        <f t="shared" si="5"/>
        <v>1</v>
      </c>
      <c r="BR27" s="20" t="str">
        <f t="shared" si="6"/>
        <v>C7H8</v>
      </c>
      <c r="BS27" s="20" t="str">
        <f t="shared" si="7"/>
        <v>+</v>
      </c>
      <c r="BT27" s="20">
        <f t="shared" si="23"/>
        <v>7</v>
      </c>
      <c r="BU27" s="20" t="str">
        <f t="shared" si="19"/>
        <v>H2O</v>
      </c>
      <c r="BW27">
        <f t="shared" si="20"/>
        <v>9.6740221270233255E-4</v>
      </c>
      <c r="BX27">
        <f t="shared" si="21"/>
        <v>3.1483879049570133E-3</v>
      </c>
    </row>
    <row r="28" spans="5:76" x14ac:dyDescent="0.2">
      <c r="E28">
        <f>+'5% CO Elab'!R28</f>
        <v>23</v>
      </c>
      <c r="F28">
        <f>+'5% CO Elab'!S28</f>
        <v>7</v>
      </c>
      <c r="G28" t="str">
        <f>+'5% CO Elab'!T28</f>
        <v>1c,3-Dimethylcyclopentane</v>
      </c>
      <c r="H28">
        <f>+'5% CO Elab'!U28</f>
        <v>0</v>
      </c>
      <c r="I28" t="str">
        <f>+'5% CO Elab'!V28</f>
        <v>C7-N</v>
      </c>
      <c r="J28">
        <f>+'5% CO Elab'!W28</f>
        <v>2.4547269354730981E-2</v>
      </c>
      <c r="L28">
        <f>+'5% CO Elab'!AB28</f>
        <v>5.1348374804558328E-4</v>
      </c>
      <c r="M28" s="20">
        <v>7</v>
      </c>
      <c r="N28" s="20" t="s">
        <v>309</v>
      </c>
      <c r="O28" s="20" t="s">
        <v>310</v>
      </c>
      <c r="P28" s="20">
        <v>21</v>
      </c>
      <c r="Q28" s="20" t="s">
        <v>42</v>
      </c>
      <c r="R28" s="20" t="s">
        <v>311</v>
      </c>
      <c r="S28" s="20">
        <v>1</v>
      </c>
      <c r="T28" s="20" t="s">
        <v>321</v>
      </c>
      <c r="U28" s="20" t="s">
        <v>310</v>
      </c>
      <c r="V28" s="20">
        <v>14</v>
      </c>
      <c r="W28" s="20" t="s">
        <v>312</v>
      </c>
      <c r="X28" s="1"/>
      <c r="Y28">
        <f>+'5% CO Elab'!AA28</f>
        <v>1.6540524559528387E-3</v>
      </c>
      <c r="Z28" s="20">
        <f t="shared" si="8"/>
        <v>7</v>
      </c>
      <c r="AA28" s="20" t="s">
        <v>41</v>
      </c>
      <c r="AB28" s="20" t="str">
        <f t="shared" si="24"/>
        <v>+</v>
      </c>
      <c r="AC28" s="20">
        <f t="shared" si="9"/>
        <v>14</v>
      </c>
      <c r="AD28" s="20" t="str">
        <f t="shared" si="25"/>
        <v>H2</v>
      </c>
      <c r="AE28" s="20" t="str">
        <f t="shared" si="11"/>
        <v>=</v>
      </c>
      <c r="AF28" s="20">
        <f t="shared" si="1"/>
        <v>1</v>
      </c>
      <c r="AG28" s="20" t="str">
        <f t="shared" si="2"/>
        <v>C7H14</v>
      </c>
      <c r="AH28" s="20" t="str">
        <f t="shared" si="3"/>
        <v>+</v>
      </c>
      <c r="AI28" s="20">
        <f t="shared" si="22"/>
        <v>7</v>
      </c>
      <c r="AJ28" s="20" t="str">
        <f t="shared" si="12"/>
        <v>H2O</v>
      </c>
      <c r="AL28">
        <f t="shared" si="13"/>
        <v>7.188772472638166E-3</v>
      </c>
      <c r="AM28">
        <f t="shared" si="14"/>
        <v>1.157836719166987E-2</v>
      </c>
      <c r="AP28">
        <f>+'10% CO Elab'!S28</f>
        <v>7</v>
      </c>
      <c r="AQ28" t="str">
        <f>+'10% CO Elab'!T28</f>
        <v>1c,3-Dimethylcyclopentane</v>
      </c>
      <c r="AR28">
        <f>+'10% CO Elab'!U28</f>
        <v>0</v>
      </c>
      <c r="AS28" t="str">
        <f>+'10% CO Elab'!V28</f>
        <v>C7-N</v>
      </c>
      <c r="AT28">
        <f>+'10% CO Elab'!W28</f>
        <v>2.7091761597874093E-2</v>
      </c>
      <c r="AU28">
        <f>+'10% CO Elab'!X28</f>
        <v>0.18964233118511864</v>
      </c>
      <c r="AW28">
        <f>+'10% CO Elab'!AB28</f>
        <v>2.8124636558426856E-4</v>
      </c>
      <c r="AX28" s="20">
        <v>7</v>
      </c>
      <c r="AY28" s="20" t="s">
        <v>309</v>
      </c>
      <c r="AZ28" s="20" t="s">
        <v>310</v>
      </c>
      <c r="BA28" s="20">
        <v>21</v>
      </c>
      <c r="BB28" s="20" t="s">
        <v>42</v>
      </c>
      <c r="BC28" s="20" t="s">
        <v>311</v>
      </c>
      <c r="BD28" s="20">
        <v>1</v>
      </c>
      <c r="BE28" s="20" t="s">
        <v>321</v>
      </c>
      <c r="BF28" s="20" t="s">
        <v>310</v>
      </c>
      <c r="BG28" s="20">
        <v>14</v>
      </c>
      <c r="BH28" s="20" t="s">
        <v>312</v>
      </c>
      <c r="BI28" s="1"/>
      <c r="BJ28">
        <f>+'10% CO Elab'!AA28</f>
        <v>1.8306194550561515E-3</v>
      </c>
      <c r="BK28" s="20">
        <f t="shared" si="15"/>
        <v>7</v>
      </c>
      <c r="BL28" s="20" t="s">
        <v>41</v>
      </c>
      <c r="BM28" s="20" t="str">
        <f t="shared" si="26"/>
        <v>+</v>
      </c>
      <c r="BN28" s="20">
        <f t="shared" si="16"/>
        <v>14</v>
      </c>
      <c r="BO28" s="20" t="str">
        <f t="shared" si="27"/>
        <v>H2</v>
      </c>
      <c r="BP28" s="20" t="str">
        <f t="shared" si="18"/>
        <v>=</v>
      </c>
      <c r="BQ28" s="20">
        <f t="shared" si="5"/>
        <v>1</v>
      </c>
      <c r="BR28" s="20" t="str">
        <f t="shared" si="6"/>
        <v>C7H14</v>
      </c>
      <c r="BS28" s="20" t="str">
        <f t="shared" si="7"/>
        <v>+</v>
      </c>
      <c r="BT28" s="20">
        <f t="shared" si="23"/>
        <v>7</v>
      </c>
      <c r="BU28" s="20" t="str">
        <f t="shared" si="19"/>
        <v>H2O</v>
      </c>
      <c r="BW28">
        <f t="shared" si="20"/>
        <v>3.9374491181797602E-3</v>
      </c>
      <c r="BX28">
        <f t="shared" si="21"/>
        <v>1.2814336185393061E-2</v>
      </c>
    </row>
    <row r="29" spans="5:76" x14ac:dyDescent="0.2">
      <c r="E29">
        <f>+'5% CO Elab'!R29</f>
        <v>24</v>
      </c>
      <c r="F29">
        <f>+'5% CO Elab'!S29</f>
        <v>8</v>
      </c>
      <c r="G29" t="str">
        <f>+'5% CO Elab'!T29</f>
        <v>N-OCTANE</v>
      </c>
      <c r="H29" t="str">
        <f>+'5% CO Elab'!U29</f>
        <v>C8H18-1</v>
      </c>
      <c r="I29" t="str">
        <f>+'5% CO Elab'!V29</f>
        <v>C8</v>
      </c>
      <c r="J29">
        <f>+'5% CO Elab'!W29</f>
        <v>1.6684247271973113E-2</v>
      </c>
      <c r="L29">
        <f>+'5% CO Elab'!AB29</f>
        <v>3.9886146420976484E-4</v>
      </c>
      <c r="M29" s="20">
        <v>8</v>
      </c>
      <c r="N29" s="20" t="s">
        <v>309</v>
      </c>
      <c r="O29" s="20" t="s">
        <v>310</v>
      </c>
      <c r="P29" s="20">
        <v>25</v>
      </c>
      <c r="Q29" s="20" t="s">
        <v>42</v>
      </c>
      <c r="R29" s="20" t="s">
        <v>311</v>
      </c>
      <c r="S29" s="20">
        <v>1</v>
      </c>
      <c r="T29" s="20" t="s">
        <v>322</v>
      </c>
      <c r="U29" s="20" t="s">
        <v>310</v>
      </c>
      <c r="V29" s="20">
        <v>16</v>
      </c>
      <c r="W29" s="20" t="s">
        <v>312</v>
      </c>
      <c r="X29" s="1"/>
      <c r="Y29">
        <f>+'5% CO Elab'!AA29</f>
        <v>1.2848270017740467E-3</v>
      </c>
      <c r="Z29" s="20">
        <f t="shared" si="8"/>
        <v>8</v>
      </c>
      <c r="AA29" s="20" t="s">
        <v>41</v>
      </c>
      <c r="AB29" s="20" t="str">
        <f t="shared" si="24"/>
        <v>+</v>
      </c>
      <c r="AC29" s="20">
        <f t="shared" si="9"/>
        <v>17</v>
      </c>
      <c r="AD29" s="20" t="str">
        <f t="shared" si="25"/>
        <v>H2</v>
      </c>
      <c r="AE29" s="20" t="str">
        <f t="shared" si="11"/>
        <v>=</v>
      </c>
      <c r="AF29" s="20">
        <f t="shared" si="1"/>
        <v>1</v>
      </c>
      <c r="AG29" s="20" t="str">
        <f t="shared" si="2"/>
        <v>C8H18</v>
      </c>
      <c r="AH29" s="20" t="str">
        <f t="shared" si="3"/>
        <v>+</v>
      </c>
      <c r="AI29" s="20">
        <f t="shared" si="22"/>
        <v>8</v>
      </c>
      <c r="AJ29" s="20" t="str">
        <f t="shared" si="12"/>
        <v>H2O</v>
      </c>
      <c r="AL29">
        <f t="shared" si="13"/>
        <v>6.3817834273562375E-3</v>
      </c>
      <c r="AM29">
        <f t="shared" si="14"/>
        <v>1.0278616014192374E-2</v>
      </c>
      <c r="AP29">
        <f>+'10% CO Elab'!S29</f>
        <v>8</v>
      </c>
      <c r="AQ29" t="str">
        <f>+'10% CO Elab'!T29</f>
        <v>N-OCTANE</v>
      </c>
      <c r="AR29" t="str">
        <f>+'10% CO Elab'!U29</f>
        <v>C8H18-1</v>
      </c>
      <c r="AS29" t="str">
        <f>+'10% CO Elab'!V29</f>
        <v>C8</v>
      </c>
      <c r="AT29">
        <f>+'10% CO Elab'!W29</f>
        <v>2.505445756812455E-2</v>
      </c>
      <c r="AU29">
        <f>+'10% CO Elab'!X29</f>
        <v>0.2004356605449964</v>
      </c>
      <c r="AW29">
        <f>+'10% CO Elab'!AB29</f>
        <v>2.9725325938297656E-4</v>
      </c>
      <c r="AX29" s="20">
        <v>8</v>
      </c>
      <c r="AY29" s="20" t="s">
        <v>309</v>
      </c>
      <c r="AZ29" s="20" t="s">
        <v>310</v>
      </c>
      <c r="BA29" s="20">
        <v>25</v>
      </c>
      <c r="BB29" s="20" t="s">
        <v>42</v>
      </c>
      <c r="BC29" s="20" t="s">
        <v>311</v>
      </c>
      <c r="BD29" s="20">
        <v>1</v>
      </c>
      <c r="BE29" s="20" t="s">
        <v>322</v>
      </c>
      <c r="BF29" s="20" t="s">
        <v>310</v>
      </c>
      <c r="BG29" s="20">
        <v>16</v>
      </c>
      <c r="BH29" s="20" t="s">
        <v>312</v>
      </c>
      <c r="BI29" s="1"/>
      <c r="BJ29">
        <f>+'10% CO Elab'!AA29</f>
        <v>1.9348075790237575E-3</v>
      </c>
      <c r="BK29" s="20">
        <f t="shared" si="15"/>
        <v>8</v>
      </c>
      <c r="BL29" s="20" t="s">
        <v>41</v>
      </c>
      <c r="BM29" s="20" t="str">
        <f t="shared" si="26"/>
        <v>+</v>
      </c>
      <c r="BN29" s="20">
        <f t="shared" si="16"/>
        <v>17</v>
      </c>
      <c r="BO29" s="20" t="str">
        <f t="shared" si="27"/>
        <v>H2</v>
      </c>
      <c r="BP29" s="20" t="str">
        <f t="shared" si="18"/>
        <v>=</v>
      </c>
      <c r="BQ29" s="20">
        <f t="shared" si="5"/>
        <v>1</v>
      </c>
      <c r="BR29" s="20" t="str">
        <f t="shared" si="6"/>
        <v>C8H18</v>
      </c>
      <c r="BS29" s="20" t="str">
        <f t="shared" si="7"/>
        <v>+</v>
      </c>
      <c r="BT29" s="20">
        <f t="shared" si="23"/>
        <v>8</v>
      </c>
      <c r="BU29" s="20" t="str">
        <f t="shared" si="19"/>
        <v>H2O</v>
      </c>
      <c r="BW29">
        <f t="shared" si="20"/>
        <v>4.7560521501276249E-3</v>
      </c>
      <c r="BX29">
        <f t="shared" si="21"/>
        <v>1.547846063219006E-2</v>
      </c>
    </row>
    <row r="30" spans="5:76" x14ac:dyDescent="0.2">
      <c r="E30">
        <f>+'5% CO Elab'!R30</f>
        <v>25</v>
      </c>
      <c r="F30">
        <f>+'5% CO Elab'!S30</f>
        <v>8</v>
      </c>
      <c r="G30" t="str">
        <f>+'5% CO Elab'!T30</f>
        <v>2,2,4-TRIMETHYLPENTANE</v>
      </c>
      <c r="H30" t="str">
        <f>+'5% CO Elab'!U30</f>
        <v>C8H18-13</v>
      </c>
      <c r="I30" t="str">
        <f>+'5% CO Elab'!V30</f>
        <v>C8-IP</v>
      </c>
      <c r="J30">
        <f>+'5% CO Elab'!W30</f>
        <v>9.6330973754236632E-2</v>
      </c>
      <c r="L30">
        <f>+'5% CO Elab'!AB30</f>
        <v>2.3029335764467667E-3</v>
      </c>
      <c r="M30" s="20">
        <v>8</v>
      </c>
      <c r="N30" s="20" t="s">
        <v>309</v>
      </c>
      <c r="O30" s="20" t="s">
        <v>310</v>
      </c>
      <c r="P30" s="20">
        <v>25</v>
      </c>
      <c r="Q30" s="20" t="s">
        <v>42</v>
      </c>
      <c r="R30" s="20" t="s">
        <v>311</v>
      </c>
      <c r="S30" s="20">
        <v>1</v>
      </c>
      <c r="T30" s="20" t="s">
        <v>322</v>
      </c>
      <c r="U30" s="20" t="s">
        <v>310</v>
      </c>
      <c r="V30" s="20">
        <v>16</v>
      </c>
      <c r="W30" s="20" t="s">
        <v>312</v>
      </c>
      <c r="X30" s="1"/>
      <c r="Y30">
        <f>+'5% CO Elab'!AA30</f>
        <v>7.4182930862300208E-3</v>
      </c>
      <c r="Z30" s="20">
        <f t="shared" si="8"/>
        <v>8</v>
      </c>
      <c r="AA30" s="20" t="s">
        <v>41</v>
      </c>
      <c r="AB30" s="20" t="str">
        <f t="shared" si="24"/>
        <v>+</v>
      </c>
      <c r="AC30" s="20">
        <f t="shared" si="9"/>
        <v>17</v>
      </c>
      <c r="AD30" s="20" t="str">
        <f t="shared" si="25"/>
        <v>H2</v>
      </c>
      <c r="AE30" s="20" t="str">
        <f t="shared" si="11"/>
        <v>=</v>
      </c>
      <c r="AF30" s="20">
        <f t="shared" si="1"/>
        <v>1</v>
      </c>
      <c r="AG30" s="20" t="str">
        <f t="shared" si="2"/>
        <v>C8H18</v>
      </c>
      <c r="AH30" s="20" t="str">
        <f t="shared" si="3"/>
        <v>+</v>
      </c>
      <c r="AI30" s="20">
        <f t="shared" si="22"/>
        <v>8</v>
      </c>
      <c r="AJ30" s="20" t="str">
        <f t="shared" si="12"/>
        <v>H2O</v>
      </c>
      <c r="AL30">
        <f t="shared" si="13"/>
        <v>3.6846937223148267E-2</v>
      </c>
      <c r="AM30">
        <f t="shared" si="14"/>
        <v>5.9346344689840166E-2</v>
      </c>
      <c r="AP30">
        <f>+'10% CO Elab'!S30</f>
        <v>8</v>
      </c>
      <c r="AQ30" t="str">
        <f>+'10% CO Elab'!T30</f>
        <v>2,2,4-TRIMETHYLPENTANE</v>
      </c>
      <c r="AR30" t="str">
        <f>+'10% CO Elab'!U30</f>
        <v>C8H18-13</v>
      </c>
      <c r="AS30" t="str">
        <f>+'10% CO Elab'!V30</f>
        <v>C8-IP</v>
      </c>
      <c r="AT30">
        <f>+'10% CO Elab'!W30</f>
        <v>0.10631633758228447</v>
      </c>
      <c r="AU30">
        <f>+'10% CO Elab'!X30</f>
        <v>0.85053070065827574</v>
      </c>
      <c r="AW30">
        <f>+'10% CO Elab'!AB30</f>
        <v>1.2613674746725133E-3</v>
      </c>
      <c r="AX30" s="20">
        <v>8</v>
      </c>
      <c r="AY30" s="20" t="s">
        <v>309</v>
      </c>
      <c r="AZ30" s="20" t="s">
        <v>310</v>
      </c>
      <c r="BA30" s="20">
        <v>25</v>
      </c>
      <c r="BB30" s="20" t="s">
        <v>42</v>
      </c>
      <c r="BC30" s="20" t="s">
        <v>311</v>
      </c>
      <c r="BD30" s="20">
        <v>1</v>
      </c>
      <c r="BE30" s="20" t="s">
        <v>322</v>
      </c>
      <c r="BF30" s="20" t="s">
        <v>310</v>
      </c>
      <c r="BG30" s="20">
        <v>16</v>
      </c>
      <c r="BH30" s="20" t="s">
        <v>312</v>
      </c>
      <c r="BI30" s="1"/>
      <c r="BJ30">
        <f>+'10% CO Elab'!AA30</f>
        <v>8.2101819673779559E-3</v>
      </c>
      <c r="BK30" s="20">
        <f t="shared" si="15"/>
        <v>8</v>
      </c>
      <c r="BL30" s="20" t="s">
        <v>41</v>
      </c>
      <c r="BM30" s="20" t="str">
        <f t="shared" si="26"/>
        <v>+</v>
      </c>
      <c r="BN30" s="20">
        <f t="shared" si="16"/>
        <v>17</v>
      </c>
      <c r="BO30" s="20" t="str">
        <f t="shared" si="27"/>
        <v>H2</v>
      </c>
      <c r="BP30" s="20" t="str">
        <f t="shared" si="18"/>
        <v>=</v>
      </c>
      <c r="BQ30" s="20">
        <f t="shared" si="5"/>
        <v>1</v>
      </c>
      <c r="BR30" s="20" t="str">
        <f t="shared" si="6"/>
        <v>C8H18</v>
      </c>
      <c r="BS30" s="20" t="str">
        <f t="shared" si="7"/>
        <v>+</v>
      </c>
      <c r="BT30" s="20">
        <f t="shared" si="23"/>
        <v>8</v>
      </c>
      <c r="BU30" s="20" t="str">
        <f t="shared" si="19"/>
        <v>H2O</v>
      </c>
      <c r="BW30">
        <f t="shared" si="20"/>
        <v>2.0181879594760213E-2</v>
      </c>
      <c r="BX30">
        <f t="shared" si="21"/>
        <v>6.5681455739023648E-2</v>
      </c>
    </row>
    <row r="31" spans="5:76" x14ac:dyDescent="0.2">
      <c r="E31">
        <f>+'5% CO Elab'!R31</f>
        <v>26</v>
      </c>
      <c r="F31">
        <f>+'5% CO Elab'!S31</f>
        <v>8</v>
      </c>
      <c r="G31" t="str">
        <f>+'5% CO Elab'!T31</f>
        <v>1-OCTENE</v>
      </c>
      <c r="H31" t="str">
        <f>+'5% CO Elab'!U31</f>
        <v>C8H16-16</v>
      </c>
      <c r="I31" t="str">
        <f>+'5% CO Elab'!V31</f>
        <v>C8-O</v>
      </c>
      <c r="J31">
        <f>+'5% CO Elab'!W31</f>
        <v>0.26445693023067812</v>
      </c>
      <c r="L31">
        <f>+'5% CO Elab'!AB31</f>
        <v>6.3222317850335609E-3</v>
      </c>
      <c r="M31" s="20">
        <v>8</v>
      </c>
      <c r="N31" s="20" t="s">
        <v>309</v>
      </c>
      <c r="O31" s="20" t="s">
        <v>310</v>
      </c>
      <c r="P31" s="20">
        <v>24</v>
      </c>
      <c r="Q31" s="20" t="s">
        <v>42</v>
      </c>
      <c r="R31" s="20" t="s">
        <v>311</v>
      </c>
      <c r="S31" s="20">
        <v>1</v>
      </c>
      <c r="T31" s="20" t="s">
        <v>323</v>
      </c>
      <c r="U31" s="20" t="s">
        <v>310</v>
      </c>
      <c r="V31" s="20">
        <v>16</v>
      </c>
      <c r="W31" s="20" t="s">
        <v>312</v>
      </c>
      <c r="X31" s="1"/>
      <c r="Y31">
        <f>+'5% CO Elab'!AA31</f>
        <v>2.0365402120204084E-2</v>
      </c>
      <c r="Z31" s="20">
        <f t="shared" si="8"/>
        <v>8</v>
      </c>
      <c r="AA31" s="20" t="s">
        <v>41</v>
      </c>
      <c r="AB31" s="20" t="str">
        <f t="shared" si="24"/>
        <v>+</v>
      </c>
      <c r="AC31" s="20">
        <f t="shared" si="9"/>
        <v>16</v>
      </c>
      <c r="AD31" s="20" t="str">
        <f t="shared" si="25"/>
        <v>H2</v>
      </c>
      <c r="AE31" s="20" t="str">
        <f t="shared" si="11"/>
        <v>=</v>
      </c>
      <c r="AF31" s="20">
        <f t="shared" si="1"/>
        <v>1</v>
      </c>
      <c r="AG31" s="20" t="str">
        <f t="shared" si="2"/>
        <v>C8H16</v>
      </c>
      <c r="AH31" s="20" t="str">
        <f t="shared" si="3"/>
        <v>+</v>
      </c>
      <c r="AI31" s="20">
        <f t="shared" si="22"/>
        <v>8</v>
      </c>
      <c r="AJ31" s="20" t="str">
        <f t="shared" si="12"/>
        <v>H2O</v>
      </c>
      <c r="AL31">
        <f t="shared" si="13"/>
        <v>0.10115570856053697</v>
      </c>
      <c r="AM31">
        <f t="shared" si="14"/>
        <v>0.16292321696163267</v>
      </c>
      <c r="AP31">
        <f>+'10% CO Elab'!S31</f>
        <v>8</v>
      </c>
      <c r="AQ31" t="str">
        <f>+'10% CO Elab'!T31</f>
        <v>1-OCTENE</v>
      </c>
      <c r="AR31" t="str">
        <f>+'10% CO Elab'!U31</f>
        <v>C8H16-16</v>
      </c>
      <c r="AS31" t="str">
        <f>+'10% CO Elab'!V31</f>
        <v>C8-O</v>
      </c>
      <c r="AT31">
        <f>+'10% CO Elab'!W31</f>
        <v>0.29186969854691081</v>
      </c>
      <c r="AU31">
        <f>+'10% CO Elab'!X31</f>
        <v>2.3349575883752864</v>
      </c>
      <c r="AW31">
        <f>+'10% CO Elab'!AB31</f>
        <v>3.4628256857005429E-3</v>
      </c>
      <c r="AX31" s="20">
        <v>8</v>
      </c>
      <c r="AY31" s="20" t="s">
        <v>309</v>
      </c>
      <c r="AZ31" s="20" t="s">
        <v>310</v>
      </c>
      <c r="BA31" s="20">
        <v>24</v>
      </c>
      <c r="BB31" s="20" t="s">
        <v>42</v>
      </c>
      <c r="BC31" s="20" t="s">
        <v>311</v>
      </c>
      <c r="BD31" s="20">
        <v>1</v>
      </c>
      <c r="BE31" s="20" t="s">
        <v>323</v>
      </c>
      <c r="BF31" s="20" t="s">
        <v>310</v>
      </c>
      <c r="BG31" s="20">
        <v>16</v>
      </c>
      <c r="BH31" s="20" t="s">
        <v>312</v>
      </c>
      <c r="BI31" s="1"/>
      <c r="BJ31">
        <f>+'10% CO Elab'!AA31</f>
        <v>2.2539370620994609E-2</v>
      </c>
      <c r="BK31" s="20">
        <f t="shared" si="15"/>
        <v>8</v>
      </c>
      <c r="BL31" s="20" t="s">
        <v>41</v>
      </c>
      <c r="BM31" s="20" t="str">
        <f t="shared" si="26"/>
        <v>+</v>
      </c>
      <c r="BN31" s="20">
        <f t="shared" si="16"/>
        <v>16</v>
      </c>
      <c r="BO31" s="20" t="str">
        <f t="shared" si="27"/>
        <v>H2</v>
      </c>
      <c r="BP31" s="20" t="str">
        <f t="shared" si="18"/>
        <v>=</v>
      </c>
      <c r="BQ31" s="20">
        <f t="shared" si="5"/>
        <v>1</v>
      </c>
      <c r="BR31" s="20" t="str">
        <f t="shared" si="6"/>
        <v>C8H16</v>
      </c>
      <c r="BS31" s="20" t="str">
        <f t="shared" si="7"/>
        <v>+</v>
      </c>
      <c r="BT31" s="20">
        <f t="shared" si="23"/>
        <v>8</v>
      </c>
      <c r="BU31" s="20" t="str">
        <f t="shared" si="19"/>
        <v>H2O</v>
      </c>
      <c r="BW31">
        <f t="shared" si="20"/>
        <v>5.5405210971208686E-2</v>
      </c>
      <c r="BX31">
        <f t="shared" si="21"/>
        <v>0.18031496496795688</v>
      </c>
    </row>
    <row r="32" spans="5:76" x14ac:dyDescent="0.2">
      <c r="E32">
        <f>+'5% CO Elab'!R32</f>
        <v>27</v>
      </c>
      <c r="F32">
        <f>+'5% CO Elab'!S32</f>
        <v>8</v>
      </c>
      <c r="G32" t="str">
        <f>+'5% CO Elab'!T32</f>
        <v>1-METHYL-1-ETHYLCYCLOPENTANE</v>
      </c>
      <c r="H32" t="str">
        <f>+'5% CO Elab'!U32</f>
        <v>C8H16-13</v>
      </c>
      <c r="I32" t="str">
        <f>+'5% CO Elab'!V32</f>
        <v>C8-N</v>
      </c>
      <c r="J32">
        <f>+'5% CO Elab'!W32</f>
        <v>4.3241089228595722E-2</v>
      </c>
      <c r="L32">
        <f>+'5% CO Elab'!AB32</f>
        <v>1.0337418214075109E-3</v>
      </c>
      <c r="M32" s="20">
        <v>8</v>
      </c>
      <c r="N32" s="20" t="s">
        <v>309</v>
      </c>
      <c r="O32" s="20" t="s">
        <v>310</v>
      </c>
      <c r="P32" s="20">
        <v>24</v>
      </c>
      <c r="Q32" s="20" t="s">
        <v>42</v>
      </c>
      <c r="R32" s="20" t="s">
        <v>311</v>
      </c>
      <c r="S32" s="20">
        <v>1</v>
      </c>
      <c r="T32" s="20" t="s">
        <v>323</v>
      </c>
      <c r="U32" s="20" t="s">
        <v>310</v>
      </c>
      <c r="V32" s="20">
        <v>16</v>
      </c>
      <c r="W32" s="20" t="s">
        <v>312</v>
      </c>
      <c r="X32" s="1"/>
      <c r="Y32">
        <f>+'5% CO Elab'!AA32</f>
        <v>3.3299266140911338E-3</v>
      </c>
      <c r="Z32" s="20">
        <f t="shared" si="8"/>
        <v>8</v>
      </c>
      <c r="AA32" s="20" t="s">
        <v>41</v>
      </c>
      <c r="AB32" s="20" t="str">
        <f t="shared" si="24"/>
        <v>+</v>
      </c>
      <c r="AC32" s="20">
        <f t="shared" si="9"/>
        <v>16</v>
      </c>
      <c r="AD32" s="20" t="str">
        <f t="shared" si="25"/>
        <v>H2</v>
      </c>
      <c r="AE32" s="20" t="str">
        <f t="shared" si="11"/>
        <v>=</v>
      </c>
      <c r="AF32" s="20">
        <f t="shared" si="1"/>
        <v>1</v>
      </c>
      <c r="AG32" s="20" t="str">
        <f t="shared" si="2"/>
        <v>C8H16</v>
      </c>
      <c r="AH32" s="20" t="str">
        <f t="shared" si="3"/>
        <v>+</v>
      </c>
      <c r="AI32" s="20">
        <f t="shared" si="22"/>
        <v>8</v>
      </c>
      <c r="AJ32" s="20" t="str">
        <f t="shared" si="12"/>
        <v>H2O</v>
      </c>
      <c r="AL32">
        <f t="shared" si="13"/>
        <v>1.6539869142520175E-2</v>
      </c>
      <c r="AM32">
        <f t="shared" si="14"/>
        <v>2.6639412912729071E-2</v>
      </c>
      <c r="AP32">
        <f>+'10% CO Elab'!S32</f>
        <v>8</v>
      </c>
      <c r="AQ32" t="str">
        <f>+'10% CO Elab'!T32</f>
        <v>1-METHYL-1-ETHYLCYCLOPENTANE</v>
      </c>
      <c r="AR32" t="str">
        <f>+'10% CO Elab'!U32</f>
        <v>C8H16-13</v>
      </c>
      <c r="AS32" t="str">
        <f>+'10% CO Elab'!V32</f>
        <v>C8-N</v>
      </c>
      <c r="AT32">
        <f>+'10% CO Elab'!W32</f>
        <v>4.7723323669308183E-2</v>
      </c>
      <c r="AU32">
        <f>+'10% CO Elab'!X32</f>
        <v>0.38178658935446547</v>
      </c>
      <c r="AW32">
        <f>+'10% CO Elab'!AB32</f>
        <v>5.6620317844512384E-4</v>
      </c>
      <c r="AX32" s="20">
        <v>8</v>
      </c>
      <c r="AY32" s="20" t="s">
        <v>309</v>
      </c>
      <c r="AZ32" s="20" t="s">
        <v>310</v>
      </c>
      <c r="BA32" s="20">
        <v>24</v>
      </c>
      <c r="BB32" s="20" t="s">
        <v>42</v>
      </c>
      <c r="BC32" s="20" t="s">
        <v>311</v>
      </c>
      <c r="BD32" s="20">
        <v>1</v>
      </c>
      <c r="BE32" s="20" t="s">
        <v>323</v>
      </c>
      <c r="BF32" s="20" t="s">
        <v>310</v>
      </c>
      <c r="BG32" s="20">
        <v>16</v>
      </c>
      <c r="BH32" s="20" t="s">
        <v>312</v>
      </c>
      <c r="BI32" s="1"/>
      <c r="BJ32">
        <f>+'10% CO Elab'!AA32</f>
        <v>3.6853900381006383E-3</v>
      </c>
      <c r="BK32" s="20">
        <f t="shared" si="15"/>
        <v>8</v>
      </c>
      <c r="BL32" s="20" t="s">
        <v>41</v>
      </c>
      <c r="BM32" s="20" t="str">
        <f t="shared" si="26"/>
        <v>+</v>
      </c>
      <c r="BN32" s="20">
        <f t="shared" si="16"/>
        <v>16</v>
      </c>
      <c r="BO32" s="20" t="str">
        <f t="shared" si="27"/>
        <v>H2</v>
      </c>
      <c r="BP32" s="20" t="str">
        <f t="shared" si="18"/>
        <v>=</v>
      </c>
      <c r="BQ32" s="20">
        <f t="shared" si="5"/>
        <v>1</v>
      </c>
      <c r="BR32" s="20" t="str">
        <f t="shared" si="6"/>
        <v>C8H16</v>
      </c>
      <c r="BS32" s="20" t="str">
        <f t="shared" si="7"/>
        <v>+</v>
      </c>
      <c r="BT32" s="20">
        <f t="shared" si="23"/>
        <v>8</v>
      </c>
      <c r="BU32" s="20" t="str">
        <f t="shared" si="19"/>
        <v>H2O</v>
      </c>
      <c r="BW32">
        <f t="shared" si="20"/>
        <v>9.0592508551219815E-3</v>
      </c>
      <c r="BX32">
        <f t="shared" si="21"/>
        <v>2.9483120304805106E-2</v>
      </c>
    </row>
    <row r="33" spans="5:76" x14ac:dyDescent="0.2">
      <c r="E33">
        <f>+'5% CO Elab'!R33</f>
        <v>28</v>
      </c>
      <c r="F33">
        <f>+'5% CO Elab'!S33</f>
        <v>8</v>
      </c>
      <c r="G33" t="str">
        <f>+'5% CO Elab'!T33</f>
        <v>M-XYLENE</v>
      </c>
      <c r="H33" t="str">
        <f>+'5% CO Elab'!U33</f>
        <v>C8H10-2</v>
      </c>
      <c r="I33" t="str">
        <f>+'5% CO Elab'!V33</f>
        <v>C8-A</v>
      </c>
      <c r="J33">
        <f>+'5% CO Elab'!W33</f>
        <v>9.2257204393543152E-2</v>
      </c>
      <c r="L33">
        <f>+'5% CO Elab'!AB33</f>
        <v>2.2055441296487321E-3</v>
      </c>
      <c r="M33" s="20">
        <v>8</v>
      </c>
      <c r="N33" s="20" t="s">
        <v>309</v>
      </c>
      <c r="O33" s="20" t="s">
        <v>310</v>
      </c>
      <c r="P33" s="20">
        <v>21</v>
      </c>
      <c r="Q33" s="20" t="s">
        <v>42</v>
      </c>
      <c r="R33" s="20" t="s">
        <v>311</v>
      </c>
      <c r="S33" s="20">
        <v>1</v>
      </c>
      <c r="T33" s="20" t="s">
        <v>324</v>
      </c>
      <c r="U33" s="20" t="s">
        <v>310</v>
      </c>
      <c r="V33" s="20">
        <v>16</v>
      </c>
      <c r="W33" s="20" t="s">
        <v>312</v>
      </c>
      <c r="X33" s="1"/>
      <c r="Y33">
        <f>+'5% CO Elab'!AA33</f>
        <v>7.1045786711714997E-3</v>
      </c>
      <c r="Z33" s="20">
        <f t="shared" si="8"/>
        <v>8</v>
      </c>
      <c r="AA33" s="20" t="s">
        <v>41</v>
      </c>
      <c r="AB33" s="20" t="str">
        <f t="shared" si="24"/>
        <v>+</v>
      </c>
      <c r="AC33" s="20">
        <f t="shared" si="9"/>
        <v>13</v>
      </c>
      <c r="AD33" s="20" t="str">
        <f t="shared" si="25"/>
        <v>H2</v>
      </c>
      <c r="AE33" s="20" t="str">
        <f t="shared" si="11"/>
        <v>=</v>
      </c>
      <c r="AF33" s="20">
        <f t="shared" si="1"/>
        <v>1</v>
      </c>
      <c r="AG33" s="20" t="str">
        <f t="shared" si="2"/>
        <v>C8H10</v>
      </c>
      <c r="AH33" s="20" t="str">
        <f t="shared" si="3"/>
        <v>+</v>
      </c>
      <c r="AI33" s="20">
        <f t="shared" si="22"/>
        <v>8</v>
      </c>
      <c r="AJ33" s="20" t="str">
        <f t="shared" si="12"/>
        <v>H2O</v>
      </c>
      <c r="AL33">
        <f t="shared" si="13"/>
        <v>3.5288706074379714E-2</v>
      </c>
      <c r="AM33">
        <f t="shared" si="14"/>
        <v>5.6836629369371998E-2</v>
      </c>
      <c r="AP33">
        <f>+'10% CO Elab'!S33</f>
        <v>8</v>
      </c>
      <c r="AQ33" t="str">
        <f>+'10% CO Elab'!T33</f>
        <v>M-XYLENE</v>
      </c>
      <c r="AR33" t="str">
        <f>+'10% CO Elab'!U33</f>
        <v>C8H10-2</v>
      </c>
      <c r="AS33" t="str">
        <f>+'10% CO Elab'!V33</f>
        <v>C8-A</v>
      </c>
      <c r="AT33">
        <f>+'10% CO Elab'!W33</f>
        <v>9.0382566172806364E-2</v>
      </c>
      <c r="AU33">
        <f>+'10% CO Elab'!X33</f>
        <v>0.72306052938245091</v>
      </c>
      <c r="AW33">
        <f>+'10% CO Elab'!AB33</f>
        <v>1.0723246477483146E-3</v>
      </c>
      <c r="AX33" s="20">
        <v>8</v>
      </c>
      <c r="AY33" s="20" t="s">
        <v>309</v>
      </c>
      <c r="AZ33" s="20" t="s">
        <v>310</v>
      </c>
      <c r="BA33" s="20">
        <v>21</v>
      </c>
      <c r="BB33" s="20" t="s">
        <v>42</v>
      </c>
      <c r="BC33" s="20" t="s">
        <v>311</v>
      </c>
      <c r="BD33" s="20">
        <v>1</v>
      </c>
      <c r="BE33" s="20" t="s">
        <v>324</v>
      </c>
      <c r="BF33" s="20" t="s">
        <v>310</v>
      </c>
      <c r="BG33" s="20">
        <v>16</v>
      </c>
      <c r="BH33" s="20" t="s">
        <v>312</v>
      </c>
      <c r="BI33" s="1"/>
      <c r="BJ33">
        <f>+'10% CO Elab'!AA33</f>
        <v>6.979711038136523E-3</v>
      </c>
      <c r="BK33" s="20">
        <f t="shared" si="15"/>
        <v>8</v>
      </c>
      <c r="BL33" s="20" t="s">
        <v>41</v>
      </c>
      <c r="BM33" s="20" t="str">
        <f t="shared" si="26"/>
        <v>+</v>
      </c>
      <c r="BN33" s="20">
        <f t="shared" si="16"/>
        <v>13</v>
      </c>
      <c r="BO33" s="20" t="str">
        <f t="shared" si="27"/>
        <v>H2</v>
      </c>
      <c r="BP33" s="20" t="str">
        <f t="shared" si="18"/>
        <v>=</v>
      </c>
      <c r="BQ33" s="20">
        <f t="shared" si="5"/>
        <v>1</v>
      </c>
      <c r="BR33" s="20" t="str">
        <f t="shared" si="6"/>
        <v>C8H10</v>
      </c>
      <c r="BS33" s="20" t="str">
        <f t="shared" si="7"/>
        <v>+</v>
      </c>
      <c r="BT33" s="20">
        <f t="shared" si="23"/>
        <v>8</v>
      </c>
      <c r="BU33" s="20" t="str">
        <f t="shared" si="19"/>
        <v>H2O</v>
      </c>
      <c r="BW33">
        <f t="shared" si="20"/>
        <v>1.7157194363973033E-2</v>
      </c>
      <c r="BX33">
        <f t="shared" si="21"/>
        <v>5.5837688305092184E-2</v>
      </c>
    </row>
    <row r="34" spans="5:76" x14ac:dyDescent="0.2">
      <c r="E34">
        <f>+'5% CO Elab'!R34</f>
        <v>29</v>
      </c>
      <c r="F34">
        <f>+'5% CO Elab'!S34</f>
        <v>9</v>
      </c>
      <c r="G34" t="str">
        <f>+'5% CO Elab'!T34</f>
        <v>N-NONANE</v>
      </c>
      <c r="H34" t="str">
        <f>+'5% CO Elab'!U34</f>
        <v>C9H20-1</v>
      </c>
      <c r="I34" t="str">
        <f>+'5% CO Elab'!V34</f>
        <v>C9</v>
      </c>
      <c r="J34">
        <f>+'5% CO Elab'!W34</f>
        <v>3.9737779222589045E-2</v>
      </c>
      <c r="L34">
        <f>+'5% CO Elab'!AB34</f>
        <v>1.0687387998477725E-3</v>
      </c>
      <c r="M34" s="20">
        <v>9</v>
      </c>
      <c r="N34" s="20" t="s">
        <v>309</v>
      </c>
      <c r="O34" s="20" t="s">
        <v>310</v>
      </c>
      <c r="P34" s="20">
        <v>28</v>
      </c>
      <c r="Q34" s="20" t="s">
        <v>42</v>
      </c>
      <c r="R34" s="20" t="s">
        <v>311</v>
      </c>
      <c r="S34" s="20">
        <v>1</v>
      </c>
      <c r="T34" s="20" t="s">
        <v>325</v>
      </c>
      <c r="U34" s="20" t="s">
        <v>310</v>
      </c>
      <c r="V34" s="20">
        <v>18</v>
      </c>
      <c r="W34" s="20" t="s">
        <v>312</v>
      </c>
      <c r="X34" s="1"/>
      <c r="Y34">
        <f>+'5% CO Elab'!AA34</f>
        <v>3.4426601492037277E-3</v>
      </c>
      <c r="Z34" s="20">
        <f t="shared" si="8"/>
        <v>9</v>
      </c>
      <c r="AA34" s="20" t="s">
        <v>41</v>
      </c>
      <c r="AB34" s="20" t="str">
        <f t="shared" si="24"/>
        <v>+</v>
      </c>
      <c r="AC34" s="20">
        <f t="shared" si="9"/>
        <v>19</v>
      </c>
      <c r="AD34" s="20" t="str">
        <f t="shared" si="25"/>
        <v>H2</v>
      </c>
      <c r="AE34" s="20" t="str">
        <f t="shared" si="11"/>
        <v>=</v>
      </c>
      <c r="AF34" s="20">
        <f t="shared" si="1"/>
        <v>1</v>
      </c>
      <c r="AG34" s="20" t="str">
        <f t="shared" si="2"/>
        <v>C9H20</v>
      </c>
      <c r="AH34" s="20" t="str">
        <f t="shared" si="3"/>
        <v>+</v>
      </c>
      <c r="AI34" s="20">
        <f t="shared" si="22"/>
        <v>9</v>
      </c>
      <c r="AJ34" s="20" t="str">
        <f t="shared" si="12"/>
        <v>H2O</v>
      </c>
      <c r="AL34">
        <f t="shared" si="13"/>
        <v>1.9237298397259905E-2</v>
      </c>
      <c r="AM34">
        <f t="shared" si="14"/>
        <v>3.0983941342833547E-2</v>
      </c>
      <c r="AP34">
        <f>+'10% CO Elab'!S34</f>
        <v>9</v>
      </c>
      <c r="AQ34" t="str">
        <f>+'10% CO Elab'!T34</f>
        <v>N-NONANE</v>
      </c>
      <c r="AR34" t="str">
        <f>+'10% CO Elab'!U34</f>
        <v>C9H20-1</v>
      </c>
      <c r="AS34" t="str">
        <f>+'10% CO Elab'!V34</f>
        <v>C9</v>
      </c>
      <c r="AT34">
        <f>+'10% CO Elab'!W34</f>
        <v>5.2091431438708896E-2</v>
      </c>
      <c r="AU34">
        <f>+'10% CO Elab'!X34</f>
        <v>0.46882288294838004</v>
      </c>
      <c r="AW34">
        <f>+'10% CO Elab'!AB34</f>
        <v>6.9528111739599599E-4</v>
      </c>
      <c r="AX34" s="20">
        <v>9</v>
      </c>
      <c r="AY34" s="20" t="s">
        <v>309</v>
      </c>
      <c r="AZ34" s="20" t="s">
        <v>310</v>
      </c>
      <c r="BA34" s="20">
        <v>28</v>
      </c>
      <c r="BB34" s="20" t="s">
        <v>42</v>
      </c>
      <c r="BC34" s="20" t="s">
        <v>311</v>
      </c>
      <c r="BD34" s="20">
        <v>1</v>
      </c>
      <c r="BE34" s="20" t="s">
        <v>325</v>
      </c>
      <c r="BF34" s="20" t="s">
        <v>310</v>
      </c>
      <c r="BG34" s="20">
        <v>18</v>
      </c>
      <c r="BH34" s="20" t="s">
        <v>312</v>
      </c>
      <c r="BI34" s="1"/>
      <c r="BJ34">
        <f>+'10% CO Elab'!AA34</f>
        <v>4.5255523128064339E-3</v>
      </c>
      <c r="BK34" s="20">
        <f t="shared" si="15"/>
        <v>9</v>
      </c>
      <c r="BL34" s="20" t="s">
        <v>41</v>
      </c>
      <c r="BM34" s="20" t="str">
        <f t="shared" si="26"/>
        <v>+</v>
      </c>
      <c r="BN34" s="20">
        <f t="shared" si="16"/>
        <v>19</v>
      </c>
      <c r="BO34" s="20" t="str">
        <f t="shared" si="27"/>
        <v>H2</v>
      </c>
      <c r="BP34" s="20" t="str">
        <f t="shared" si="18"/>
        <v>=</v>
      </c>
      <c r="BQ34" s="20">
        <f t="shared" si="5"/>
        <v>1</v>
      </c>
      <c r="BR34" s="20" t="str">
        <f t="shared" si="6"/>
        <v>C9H20</v>
      </c>
      <c r="BS34" s="20" t="str">
        <f t="shared" si="7"/>
        <v>+</v>
      </c>
      <c r="BT34" s="20">
        <f t="shared" si="23"/>
        <v>9</v>
      </c>
      <c r="BU34" s="20" t="str">
        <f t="shared" si="19"/>
        <v>H2O</v>
      </c>
      <c r="BW34">
        <f t="shared" si="20"/>
        <v>1.2515060113127929E-2</v>
      </c>
      <c r="BX34">
        <f t="shared" si="21"/>
        <v>4.0729970815257907E-2</v>
      </c>
    </row>
    <row r="35" spans="5:76" x14ac:dyDescent="0.2">
      <c r="E35">
        <f>+'5% CO Elab'!R35</f>
        <v>30</v>
      </c>
      <c r="F35">
        <f>+'5% CO Elab'!S35</f>
        <v>9</v>
      </c>
      <c r="G35" t="str">
        <f>+'5% CO Elab'!T35</f>
        <v>3-METHYLOCTANE</v>
      </c>
      <c r="H35" t="str">
        <f>+'5% CO Elab'!U35</f>
        <v>C9H20-D2</v>
      </c>
      <c r="I35" t="str">
        <f>+'5% CO Elab'!V35</f>
        <v>C9-IP</v>
      </c>
      <c r="J35">
        <f>+'5% CO Elab'!W35</f>
        <v>0.25327729285513145</v>
      </c>
      <c r="L35">
        <f>+'5% CO Elab'!AB35</f>
        <v>6.8118368789168039E-3</v>
      </c>
      <c r="M35" s="20">
        <v>9</v>
      </c>
      <c r="N35" s="20" t="s">
        <v>309</v>
      </c>
      <c r="O35" s="20" t="s">
        <v>310</v>
      </c>
      <c r="P35" s="20">
        <v>28</v>
      </c>
      <c r="Q35" s="20" t="s">
        <v>42</v>
      </c>
      <c r="R35" s="20" t="s">
        <v>311</v>
      </c>
      <c r="S35" s="20">
        <v>1</v>
      </c>
      <c r="T35" s="20" t="s">
        <v>325</v>
      </c>
      <c r="U35" s="20" t="s">
        <v>310</v>
      </c>
      <c r="V35" s="20">
        <v>18</v>
      </c>
      <c r="W35" s="20" t="s">
        <v>312</v>
      </c>
      <c r="X35" s="1"/>
      <c r="Y35">
        <f>+'5% CO Elab'!AA35</f>
        <v>2.1942535790095242E-2</v>
      </c>
      <c r="Z35" s="20">
        <f t="shared" si="8"/>
        <v>9</v>
      </c>
      <c r="AA35" s="20" t="s">
        <v>41</v>
      </c>
      <c r="AB35" s="20" t="str">
        <f t="shared" si="24"/>
        <v>+</v>
      </c>
      <c r="AC35" s="20">
        <f t="shared" si="9"/>
        <v>19</v>
      </c>
      <c r="AD35" s="20" t="str">
        <f t="shared" si="25"/>
        <v>H2</v>
      </c>
      <c r="AE35" s="20" t="str">
        <f t="shared" si="11"/>
        <v>=</v>
      </c>
      <c r="AF35" s="20">
        <f t="shared" si="1"/>
        <v>1</v>
      </c>
      <c r="AG35" s="20" t="str">
        <f t="shared" si="2"/>
        <v>C9H20</v>
      </c>
      <c r="AH35" s="20" t="str">
        <f t="shared" si="3"/>
        <v>+</v>
      </c>
      <c r="AI35" s="20">
        <f t="shared" si="22"/>
        <v>9</v>
      </c>
      <c r="AJ35" s="20" t="str">
        <f t="shared" si="12"/>
        <v>H2O</v>
      </c>
      <c r="AL35">
        <f t="shared" si="13"/>
        <v>0.12261306382050247</v>
      </c>
      <c r="AM35">
        <f t="shared" si="14"/>
        <v>0.19748282211085719</v>
      </c>
      <c r="AP35">
        <f>+'10% CO Elab'!S35</f>
        <v>9</v>
      </c>
      <c r="AQ35" t="str">
        <f>+'10% CO Elab'!T35</f>
        <v>3-METHYLOCTANE</v>
      </c>
      <c r="AR35" t="str">
        <f>+'10% CO Elab'!U35</f>
        <v>C9H20-D2</v>
      </c>
      <c r="AS35" t="str">
        <f>+'10% CO Elab'!V35</f>
        <v>C9-IP</v>
      </c>
      <c r="AT35">
        <f>+'10% CO Elab'!W35</f>
        <v>0.27953121534732756</v>
      </c>
      <c r="AU35">
        <f>+'10% CO Elab'!X35</f>
        <v>2.5157809381259479</v>
      </c>
      <c r="AW35">
        <f>+'10% CO Elab'!AB35</f>
        <v>3.7309931861332591E-3</v>
      </c>
      <c r="AX35" s="20">
        <v>9</v>
      </c>
      <c r="AY35" s="20" t="s">
        <v>309</v>
      </c>
      <c r="AZ35" s="20" t="s">
        <v>310</v>
      </c>
      <c r="BA35" s="20">
        <v>28</v>
      </c>
      <c r="BB35" s="20" t="s">
        <v>42</v>
      </c>
      <c r="BC35" s="20" t="s">
        <v>311</v>
      </c>
      <c r="BD35" s="20">
        <v>1</v>
      </c>
      <c r="BE35" s="20" t="s">
        <v>325</v>
      </c>
      <c r="BF35" s="20" t="s">
        <v>310</v>
      </c>
      <c r="BG35" s="20">
        <v>18</v>
      </c>
      <c r="BH35" s="20" t="s">
        <v>312</v>
      </c>
      <c r="BI35" s="1"/>
      <c r="BJ35">
        <f>+'10% CO Elab'!AA35</f>
        <v>2.428486035376351E-2</v>
      </c>
      <c r="BK35" s="20">
        <f t="shared" si="15"/>
        <v>9</v>
      </c>
      <c r="BL35" s="20" t="s">
        <v>41</v>
      </c>
      <c r="BM35" s="20" t="str">
        <f t="shared" si="26"/>
        <v>+</v>
      </c>
      <c r="BN35" s="20">
        <f t="shared" si="16"/>
        <v>19</v>
      </c>
      <c r="BO35" s="20" t="str">
        <f t="shared" si="27"/>
        <v>H2</v>
      </c>
      <c r="BP35" s="20" t="str">
        <f t="shared" si="18"/>
        <v>=</v>
      </c>
      <c r="BQ35" s="20">
        <f t="shared" si="5"/>
        <v>1</v>
      </c>
      <c r="BR35" s="20" t="str">
        <f t="shared" si="6"/>
        <v>C9H20</v>
      </c>
      <c r="BS35" s="20" t="str">
        <f t="shared" si="7"/>
        <v>+</v>
      </c>
      <c r="BT35" s="20">
        <f t="shared" si="23"/>
        <v>9</v>
      </c>
      <c r="BU35" s="20" t="str">
        <f t="shared" si="19"/>
        <v>H2O</v>
      </c>
      <c r="BW35">
        <f t="shared" si="20"/>
        <v>6.7157877350398659E-2</v>
      </c>
      <c r="BX35">
        <f t="shared" si="21"/>
        <v>0.21856374318387159</v>
      </c>
    </row>
    <row r="36" spans="5:76" x14ac:dyDescent="0.2">
      <c r="E36">
        <f>+'5% CO Elab'!R36</f>
        <v>31</v>
      </c>
      <c r="F36">
        <f>+'5% CO Elab'!S36</f>
        <v>9</v>
      </c>
      <c r="G36" t="str">
        <f>+'5% CO Elab'!T36</f>
        <v>1-NONENE</v>
      </c>
      <c r="H36" t="str">
        <f>+'5% CO Elab'!U36</f>
        <v>C9H18-3</v>
      </c>
      <c r="I36" t="str">
        <f>+'5% CO Elab'!V36</f>
        <v>C9-O</v>
      </c>
      <c r="J36">
        <f>+'5% CO Elab'!W36</f>
        <v>4.6675338490491242E-2</v>
      </c>
      <c r="L36">
        <f>+'5% CO Elab'!AB36</f>
        <v>1.2553229248518146E-3</v>
      </c>
      <c r="M36" s="20">
        <v>9</v>
      </c>
      <c r="N36" s="20" t="s">
        <v>309</v>
      </c>
      <c r="O36" s="20" t="s">
        <v>310</v>
      </c>
      <c r="P36" s="20">
        <v>27</v>
      </c>
      <c r="Q36" s="20" t="s">
        <v>42</v>
      </c>
      <c r="R36" s="20" t="s">
        <v>311</v>
      </c>
      <c r="S36" s="20">
        <v>1</v>
      </c>
      <c r="T36" s="20" t="s">
        <v>326</v>
      </c>
      <c r="U36" s="20" t="s">
        <v>310</v>
      </c>
      <c r="V36" s="20">
        <v>18</v>
      </c>
      <c r="W36" s="20" t="s">
        <v>312</v>
      </c>
      <c r="X36" s="1"/>
      <c r="Y36">
        <f>+'5% CO Elab'!AA36</f>
        <v>4.0436916937840843E-3</v>
      </c>
      <c r="Z36" s="20">
        <f t="shared" si="8"/>
        <v>9</v>
      </c>
      <c r="AA36" s="20" t="s">
        <v>41</v>
      </c>
      <c r="AB36" s="20" t="str">
        <f t="shared" si="24"/>
        <v>+</v>
      </c>
      <c r="AC36" s="20">
        <f t="shared" si="9"/>
        <v>18</v>
      </c>
      <c r="AD36" s="20" t="str">
        <f t="shared" si="25"/>
        <v>H2</v>
      </c>
      <c r="AE36" s="20" t="str">
        <f t="shared" si="11"/>
        <v>=</v>
      </c>
      <c r="AF36" s="20">
        <f t="shared" si="1"/>
        <v>1</v>
      </c>
      <c r="AG36" s="20" t="str">
        <f t="shared" si="2"/>
        <v>C9H18</v>
      </c>
      <c r="AH36" s="20" t="str">
        <f t="shared" si="3"/>
        <v>+</v>
      </c>
      <c r="AI36" s="20">
        <f t="shared" si="22"/>
        <v>9</v>
      </c>
      <c r="AJ36" s="20" t="str">
        <f t="shared" si="12"/>
        <v>H2O</v>
      </c>
      <c r="AL36">
        <f t="shared" si="13"/>
        <v>2.2595812647332663E-2</v>
      </c>
      <c r="AM36">
        <f t="shared" si="14"/>
        <v>3.6393225244056762E-2</v>
      </c>
      <c r="AP36">
        <f>+'10% CO Elab'!S36</f>
        <v>9</v>
      </c>
      <c r="AQ36" t="str">
        <f>+'10% CO Elab'!T36</f>
        <v>1-NONENE</v>
      </c>
      <c r="AR36" t="str">
        <f>+'10% CO Elab'!U36</f>
        <v>C9H18-3</v>
      </c>
      <c r="AS36" t="str">
        <f>+'10% CO Elab'!V36</f>
        <v>C9-O</v>
      </c>
      <c r="AT36">
        <f>+'10% CO Elab'!W36</f>
        <v>5.151355633944496E-2</v>
      </c>
      <c r="AU36">
        <f>+'10% CO Elab'!X36</f>
        <v>0.46362200705500467</v>
      </c>
      <c r="AW36">
        <f>+'10% CO Elab'!AB36</f>
        <v>6.8756803227557105E-4</v>
      </c>
      <c r="AX36" s="20">
        <v>9</v>
      </c>
      <c r="AY36" s="20" t="s">
        <v>309</v>
      </c>
      <c r="AZ36" s="20" t="s">
        <v>310</v>
      </c>
      <c r="BA36" s="20">
        <v>27</v>
      </c>
      <c r="BB36" s="20" t="s">
        <v>42</v>
      </c>
      <c r="BC36" s="20" t="s">
        <v>311</v>
      </c>
      <c r="BD36" s="20">
        <v>1</v>
      </c>
      <c r="BE36" s="20" t="s">
        <v>326</v>
      </c>
      <c r="BF36" s="20" t="s">
        <v>310</v>
      </c>
      <c r="BG36" s="20">
        <v>18</v>
      </c>
      <c r="BH36" s="20" t="s">
        <v>312</v>
      </c>
      <c r="BI36" s="1"/>
      <c r="BJ36">
        <f>+'10% CO Elab'!AA36</f>
        <v>4.4753482020773172E-3</v>
      </c>
      <c r="BK36" s="20">
        <f t="shared" si="15"/>
        <v>9</v>
      </c>
      <c r="BL36" s="20" t="s">
        <v>41</v>
      </c>
      <c r="BM36" s="20" t="str">
        <f t="shared" si="26"/>
        <v>+</v>
      </c>
      <c r="BN36" s="20">
        <f t="shared" si="16"/>
        <v>18</v>
      </c>
      <c r="BO36" s="20" t="str">
        <f t="shared" si="27"/>
        <v>H2</v>
      </c>
      <c r="BP36" s="20" t="str">
        <f t="shared" si="18"/>
        <v>=</v>
      </c>
      <c r="BQ36" s="20">
        <f t="shared" si="5"/>
        <v>1</v>
      </c>
      <c r="BR36" s="20" t="str">
        <f t="shared" si="6"/>
        <v>C9H18</v>
      </c>
      <c r="BS36" s="20" t="str">
        <f t="shared" si="7"/>
        <v>+</v>
      </c>
      <c r="BT36" s="20">
        <f t="shared" si="23"/>
        <v>9</v>
      </c>
      <c r="BU36" s="20" t="str">
        <f t="shared" si="19"/>
        <v>H2O</v>
      </c>
      <c r="BW36">
        <f t="shared" si="20"/>
        <v>1.2376224580960278E-2</v>
      </c>
      <c r="BX36">
        <f t="shared" si="21"/>
        <v>4.0278133818695855E-2</v>
      </c>
    </row>
    <row r="37" spans="5:76" x14ac:dyDescent="0.2">
      <c r="E37">
        <f>+'5% CO Elab'!R37</f>
        <v>32</v>
      </c>
      <c r="F37">
        <f>+'5% CO Elab'!S37</f>
        <v>9</v>
      </c>
      <c r="G37" t="str">
        <f>+'5% CO Elab'!T37</f>
        <v>ISOPROPYLCYCLOHEXANE</v>
      </c>
      <c r="H37" t="str">
        <f>+'5% CO Elab'!U37</f>
        <v>C9H18-2</v>
      </c>
      <c r="I37" t="str">
        <f>+'5% CO Elab'!V37</f>
        <v>C9-N</v>
      </c>
      <c r="J37">
        <f>+'5% CO Elab'!W37</f>
        <v>2.6312326857150185E-2</v>
      </c>
      <c r="L37">
        <f>+'5% CO Elab'!AB37</f>
        <v>7.0766422222527073E-4</v>
      </c>
      <c r="M37" s="20">
        <v>9</v>
      </c>
      <c r="N37" s="20" t="s">
        <v>309</v>
      </c>
      <c r="O37" s="20" t="s">
        <v>310</v>
      </c>
      <c r="P37" s="20">
        <v>27</v>
      </c>
      <c r="Q37" s="20" t="s">
        <v>42</v>
      </c>
      <c r="R37" s="20" t="s">
        <v>311</v>
      </c>
      <c r="S37" s="20">
        <v>1</v>
      </c>
      <c r="T37" s="20" t="s">
        <v>326</v>
      </c>
      <c r="U37" s="20" t="s">
        <v>310</v>
      </c>
      <c r="V37" s="20">
        <v>18</v>
      </c>
      <c r="W37" s="20" t="s">
        <v>312</v>
      </c>
      <c r="X37" s="1"/>
      <c r="Y37">
        <f>+'5% CO Elab'!AA37</f>
        <v>2.2795536357613304E-3</v>
      </c>
      <c r="Z37" s="20">
        <f t="shared" si="8"/>
        <v>9</v>
      </c>
      <c r="AA37" s="20" t="s">
        <v>41</v>
      </c>
      <c r="AB37" s="20" t="str">
        <f t="shared" si="24"/>
        <v>+</v>
      </c>
      <c r="AC37" s="20">
        <f t="shared" si="9"/>
        <v>18</v>
      </c>
      <c r="AD37" s="20" t="str">
        <f t="shared" si="25"/>
        <v>H2</v>
      </c>
      <c r="AE37" s="20" t="str">
        <f t="shared" si="11"/>
        <v>=</v>
      </c>
      <c r="AF37" s="20">
        <f t="shared" si="1"/>
        <v>1</v>
      </c>
      <c r="AG37" s="20" t="str">
        <f t="shared" si="2"/>
        <v>C9H18</v>
      </c>
      <c r="AH37" s="20" t="str">
        <f t="shared" si="3"/>
        <v>+</v>
      </c>
      <c r="AI37" s="20">
        <f t="shared" si="22"/>
        <v>9</v>
      </c>
      <c r="AJ37" s="20" t="str">
        <f t="shared" si="12"/>
        <v>H2O</v>
      </c>
      <c r="AL37">
        <f t="shared" si="13"/>
        <v>1.2737956000054873E-2</v>
      </c>
      <c r="AM37">
        <f t="shared" si="14"/>
        <v>2.0515982721851973E-2</v>
      </c>
      <c r="AP37">
        <f>+'10% CO Elab'!S37</f>
        <v>9</v>
      </c>
      <c r="AQ37" t="str">
        <f>+'10% CO Elab'!T37</f>
        <v>ISOPROPYLCYCLOHEXANE</v>
      </c>
      <c r="AR37" t="str">
        <f>+'10% CO Elab'!U37</f>
        <v>C9H18-2</v>
      </c>
      <c r="AS37" t="str">
        <f>+'10% CO Elab'!V37</f>
        <v>C9-N</v>
      </c>
      <c r="AT37">
        <f>+'10% CO Elab'!W37</f>
        <v>2.9039779374151278E-2</v>
      </c>
      <c r="AU37">
        <f>+'10% CO Elab'!X37</f>
        <v>0.2613580143673615</v>
      </c>
      <c r="AW37">
        <f>+'10% CO Elab'!AB37</f>
        <v>3.8760329087807335E-4</v>
      </c>
      <c r="AX37" s="20">
        <v>9</v>
      </c>
      <c r="AY37" s="20" t="s">
        <v>309</v>
      </c>
      <c r="AZ37" s="20" t="s">
        <v>310</v>
      </c>
      <c r="BA37" s="20">
        <v>27</v>
      </c>
      <c r="BB37" s="20" t="s">
        <v>42</v>
      </c>
      <c r="BC37" s="20" t="s">
        <v>311</v>
      </c>
      <c r="BD37" s="20">
        <v>1</v>
      </c>
      <c r="BE37" s="20" t="s">
        <v>326</v>
      </c>
      <c r="BF37" s="20" t="s">
        <v>310</v>
      </c>
      <c r="BG37" s="20">
        <v>18</v>
      </c>
      <c r="BH37" s="20" t="s">
        <v>312</v>
      </c>
      <c r="BI37" s="1"/>
      <c r="BJ37">
        <f>+'10% CO Elab'!AA37</f>
        <v>2.5228917132889641E-3</v>
      </c>
      <c r="BK37" s="20">
        <f t="shared" si="15"/>
        <v>9</v>
      </c>
      <c r="BL37" s="20" t="s">
        <v>41</v>
      </c>
      <c r="BM37" s="20" t="str">
        <f t="shared" si="26"/>
        <v>+</v>
      </c>
      <c r="BN37" s="20">
        <f t="shared" si="16"/>
        <v>18</v>
      </c>
      <c r="BO37" s="20" t="str">
        <f t="shared" si="27"/>
        <v>H2</v>
      </c>
      <c r="BP37" s="20" t="str">
        <f t="shared" si="18"/>
        <v>=</v>
      </c>
      <c r="BQ37" s="20">
        <f t="shared" si="5"/>
        <v>1</v>
      </c>
      <c r="BR37" s="20" t="str">
        <f t="shared" si="6"/>
        <v>C9H18</v>
      </c>
      <c r="BS37" s="20" t="str">
        <f t="shared" si="7"/>
        <v>+</v>
      </c>
      <c r="BT37" s="20">
        <f t="shared" si="23"/>
        <v>9</v>
      </c>
      <c r="BU37" s="20" t="str">
        <f t="shared" si="19"/>
        <v>H2O</v>
      </c>
      <c r="BW37">
        <f t="shared" si="20"/>
        <v>6.9768592358053199E-3</v>
      </c>
      <c r="BX37">
        <f t="shared" si="21"/>
        <v>2.2706025419600678E-2</v>
      </c>
    </row>
    <row r="38" spans="5:76" x14ac:dyDescent="0.2">
      <c r="E38">
        <f>+'5% CO Elab'!R38</f>
        <v>33</v>
      </c>
      <c r="F38">
        <f>+'5% CO Elab'!S38</f>
        <v>9</v>
      </c>
      <c r="G38" t="str">
        <f>+'5% CO Elab'!T38</f>
        <v>INDANE</v>
      </c>
      <c r="H38" t="str">
        <f>+'5% CO Elab'!U38</f>
        <v>C9H10-E1</v>
      </c>
      <c r="I38" t="str">
        <f>+'5% CO Elab'!V38</f>
        <v>C9-A</v>
      </c>
      <c r="J38">
        <f>+'5% CO Elab'!W38</f>
        <v>9.6083936741219941E-2</v>
      </c>
      <c r="L38">
        <f>+'5% CO Elab'!AB38</f>
        <v>2.5841562675723729E-3</v>
      </c>
      <c r="M38" s="20">
        <v>9</v>
      </c>
      <c r="N38" s="20" t="s">
        <v>309</v>
      </c>
      <c r="O38" s="20" t="s">
        <v>310</v>
      </c>
      <c r="P38" s="20">
        <v>23</v>
      </c>
      <c r="Q38" s="20" t="s">
        <v>42</v>
      </c>
      <c r="R38" s="20" t="s">
        <v>311</v>
      </c>
      <c r="S38" s="20">
        <v>1</v>
      </c>
      <c r="T38" s="20" t="s">
        <v>327</v>
      </c>
      <c r="U38" s="20" t="s">
        <v>310</v>
      </c>
      <c r="V38" s="20">
        <v>18</v>
      </c>
      <c r="W38" s="20" t="s">
        <v>312</v>
      </c>
      <c r="X38" s="1"/>
      <c r="Y38">
        <f>+'5% CO Elab'!AA38</f>
        <v>8.324177809352129E-3</v>
      </c>
      <c r="Z38" s="20">
        <f t="shared" si="8"/>
        <v>9</v>
      </c>
      <c r="AA38" s="20" t="s">
        <v>41</v>
      </c>
      <c r="AB38" s="20" t="str">
        <f t="shared" si="24"/>
        <v>+</v>
      </c>
      <c r="AC38" s="20">
        <f t="shared" si="9"/>
        <v>14</v>
      </c>
      <c r="AD38" s="20" t="str">
        <f t="shared" si="25"/>
        <v>H2</v>
      </c>
      <c r="AE38" s="20" t="str">
        <f t="shared" si="11"/>
        <v>=</v>
      </c>
      <c r="AF38" s="20">
        <f t="shared" si="1"/>
        <v>1</v>
      </c>
      <c r="AG38" s="20" t="str">
        <f t="shared" si="2"/>
        <v>C9H10</v>
      </c>
      <c r="AH38" s="20" t="str">
        <f t="shared" si="3"/>
        <v>+</v>
      </c>
      <c r="AI38" s="20">
        <f t="shared" si="22"/>
        <v>9</v>
      </c>
      <c r="AJ38" s="20" t="str">
        <f t="shared" si="12"/>
        <v>H2O</v>
      </c>
      <c r="AL38">
        <f t="shared" si="13"/>
        <v>4.6514812816302709E-2</v>
      </c>
      <c r="AM38">
        <f t="shared" si="14"/>
        <v>7.4917600284169161E-2</v>
      </c>
      <c r="AP38">
        <f>+'10% CO Elab'!S38</f>
        <v>9</v>
      </c>
      <c r="AQ38" t="str">
        <f>+'10% CO Elab'!T38</f>
        <v>INDANE</v>
      </c>
      <c r="AR38" t="str">
        <f>+'10% CO Elab'!U38</f>
        <v>C9H10-E1</v>
      </c>
      <c r="AS38" t="str">
        <f>+'10% CO Elab'!V38</f>
        <v>C9-A</v>
      </c>
      <c r="AT38">
        <f>+'10% CO Elab'!W38</f>
        <v>7.2879304054369931E-2</v>
      </c>
      <c r="AU38">
        <f>+'10% CO Elab'!X38</f>
        <v>0.65591373648932938</v>
      </c>
      <c r="AW38">
        <f>+'10% CO Elab'!AB38</f>
        <v>9.7274355030126981E-4</v>
      </c>
      <c r="AX38" s="20">
        <v>9</v>
      </c>
      <c r="AY38" s="20" t="s">
        <v>309</v>
      </c>
      <c r="AZ38" s="20" t="s">
        <v>310</v>
      </c>
      <c r="BA38" s="20">
        <v>23</v>
      </c>
      <c r="BB38" s="20" t="s">
        <v>42</v>
      </c>
      <c r="BC38" s="20" t="s">
        <v>311</v>
      </c>
      <c r="BD38" s="20">
        <v>1</v>
      </c>
      <c r="BE38" s="20" t="s">
        <v>327</v>
      </c>
      <c r="BF38" s="20" t="s">
        <v>310</v>
      </c>
      <c r="BG38" s="20">
        <v>18</v>
      </c>
      <c r="BH38" s="20" t="s">
        <v>312</v>
      </c>
      <c r="BI38" s="1"/>
      <c r="BJ38">
        <f>+'10% CO Elab'!AA38</f>
        <v>6.3315423268228742E-3</v>
      </c>
      <c r="BK38" s="20">
        <f t="shared" si="15"/>
        <v>9</v>
      </c>
      <c r="BL38" s="20" t="s">
        <v>41</v>
      </c>
      <c r="BM38" s="20" t="str">
        <f t="shared" si="26"/>
        <v>+</v>
      </c>
      <c r="BN38" s="20">
        <f t="shared" si="16"/>
        <v>14</v>
      </c>
      <c r="BO38" s="20" t="str">
        <f t="shared" si="27"/>
        <v>H2</v>
      </c>
      <c r="BP38" s="20" t="str">
        <f t="shared" si="18"/>
        <v>=</v>
      </c>
      <c r="BQ38" s="20">
        <f t="shared" si="5"/>
        <v>1</v>
      </c>
      <c r="BR38" s="20" t="str">
        <f t="shared" si="6"/>
        <v>C9H10</v>
      </c>
      <c r="BS38" s="20" t="str">
        <f t="shared" si="7"/>
        <v>+</v>
      </c>
      <c r="BT38" s="20">
        <f t="shared" si="23"/>
        <v>9</v>
      </c>
      <c r="BU38" s="20" t="str">
        <f t="shared" si="19"/>
        <v>H2O</v>
      </c>
      <c r="BW38">
        <f t="shared" si="20"/>
        <v>1.7509383905422858E-2</v>
      </c>
      <c r="BX38">
        <f t="shared" si="21"/>
        <v>5.6983880941405871E-2</v>
      </c>
    </row>
    <row r="39" spans="5:76" x14ac:dyDescent="0.2">
      <c r="E39">
        <f>+'5% CO Elab'!R39</f>
        <v>34</v>
      </c>
      <c r="F39">
        <f>+'5% CO Elab'!S39</f>
        <v>10</v>
      </c>
      <c r="G39" t="str">
        <f>+'5% CO Elab'!T39</f>
        <v>N-DECANE</v>
      </c>
      <c r="H39" t="str">
        <f>+'5% CO Elab'!U39</f>
        <v>C10H22-1</v>
      </c>
      <c r="I39" t="str">
        <f>+'5% CO Elab'!V39</f>
        <v>C10</v>
      </c>
      <c r="J39">
        <f>+'5% CO Elab'!W39</f>
        <v>5.4094226948684841E-2</v>
      </c>
      <c r="L39">
        <f>+'5% CO Elab'!AB39</f>
        <v>1.6165025468583907E-3</v>
      </c>
      <c r="M39" s="20">
        <v>10</v>
      </c>
      <c r="N39" s="20" t="s">
        <v>309</v>
      </c>
      <c r="O39" s="20" t="s">
        <v>310</v>
      </c>
      <c r="P39" s="20">
        <v>31</v>
      </c>
      <c r="Q39" s="20" t="s">
        <v>42</v>
      </c>
      <c r="R39" s="20" t="s">
        <v>311</v>
      </c>
      <c r="S39" s="20">
        <v>1</v>
      </c>
      <c r="T39" s="20" t="s">
        <v>328</v>
      </c>
      <c r="U39" s="20" t="s">
        <v>310</v>
      </c>
      <c r="V39" s="20">
        <v>20</v>
      </c>
      <c r="W39" s="20" t="s">
        <v>312</v>
      </c>
      <c r="X39" s="1"/>
      <c r="Y39">
        <f>+'5% CO Elab'!AA39</f>
        <v>5.2071365800028819E-3</v>
      </c>
      <c r="Z39" s="20">
        <f t="shared" si="8"/>
        <v>10</v>
      </c>
      <c r="AA39" s="20" t="s">
        <v>41</v>
      </c>
      <c r="AB39" s="20" t="str">
        <f t="shared" si="24"/>
        <v>+</v>
      </c>
      <c r="AC39" s="20">
        <f t="shared" si="9"/>
        <v>21</v>
      </c>
      <c r="AD39" s="20" t="str">
        <f t="shared" si="25"/>
        <v>H2</v>
      </c>
      <c r="AE39" s="20" t="str">
        <f t="shared" si="11"/>
        <v>=</v>
      </c>
      <c r="AF39" s="20">
        <f t="shared" si="1"/>
        <v>1</v>
      </c>
      <c r="AG39" s="20" t="str">
        <f t="shared" si="2"/>
        <v>C10H22</v>
      </c>
      <c r="AH39" s="20" t="str">
        <f t="shared" si="3"/>
        <v>+</v>
      </c>
      <c r="AI39" s="20">
        <f t="shared" si="22"/>
        <v>10</v>
      </c>
      <c r="AJ39" s="20" t="str">
        <f t="shared" si="12"/>
        <v>H2O</v>
      </c>
      <c r="AL39">
        <f t="shared" si="13"/>
        <v>3.2330050937167815E-2</v>
      </c>
      <c r="AM39">
        <f t="shared" si="14"/>
        <v>5.2071365800028815E-2</v>
      </c>
      <c r="AP39">
        <f>+'10% CO Elab'!S39</f>
        <v>10</v>
      </c>
      <c r="AQ39" t="str">
        <f>+'10% CO Elab'!T39</f>
        <v>N-DECANE</v>
      </c>
      <c r="AR39" t="str">
        <f>+'10% CO Elab'!U39</f>
        <v>C10H22-1</v>
      </c>
      <c r="AS39" t="str">
        <f>+'10% CO Elab'!V39</f>
        <v>C10</v>
      </c>
      <c r="AT39">
        <f>+'10% CO Elab'!W39</f>
        <v>7.7932189982597849E-2</v>
      </c>
      <c r="AU39">
        <f>+'10% CO Elab'!X39</f>
        <v>0.77932189982597855</v>
      </c>
      <c r="AW39">
        <f>+'10% CO Elab'!AB39</f>
        <v>1.155762274048038E-3</v>
      </c>
      <c r="AX39" s="20">
        <v>10</v>
      </c>
      <c r="AY39" s="20" t="s">
        <v>309</v>
      </c>
      <c r="AZ39" s="20" t="s">
        <v>310</v>
      </c>
      <c r="BA39" s="20">
        <v>31</v>
      </c>
      <c r="BB39" s="20" t="s">
        <v>42</v>
      </c>
      <c r="BC39" s="20" t="s">
        <v>311</v>
      </c>
      <c r="BD39" s="20">
        <v>1</v>
      </c>
      <c r="BE39" s="20" t="s">
        <v>328</v>
      </c>
      <c r="BF39" s="20" t="s">
        <v>310</v>
      </c>
      <c r="BG39" s="20">
        <v>20</v>
      </c>
      <c r="BH39" s="20" t="s">
        <v>312</v>
      </c>
      <c r="BI39" s="1"/>
      <c r="BJ39">
        <f>+'10% CO Elab'!AA39</f>
        <v>7.5228026499007047E-3</v>
      </c>
      <c r="BK39" s="20">
        <f t="shared" si="15"/>
        <v>10</v>
      </c>
      <c r="BL39" s="20" t="s">
        <v>41</v>
      </c>
      <c r="BM39" s="20" t="str">
        <f t="shared" si="26"/>
        <v>+</v>
      </c>
      <c r="BN39" s="20">
        <f t="shared" si="16"/>
        <v>21</v>
      </c>
      <c r="BO39" s="20" t="str">
        <f t="shared" si="27"/>
        <v>H2</v>
      </c>
      <c r="BP39" s="20" t="str">
        <f t="shared" si="18"/>
        <v>=</v>
      </c>
      <c r="BQ39" s="20">
        <f t="shared" si="5"/>
        <v>1</v>
      </c>
      <c r="BR39" s="20" t="str">
        <f t="shared" si="6"/>
        <v>C10H22</v>
      </c>
      <c r="BS39" s="20" t="str">
        <f t="shared" si="7"/>
        <v>+</v>
      </c>
      <c r="BT39" s="20">
        <f t="shared" si="23"/>
        <v>10</v>
      </c>
      <c r="BU39" s="20" t="str">
        <f t="shared" si="19"/>
        <v>H2O</v>
      </c>
      <c r="BW39">
        <f t="shared" si="20"/>
        <v>2.311524548096076E-2</v>
      </c>
      <c r="BX39">
        <f t="shared" si="21"/>
        <v>7.5228026499007047E-2</v>
      </c>
    </row>
    <row r="40" spans="5:76" x14ac:dyDescent="0.2">
      <c r="E40">
        <f>+'5% CO Elab'!R40</f>
        <v>35</v>
      </c>
      <c r="F40">
        <f>+'5% CO Elab'!S40</f>
        <v>10</v>
      </c>
      <c r="G40" t="str">
        <f>+'5% CO Elab'!T40</f>
        <v>2-METHYLNONANE</v>
      </c>
      <c r="H40" t="str">
        <f>+'5% CO Elab'!U40</f>
        <v>C10H22-E2</v>
      </c>
      <c r="I40" t="str">
        <f>+'5% CO Elab'!V40</f>
        <v>C10-IP</v>
      </c>
      <c r="J40">
        <f>+'5% CO Elab'!W40</f>
        <v>8.6098715485419849E-2</v>
      </c>
      <c r="L40">
        <f>+'5% CO Elab'!AB40</f>
        <v>2.5728954957697373E-3</v>
      </c>
      <c r="M40" s="20">
        <v>10</v>
      </c>
      <c r="N40" s="20" t="s">
        <v>309</v>
      </c>
      <c r="O40" s="20" t="s">
        <v>310</v>
      </c>
      <c r="P40" s="20">
        <v>31</v>
      </c>
      <c r="Q40" s="20" t="s">
        <v>42</v>
      </c>
      <c r="R40" s="20" t="s">
        <v>311</v>
      </c>
      <c r="S40" s="20">
        <v>1</v>
      </c>
      <c r="T40" s="20" t="s">
        <v>328</v>
      </c>
      <c r="U40" s="20" t="s">
        <v>310</v>
      </c>
      <c r="V40" s="20">
        <v>20</v>
      </c>
      <c r="W40" s="20" t="s">
        <v>312</v>
      </c>
      <c r="X40" s="1"/>
      <c r="Y40">
        <f>+'5% CO Elab'!AA40</f>
        <v>8.2879042031728332E-3</v>
      </c>
      <c r="Z40" s="20">
        <f t="shared" si="8"/>
        <v>10</v>
      </c>
      <c r="AA40" s="20" t="s">
        <v>41</v>
      </c>
      <c r="AB40" s="20" t="str">
        <f t="shared" si="24"/>
        <v>+</v>
      </c>
      <c r="AC40" s="20">
        <f t="shared" si="9"/>
        <v>21</v>
      </c>
      <c r="AD40" s="20" t="str">
        <f t="shared" si="25"/>
        <v>H2</v>
      </c>
      <c r="AE40" s="20" t="str">
        <f t="shared" si="11"/>
        <v>=</v>
      </c>
      <c r="AF40" s="20">
        <f t="shared" si="1"/>
        <v>1</v>
      </c>
      <c r="AG40" s="20" t="str">
        <f t="shared" si="2"/>
        <v>C10H22</v>
      </c>
      <c r="AH40" s="20" t="str">
        <f t="shared" si="3"/>
        <v>+</v>
      </c>
      <c r="AI40" s="20">
        <f t="shared" si="22"/>
        <v>10</v>
      </c>
      <c r="AJ40" s="20" t="str">
        <f t="shared" si="12"/>
        <v>H2O</v>
      </c>
      <c r="AL40">
        <f t="shared" si="13"/>
        <v>5.1457909915394742E-2</v>
      </c>
      <c r="AM40">
        <f t="shared" si="14"/>
        <v>8.2879042031728328E-2</v>
      </c>
      <c r="AP40">
        <f>+'10% CO Elab'!S40</f>
        <v>10</v>
      </c>
      <c r="AQ40" t="str">
        <f>+'10% CO Elab'!T40</f>
        <v>2-METHYLNONANE</v>
      </c>
      <c r="AR40" t="str">
        <f>+'10% CO Elab'!U40</f>
        <v>C10H22-E2</v>
      </c>
      <c r="AS40" t="str">
        <f>+'10% CO Elab'!V40</f>
        <v>C10-IP</v>
      </c>
      <c r="AT40">
        <f>+'10% CO Elab'!W40</f>
        <v>9.5023435808945927E-2</v>
      </c>
      <c r="AU40">
        <f>+'10% CO Elab'!X40</f>
        <v>0.95023435808945922</v>
      </c>
      <c r="AW40">
        <f>+'10% CO Elab'!AB40</f>
        <v>1.4092315676350012E-3</v>
      </c>
      <c r="AX40" s="20">
        <v>10</v>
      </c>
      <c r="AY40" s="20" t="s">
        <v>309</v>
      </c>
      <c r="AZ40" s="20" t="s">
        <v>310</v>
      </c>
      <c r="BA40" s="20">
        <v>31</v>
      </c>
      <c r="BB40" s="20" t="s">
        <v>42</v>
      </c>
      <c r="BC40" s="20" t="s">
        <v>311</v>
      </c>
      <c r="BD40" s="20">
        <v>1</v>
      </c>
      <c r="BE40" s="20" t="s">
        <v>328</v>
      </c>
      <c r="BF40" s="20" t="s">
        <v>310</v>
      </c>
      <c r="BG40" s="20">
        <v>20</v>
      </c>
      <c r="BH40" s="20" t="s">
        <v>312</v>
      </c>
      <c r="BI40" s="1"/>
      <c r="BJ40">
        <f>+'10% CO Elab'!AA40</f>
        <v>9.172622440942968E-3</v>
      </c>
      <c r="BK40" s="20">
        <f t="shared" si="15"/>
        <v>10</v>
      </c>
      <c r="BL40" s="20" t="s">
        <v>41</v>
      </c>
      <c r="BM40" s="20" t="str">
        <f t="shared" si="26"/>
        <v>+</v>
      </c>
      <c r="BN40" s="20">
        <f t="shared" si="16"/>
        <v>21</v>
      </c>
      <c r="BO40" s="20" t="str">
        <f t="shared" si="27"/>
        <v>H2</v>
      </c>
      <c r="BP40" s="20" t="str">
        <f t="shared" si="18"/>
        <v>=</v>
      </c>
      <c r="BQ40" s="20">
        <f t="shared" si="5"/>
        <v>1</v>
      </c>
      <c r="BR40" s="20" t="str">
        <f t="shared" si="6"/>
        <v>C10H22</v>
      </c>
      <c r="BS40" s="20" t="str">
        <f t="shared" si="7"/>
        <v>+</v>
      </c>
      <c r="BT40" s="20">
        <f t="shared" si="23"/>
        <v>10</v>
      </c>
      <c r="BU40" s="20" t="str">
        <f t="shared" si="19"/>
        <v>H2O</v>
      </c>
      <c r="BW40">
        <f t="shared" si="20"/>
        <v>2.8184631352700024E-2</v>
      </c>
      <c r="BX40">
        <f t="shared" si="21"/>
        <v>9.172622440942968E-2</v>
      </c>
    </row>
    <row r="41" spans="5:76" x14ac:dyDescent="0.2">
      <c r="E41">
        <f>+'5% CO Elab'!R41</f>
        <v>36</v>
      </c>
      <c r="F41">
        <f>+'5% CO Elab'!S41</f>
        <v>10</v>
      </c>
      <c r="G41" t="str">
        <f>+'5% CO Elab'!T41</f>
        <v>1-DECENE</v>
      </c>
      <c r="H41" t="str">
        <f>+'5% CO Elab'!U41</f>
        <v>C10H20-5</v>
      </c>
      <c r="I41" t="str">
        <f>+'5% CO Elab'!V41</f>
        <v>C10-O</v>
      </c>
      <c r="J41">
        <f>+'5% CO Elab'!W41</f>
        <v>9.3934821032975138E-2</v>
      </c>
      <c r="L41">
        <f>+'5% CO Elab'!AB41</f>
        <v>2.8070625278097845E-3</v>
      </c>
      <c r="M41" s="20">
        <v>10</v>
      </c>
      <c r="N41" s="20" t="s">
        <v>309</v>
      </c>
      <c r="O41" s="20" t="s">
        <v>310</v>
      </c>
      <c r="P41" s="20">
        <v>30</v>
      </c>
      <c r="Q41" s="20" t="s">
        <v>42</v>
      </c>
      <c r="R41" s="20" t="s">
        <v>311</v>
      </c>
      <c r="S41" s="20">
        <v>1</v>
      </c>
      <c r="T41" s="20" t="s">
        <v>329</v>
      </c>
      <c r="U41" s="20" t="s">
        <v>310</v>
      </c>
      <c r="V41" s="20">
        <v>20</v>
      </c>
      <c r="W41" s="20" t="s">
        <v>312</v>
      </c>
      <c r="X41" s="1"/>
      <c r="Y41">
        <f>+'5% CO Elab'!AA41</f>
        <v>9.0422115321258101E-3</v>
      </c>
      <c r="Z41" s="20">
        <f t="shared" si="8"/>
        <v>10</v>
      </c>
      <c r="AA41" s="20" t="s">
        <v>41</v>
      </c>
      <c r="AB41" s="20" t="str">
        <f t="shared" si="24"/>
        <v>+</v>
      </c>
      <c r="AC41" s="20">
        <f t="shared" si="9"/>
        <v>20</v>
      </c>
      <c r="AD41" s="20" t="str">
        <f t="shared" si="25"/>
        <v>H2</v>
      </c>
      <c r="AE41" s="20" t="str">
        <f t="shared" si="11"/>
        <v>=</v>
      </c>
      <c r="AF41" s="20">
        <f t="shared" si="1"/>
        <v>1</v>
      </c>
      <c r="AG41" s="20" t="str">
        <f t="shared" si="2"/>
        <v>C10H20</v>
      </c>
      <c r="AH41" s="20" t="str">
        <f t="shared" si="3"/>
        <v>+</v>
      </c>
      <c r="AI41" s="20">
        <f t="shared" si="22"/>
        <v>10</v>
      </c>
      <c r="AJ41" s="20" t="str">
        <f t="shared" si="12"/>
        <v>H2O</v>
      </c>
      <c r="AL41">
        <f t="shared" si="13"/>
        <v>5.614125055619569E-2</v>
      </c>
      <c r="AM41">
        <f t="shared" si="14"/>
        <v>9.0422115321258101E-2</v>
      </c>
      <c r="AP41">
        <f>+'10% CO Elab'!S41</f>
        <v>10</v>
      </c>
      <c r="AQ41" t="str">
        <f>+'10% CO Elab'!T41</f>
        <v>1-DECENE</v>
      </c>
      <c r="AR41" t="str">
        <f>+'10% CO Elab'!U41</f>
        <v>C10H20-5</v>
      </c>
      <c r="AS41" t="str">
        <f>+'10% CO Elab'!V41</f>
        <v>C10-O</v>
      </c>
      <c r="AT41">
        <f>+'10% CO Elab'!W41</f>
        <v>0.10367126552184416</v>
      </c>
      <c r="AU41">
        <f>+'10% CO Elab'!X41</f>
        <v>1.0367126552184416</v>
      </c>
      <c r="AW41">
        <f>+'10% CO Elab'!AB41</f>
        <v>1.5374819778543379E-3</v>
      </c>
      <c r="AX41" s="20">
        <v>10</v>
      </c>
      <c r="AY41" s="20" t="s">
        <v>309</v>
      </c>
      <c r="AZ41" s="20" t="s">
        <v>310</v>
      </c>
      <c r="BA41" s="20">
        <v>30</v>
      </c>
      <c r="BB41" s="20" t="s">
        <v>42</v>
      </c>
      <c r="BC41" s="20" t="s">
        <v>311</v>
      </c>
      <c r="BD41" s="20">
        <v>1</v>
      </c>
      <c r="BE41" s="20" t="s">
        <v>329</v>
      </c>
      <c r="BF41" s="20" t="s">
        <v>310</v>
      </c>
      <c r="BG41" s="20">
        <v>20</v>
      </c>
      <c r="BH41" s="20" t="s">
        <v>312</v>
      </c>
      <c r="BI41" s="1"/>
      <c r="BJ41">
        <f>+'10% CO Elab'!AA41</f>
        <v>1.0007398369793523E-2</v>
      </c>
      <c r="BK41" s="20">
        <f t="shared" si="15"/>
        <v>10</v>
      </c>
      <c r="BL41" s="20" t="s">
        <v>41</v>
      </c>
      <c r="BM41" s="20" t="str">
        <f t="shared" si="26"/>
        <v>+</v>
      </c>
      <c r="BN41" s="20">
        <f t="shared" si="16"/>
        <v>20</v>
      </c>
      <c r="BO41" s="20" t="str">
        <f t="shared" si="27"/>
        <v>H2</v>
      </c>
      <c r="BP41" s="20" t="str">
        <f t="shared" si="18"/>
        <v>=</v>
      </c>
      <c r="BQ41" s="20">
        <f t="shared" si="5"/>
        <v>1</v>
      </c>
      <c r="BR41" s="20" t="str">
        <f t="shared" si="6"/>
        <v>C10H20</v>
      </c>
      <c r="BS41" s="20" t="str">
        <f t="shared" si="7"/>
        <v>+</v>
      </c>
      <c r="BT41" s="20">
        <f t="shared" si="23"/>
        <v>10</v>
      </c>
      <c r="BU41" s="20" t="str">
        <f t="shared" si="19"/>
        <v>H2O</v>
      </c>
      <c r="BW41">
        <f t="shared" si="20"/>
        <v>3.0749639557086757E-2</v>
      </c>
      <c r="BX41">
        <f t="shared" si="21"/>
        <v>0.10007398369793523</v>
      </c>
    </row>
    <row r="42" spans="5:76" x14ac:dyDescent="0.2">
      <c r="E42">
        <f>+'5% CO Elab'!R42</f>
        <v>37</v>
      </c>
      <c r="F42">
        <f>+'5% CO Elab'!S42</f>
        <v>10</v>
      </c>
      <c r="G42" t="str">
        <f>+'5% CO Elab'!T42</f>
        <v>1-PROPYL-1-METHYLCYCLOHEXANE</v>
      </c>
      <c r="H42" t="str">
        <f>+'5% CO Elab'!U42</f>
        <v>C10H20-N24</v>
      </c>
      <c r="I42" t="str">
        <f>+'5% CO Elab'!V42</f>
        <v>C10-N</v>
      </c>
      <c r="J42">
        <f>+'5% CO Elab'!W42</f>
        <v>5.4649112638800346E-2</v>
      </c>
      <c r="L42">
        <f>+'5% CO Elab'!AB42</f>
        <v>1.633084244793327E-3</v>
      </c>
      <c r="M42" s="20">
        <v>10</v>
      </c>
      <c r="N42" s="20" t="s">
        <v>309</v>
      </c>
      <c r="O42" s="20" t="s">
        <v>310</v>
      </c>
      <c r="P42" s="20">
        <v>30</v>
      </c>
      <c r="Q42" s="20" t="s">
        <v>42</v>
      </c>
      <c r="R42" s="20" t="s">
        <v>311</v>
      </c>
      <c r="S42" s="20">
        <v>1</v>
      </c>
      <c r="T42" s="20" t="s">
        <v>329</v>
      </c>
      <c r="U42" s="20" t="s">
        <v>310</v>
      </c>
      <c r="V42" s="20">
        <v>20</v>
      </c>
      <c r="W42" s="20" t="s">
        <v>312</v>
      </c>
      <c r="X42" s="1"/>
      <c r="Y42">
        <f>+'5% CO Elab'!AA42</f>
        <v>5.2605501462501909E-3</v>
      </c>
      <c r="Z42" s="20">
        <f t="shared" si="8"/>
        <v>10</v>
      </c>
      <c r="AA42" s="20" t="s">
        <v>41</v>
      </c>
      <c r="AB42" s="20" t="str">
        <f t="shared" si="24"/>
        <v>+</v>
      </c>
      <c r="AC42" s="20">
        <f t="shared" si="9"/>
        <v>20</v>
      </c>
      <c r="AD42" s="20" t="str">
        <f t="shared" si="25"/>
        <v>H2</v>
      </c>
      <c r="AE42" s="20" t="str">
        <f t="shared" si="11"/>
        <v>=</v>
      </c>
      <c r="AF42" s="20">
        <f t="shared" si="1"/>
        <v>1</v>
      </c>
      <c r="AG42" s="20" t="str">
        <f t="shared" si="2"/>
        <v>C10H20</v>
      </c>
      <c r="AH42" s="20" t="str">
        <f t="shared" si="3"/>
        <v>+</v>
      </c>
      <c r="AI42" s="20">
        <f t="shared" si="22"/>
        <v>10</v>
      </c>
      <c r="AJ42" s="20" t="str">
        <f t="shared" si="12"/>
        <v>H2O</v>
      </c>
      <c r="AL42">
        <f t="shared" si="13"/>
        <v>3.2661684895866544E-2</v>
      </c>
      <c r="AM42">
        <f t="shared" si="14"/>
        <v>5.2605501462501911E-2</v>
      </c>
      <c r="AP42">
        <f>+'10% CO Elab'!S42</f>
        <v>10</v>
      </c>
      <c r="AQ42" t="str">
        <f>+'10% CO Elab'!T42</f>
        <v>1-PROPYL-1-METHYLCYCLOHEXANE</v>
      </c>
      <c r="AR42" t="str">
        <f>+'10% CO Elab'!U42</f>
        <v>C10H20-N24</v>
      </c>
      <c r="AS42" t="str">
        <f>+'10% CO Elab'!V42</f>
        <v>C10-N</v>
      </c>
      <c r="AT42">
        <f>+'10% CO Elab'!W42</f>
        <v>6.0313866677003856E-2</v>
      </c>
      <c r="AU42">
        <f>+'10% CO Elab'!X42</f>
        <v>0.60313866677003858</v>
      </c>
      <c r="AW42">
        <f>+'10% CO Elab'!AB42</f>
        <v>8.9447623277120753E-4</v>
      </c>
      <c r="AX42" s="20">
        <v>10</v>
      </c>
      <c r="AY42" s="20" t="s">
        <v>309</v>
      </c>
      <c r="AZ42" s="20" t="s">
        <v>310</v>
      </c>
      <c r="BA42" s="20">
        <v>30</v>
      </c>
      <c r="BB42" s="20" t="s">
        <v>42</v>
      </c>
      <c r="BC42" s="20" t="s">
        <v>311</v>
      </c>
      <c r="BD42" s="20">
        <v>1</v>
      </c>
      <c r="BE42" s="20" t="s">
        <v>329</v>
      </c>
      <c r="BF42" s="20" t="s">
        <v>310</v>
      </c>
      <c r="BG42" s="20">
        <v>20</v>
      </c>
      <c r="BH42" s="20" t="s">
        <v>312</v>
      </c>
      <c r="BI42" s="1"/>
      <c r="BJ42">
        <f>+'10% CO Elab'!AA42</f>
        <v>5.82210401330746E-3</v>
      </c>
      <c r="BK42" s="20">
        <f t="shared" si="15"/>
        <v>10</v>
      </c>
      <c r="BL42" s="20" t="s">
        <v>41</v>
      </c>
      <c r="BM42" s="20" t="str">
        <f t="shared" si="26"/>
        <v>+</v>
      </c>
      <c r="BN42" s="20">
        <f t="shared" si="16"/>
        <v>20</v>
      </c>
      <c r="BO42" s="20" t="str">
        <f t="shared" si="27"/>
        <v>H2</v>
      </c>
      <c r="BP42" s="20" t="str">
        <f t="shared" si="18"/>
        <v>=</v>
      </c>
      <c r="BQ42" s="20">
        <f t="shared" si="5"/>
        <v>1</v>
      </c>
      <c r="BR42" s="20" t="str">
        <f t="shared" si="6"/>
        <v>C10H20</v>
      </c>
      <c r="BS42" s="20" t="str">
        <f t="shared" si="7"/>
        <v>+</v>
      </c>
      <c r="BT42" s="20">
        <f t="shared" si="23"/>
        <v>10</v>
      </c>
      <c r="BU42" s="20" t="str">
        <f t="shared" si="19"/>
        <v>H2O</v>
      </c>
      <c r="BW42">
        <f t="shared" si="20"/>
        <v>1.7889524655424149E-2</v>
      </c>
      <c r="BX42">
        <f t="shared" si="21"/>
        <v>5.8221040133074602E-2</v>
      </c>
    </row>
    <row r="43" spans="5:76" x14ac:dyDescent="0.2">
      <c r="E43">
        <f>+'5% CO Elab'!R43</f>
        <v>38</v>
      </c>
      <c r="F43">
        <f>+'5% CO Elab'!S43</f>
        <v>10</v>
      </c>
      <c r="G43" t="str">
        <f>+'5% CO Elab'!T43</f>
        <v>1,2-DIMETHYL-3-ETHYLBENZENE</v>
      </c>
      <c r="H43" t="str">
        <f>+'5% CO Elab'!U43</f>
        <v>C10H14-D3</v>
      </c>
      <c r="I43" t="str">
        <f>+'5% CO Elab'!V43</f>
        <v>C10-A</v>
      </c>
      <c r="J43">
        <f>+'5% CO Elab'!W43</f>
        <v>6.6897371090092736E-2</v>
      </c>
      <c r="L43">
        <f>+'5% CO Elab'!AB43</f>
        <v>1.9991000305420747E-3</v>
      </c>
      <c r="M43" s="20">
        <v>10</v>
      </c>
      <c r="N43" s="20" t="s">
        <v>309</v>
      </c>
      <c r="O43" s="20" t="s">
        <v>310</v>
      </c>
      <c r="P43" s="20">
        <v>27</v>
      </c>
      <c r="Q43" s="20" t="s">
        <v>42</v>
      </c>
      <c r="R43" s="20" t="s">
        <v>311</v>
      </c>
      <c r="S43" s="20">
        <v>1</v>
      </c>
      <c r="T43" s="20" t="s">
        <v>330</v>
      </c>
      <c r="U43" s="20" t="s">
        <v>310</v>
      </c>
      <c r="V43" s="20">
        <v>20</v>
      </c>
      <c r="W43" s="20" t="s">
        <v>312</v>
      </c>
      <c r="X43" s="1"/>
      <c r="Y43">
        <f>+'5% CO Elab'!AA43</f>
        <v>6.4395734583599252E-3</v>
      </c>
      <c r="Z43" s="20">
        <f t="shared" si="8"/>
        <v>10</v>
      </c>
      <c r="AA43" s="20" t="s">
        <v>41</v>
      </c>
      <c r="AB43" s="20" t="str">
        <f t="shared" si="24"/>
        <v>+</v>
      </c>
      <c r="AC43" s="20">
        <f t="shared" si="9"/>
        <v>17</v>
      </c>
      <c r="AD43" s="20" t="str">
        <f t="shared" si="25"/>
        <v>H2</v>
      </c>
      <c r="AE43" s="20" t="str">
        <f t="shared" si="11"/>
        <v>=</v>
      </c>
      <c r="AF43" s="20">
        <f t="shared" si="1"/>
        <v>1</v>
      </c>
      <c r="AG43" s="20" t="str">
        <f t="shared" si="2"/>
        <v>C10H14</v>
      </c>
      <c r="AH43" s="20" t="str">
        <f t="shared" si="3"/>
        <v>+</v>
      </c>
      <c r="AI43" s="20">
        <f t="shared" si="22"/>
        <v>10</v>
      </c>
      <c r="AJ43" s="20" t="str">
        <f t="shared" si="12"/>
        <v>H2O</v>
      </c>
      <c r="AL43">
        <f t="shared" si="13"/>
        <v>3.9982000610841492E-2</v>
      </c>
      <c r="AM43">
        <f t="shared" si="14"/>
        <v>6.4395734583599248E-2</v>
      </c>
      <c r="AP43">
        <f>+'10% CO Elab'!S43</f>
        <v>10</v>
      </c>
      <c r="AQ43" t="str">
        <f>+'10% CO Elab'!T43</f>
        <v>1,2-DIMETHYL-3-ETHYLBENZENE</v>
      </c>
      <c r="AR43" t="str">
        <f>+'10% CO Elab'!U43</f>
        <v>C10H14-D3</v>
      </c>
      <c r="AS43" t="str">
        <f>+'10% CO Elab'!V43</f>
        <v>C10-A</v>
      </c>
      <c r="AT43">
        <f>+'10% CO Elab'!W43</f>
        <v>7.3831740830595086E-2</v>
      </c>
      <c r="AU43">
        <f>+'10% CO Elab'!X43</f>
        <v>0.73831740830595083</v>
      </c>
      <c r="AW43">
        <f>+'10% CO Elab'!AB43</f>
        <v>1.0949511453270907E-3</v>
      </c>
      <c r="AX43" s="20">
        <v>10</v>
      </c>
      <c r="AY43" s="20" t="s">
        <v>309</v>
      </c>
      <c r="AZ43" s="20" t="s">
        <v>310</v>
      </c>
      <c r="BA43" s="20">
        <v>27</v>
      </c>
      <c r="BB43" s="20" t="s">
        <v>42</v>
      </c>
      <c r="BC43" s="20" t="s">
        <v>311</v>
      </c>
      <c r="BD43" s="20">
        <v>1</v>
      </c>
      <c r="BE43" s="20" t="s">
        <v>330</v>
      </c>
      <c r="BF43" s="20" t="s">
        <v>310</v>
      </c>
      <c r="BG43" s="20">
        <v>20</v>
      </c>
      <c r="BH43" s="20" t="s">
        <v>312</v>
      </c>
      <c r="BI43" s="1"/>
      <c r="BJ43">
        <f>+'10% CO Elab'!AA43</f>
        <v>7.1269858538712634E-3</v>
      </c>
      <c r="BK43" s="20">
        <f t="shared" si="15"/>
        <v>10</v>
      </c>
      <c r="BL43" s="20" t="s">
        <v>41</v>
      </c>
      <c r="BM43" s="20" t="str">
        <f t="shared" si="26"/>
        <v>+</v>
      </c>
      <c r="BN43" s="20">
        <f t="shared" si="16"/>
        <v>17</v>
      </c>
      <c r="BO43" s="20" t="str">
        <f t="shared" si="27"/>
        <v>H2</v>
      </c>
      <c r="BP43" s="20" t="str">
        <f t="shared" si="18"/>
        <v>=</v>
      </c>
      <c r="BQ43" s="20">
        <f t="shared" si="5"/>
        <v>1</v>
      </c>
      <c r="BR43" s="20" t="str">
        <f t="shared" si="6"/>
        <v>C10H14</v>
      </c>
      <c r="BS43" s="20" t="str">
        <f t="shared" si="7"/>
        <v>+</v>
      </c>
      <c r="BT43" s="20">
        <f t="shared" si="23"/>
        <v>10</v>
      </c>
      <c r="BU43" s="20" t="str">
        <f t="shared" si="19"/>
        <v>H2O</v>
      </c>
      <c r="BW43">
        <f t="shared" si="20"/>
        <v>2.1899022906541814E-2</v>
      </c>
      <c r="BX43">
        <f t="shared" si="21"/>
        <v>7.1269858538712635E-2</v>
      </c>
    </row>
    <row r="44" spans="5:76" x14ac:dyDescent="0.2">
      <c r="E44">
        <f>+'5% CO Elab'!R44</f>
        <v>39</v>
      </c>
      <c r="F44">
        <f>+'5% CO Elab'!S44</f>
        <v>11</v>
      </c>
      <c r="G44" t="str">
        <f>+'5% CO Elab'!T44</f>
        <v>N-UNDECANE</v>
      </c>
      <c r="H44" t="str">
        <f>+'5% CO Elab'!U44</f>
        <v>C11H24</v>
      </c>
      <c r="I44" t="str">
        <f>+'5% CO Elab'!V44</f>
        <v>C11</v>
      </c>
      <c r="J44">
        <f>+'5% CO Elab'!W44</f>
        <v>5.9630685257132644E-2</v>
      </c>
      <c r="L44">
        <f>+'5% CO Elab'!AB44</f>
        <v>1.9601439197672187E-3</v>
      </c>
      <c r="M44" s="20">
        <v>11</v>
      </c>
      <c r="N44" s="20" t="s">
        <v>309</v>
      </c>
      <c r="O44" s="20" t="s">
        <v>310</v>
      </c>
      <c r="P44" s="20">
        <v>34</v>
      </c>
      <c r="Q44" s="20" t="s">
        <v>42</v>
      </c>
      <c r="R44" s="20" t="s">
        <v>311</v>
      </c>
      <c r="S44" s="20">
        <v>1</v>
      </c>
      <c r="T44" s="20" t="s">
        <v>213</v>
      </c>
      <c r="U44" s="20" t="s">
        <v>310</v>
      </c>
      <c r="V44" s="20">
        <v>22</v>
      </c>
      <c r="W44" s="20" t="s">
        <v>312</v>
      </c>
      <c r="X44" s="1"/>
      <c r="Y44">
        <f>+'5% CO Elab'!AA44</f>
        <v>6.3140866227068488E-3</v>
      </c>
      <c r="Z44" s="20">
        <f t="shared" si="8"/>
        <v>11</v>
      </c>
      <c r="AA44" s="20" t="s">
        <v>41</v>
      </c>
      <c r="AB44" s="20" t="str">
        <f t="shared" si="24"/>
        <v>+</v>
      </c>
      <c r="AC44" s="20">
        <f t="shared" si="9"/>
        <v>23</v>
      </c>
      <c r="AD44" s="20" t="str">
        <f t="shared" si="25"/>
        <v>H2</v>
      </c>
      <c r="AE44" s="20" t="str">
        <f t="shared" si="11"/>
        <v>=</v>
      </c>
      <c r="AF44" s="20">
        <f t="shared" si="1"/>
        <v>1</v>
      </c>
      <c r="AG44" s="20" t="str">
        <f t="shared" si="2"/>
        <v>C11H24</v>
      </c>
      <c r="AH44" s="20" t="str">
        <f t="shared" si="3"/>
        <v>+</v>
      </c>
      <c r="AI44" s="20">
        <f t="shared" si="22"/>
        <v>11</v>
      </c>
      <c r="AJ44" s="20" t="str">
        <f t="shared" si="12"/>
        <v>H2O</v>
      </c>
      <c r="AL44">
        <f t="shared" si="13"/>
        <v>4.3123166234878808E-2</v>
      </c>
      <c r="AM44">
        <f t="shared" si="14"/>
        <v>6.9454952849775334E-2</v>
      </c>
      <c r="AP44">
        <f>+'10% CO Elab'!S44</f>
        <v>11</v>
      </c>
      <c r="AQ44" t="str">
        <f>+'10% CO Elab'!T44</f>
        <v>N-UNDECANE</v>
      </c>
      <c r="AR44" t="str">
        <f>+'10% CO Elab'!U44</f>
        <v>C11H24</v>
      </c>
      <c r="AS44" t="str">
        <f>+'10% CO Elab'!V44</f>
        <v>C11</v>
      </c>
      <c r="AT44">
        <f>+'10% CO Elab'!W44</f>
        <v>8.9984230827715783E-2</v>
      </c>
      <c r="AU44">
        <f>+'10% CO Elab'!X44</f>
        <v>0.98982653910487362</v>
      </c>
      <c r="AW44">
        <f>+'10% CO Elab'!AB44</f>
        <v>1.4679481893225411E-3</v>
      </c>
      <c r="AX44" s="20">
        <v>11</v>
      </c>
      <c r="AY44" s="20" t="s">
        <v>309</v>
      </c>
      <c r="AZ44" s="20" t="s">
        <v>310</v>
      </c>
      <c r="BA44" s="20">
        <v>34</v>
      </c>
      <c r="BB44" s="20" t="s">
        <v>42</v>
      </c>
      <c r="BC44" s="20" t="s">
        <v>311</v>
      </c>
      <c r="BD44" s="20">
        <v>1</v>
      </c>
      <c r="BE44" s="20" t="s">
        <v>213</v>
      </c>
      <c r="BF44" s="20" t="s">
        <v>310</v>
      </c>
      <c r="BG44" s="20">
        <v>22</v>
      </c>
      <c r="BH44" s="20" t="s">
        <v>312</v>
      </c>
      <c r="BI44" s="1"/>
      <c r="BJ44">
        <f>+'10% CO Elab'!AA44</f>
        <v>9.5548061885376602E-3</v>
      </c>
      <c r="BK44" s="20">
        <f t="shared" si="15"/>
        <v>11</v>
      </c>
      <c r="BL44" s="20" t="s">
        <v>41</v>
      </c>
      <c r="BM44" s="20" t="str">
        <f t="shared" si="26"/>
        <v>+</v>
      </c>
      <c r="BN44" s="20">
        <f t="shared" si="16"/>
        <v>23</v>
      </c>
      <c r="BO44" s="20" t="str">
        <f t="shared" si="27"/>
        <v>H2</v>
      </c>
      <c r="BP44" s="20" t="str">
        <f t="shared" si="18"/>
        <v>=</v>
      </c>
      <c r="BQ44" s="20">
        <f t="shared" si="5"/>
        <v>1</v>
      </c>
      <c r="BR44" s="20" t="str">
        <f t="shared" si="6"/>
        <v>C11H24</v>
      </c>
      <c r="BS44" s="20" t="str">
        <f t="shared" si="7"/>
        <v>+</v>
      </c>
      <c r="BT44" s="20">
        <f t="shared" si="23"/>
        <v>11</v>
      </c>
      <c r="BU44" s="20" t="str">
        <f t="shared" si="19"/>
        <v>H2O</v>
      </c>
      <c r="BW44">
        <f t="shared" si="20"/>
        <v>3.2294860165095904E-2</v>
      </c>
      <c r="BX44">
        <f t="shared" si="21"/>
        <v>0.10510286807391427</v>
      </c>
    </row>
    <row r="45" spans="5:76" x14ac:dyDescent="0.2">
      <c r="E45">
        <f>+'5% CO Elab'!R45</f>
        <v>40</v>
      </c>
      <c r="F45">
        <f>+'5% CO Elab'!S45</f>
        <v>11</v>
      </c>
      <c r="G45" t="str">
        <f>+'5% CO Elab'!T45</f>
        <v>3-ETHYLNONANE</v>
      </c>
      <c r="H45" t="str">
        <f>+'5% CO Elab'!U45</f>
        <v>C11H24-N8</v>
      </c>
      <c r="I45" t="str">
        <f>+'5% CO Elab'!V45</f>
        <v>C11-IP</v>
      </c>
      <c r="J45">
        <f>+'5% CO Elab'!W45</f>
        <v>8.918615632431609E-2</v>
      </c>
      <c r="L45">
        <f>+'5% CO Elab'!AB45</f>
        <v>2.9316735384255252E-3</v>
      </c>
      <c r="M45" s="20">
        <v>11</v>
      </c>
      <c r="N45" s="20" t="s">
        <v>309</v>
      </c>
      <c r="O45" s="20" t="s">
        <v>310</v>
      </c>
      <c r="P45" s="20">
        <v>34</v>
      </c>
      <c r="Q45" s="20" t="s">
        <v>42</v>
      </c>
      <c r="R45" s="20" t="s">
        <v>311</v>
      </c>
      <c r="S45" s="20">
        <v>1</v>
      </c>
      <c r="T45" s="20" t="s">
        <v>213</v>
      </c>
      <c r="U45" s="20" t="s">
        <v>310</v>
      </c>
      <c r="V45" s="20">
        <v>22</v>
      </c>
      <c r="W45" s="20" t="s">
        <v>312</v>
      </c>
      <c r="X45" s="1"/>
      <c r="Y45">
        <f>+'5% CO Elab'!AA45</f>
        <v>9.4436130349625329E-3</v>
      </c>
      <c r="Z45" s="20">
        <f t="shared" si="8"/>
        <v>11</v>
      </c>
      <c r="AA45" s="20" t="s">
        <v>41</v>
      </c>
      <c r="AB45" s="20" t="str">
        <f t="shared" si="24"/>
        <v>+</v>
      </c>
      <c r="AC45" s="20">
        <f t="shared" si="9"/>
        <v>23</v>
      </c>
      <c r="AD45" s="20" t="str">
        <f t="shared" si="25"/>
        <v>H2</v>
      </c>
      <c r="AE45" s="20" t="str">
        <f t="shared" si="11"/>
        <v>=</v>
      </c>
      <c r="AF45" s="20">
        <f t="shared" si="1"/>
        <v>1</v>
      </c>
      <c r="AG45" s="20" t="str">
        <f t="shared" si="2"/>
        <v>C11H24</v>
      </c>
      <c r="AH45" s="20" t="str">
        <f t="shared" si="3"/>
        <v>+</v>
      </c>
      <c r="AI45" s="20">
        <f t="shared" si="22"/>
        <v>11</v>
      </c>
      <c r="AJ45" s="20" t="str">
        <f t="shared" si="12"/>
        <v>H2O</v>
      </c>
      <c r="AL45">
        <f t="shared" si="13"/>
        <v>6.4496817845361556E-2</v>
      </c>
      <c r="AM45">
        <f t="shared" si="14"/>
        <v>0.10387974338458786</v>
      </c>
      <c r="AP45">
        <f>+'10% CO Elab'!S45</f>
        <v>11</v>
      </c>
      <c r="AQ45" t="str">
        <f>+'10% CO Elab'!T45</f>
        <v>3-ETHYLNONANE</v>
      </c>
      <c r="AR45" t="str">
        <f>+'10% CO Elab'!U45</f>
        <v>C11H24-N8</v>
      </c>
      <c r="AS45" t="str">
        <f>+'10% CO Elab'!V45</f>
        <v>C11-IP</v>
      </c>
      <c r="AT45">
        <f>+'10% CO Elab'!W45</f>
        <v>9.843091099268958E-2</v>
      </c>
      <c r="AU45">
        <f>+'10% CO Elab'!X45</f>
        <v>1.0827400209195854</v>
      </c>
      <c r="AW45">
        <f>+'10% CO Elab'!AB45</f>
        <v>1.6057422087846806E-3</v>
      </c>
      <c r="AX45" s="20">
        <v>11</v>
      </c>
      <c r="AY45" s="20" t="s">
        <v>309</v>
      </c>
      <c r="AZ45" s="20" t="s">
        <v>310</v>
      </c>
      <c r="BA45" s="20">
        <v>34</v>
      </c>
      <c r="BB45" s="20" t="s">
        <v>42</v>
      </c>
      <c r="BC45" s="20" t="s">
        <v>311</v>
      </c>
      <c r="BD45" s="20">
        <v>1</v>
      </c>
      <c r="BE45" s="20" t="s">
        <v>213</v>
      </c>
      <c r="BF45" s="20" t="s">
        <v>310</v>
      </c>
      <c r="BG45" s="20">
        <v>22</v>
      </c>
      <c r="BH45" s="20" t="s">
        <v>312</v>
      </c>
      <c r="BI45" s="1"/>
      <c r="BJ45">
        <f>+'10% CO Elab'!AA45</f>
        <v>1.045170102411625E-2</v>
      </c>
      <c r="BK45" s="20">
        <f t="shared" si="15"/>
        <v>11</v>
      </c>
      <c r="BL45" s="20" t="s">
        <v>41</v>
      </c>
      <c r="BM45" s="20" t="str">
        <f t="shared" si="26"/>
        <v>+</v>
      </c>
      <c r="BN45" s="20">
        <f t="shared" si="16"/>
        <v>23</v>
      </c>
      <c r="BO45" s="20" t="str">
        <f t="shared" si="27"/>
        <v>H2</v>
      </c>
      <c r="BP45" s="20" t="str">
        <f t="shared" si="18"/>
        <v>=</v>
      </c>
      <c r="BQ45" s="20">
        <f t="shared" si="5"/>
        <v>1</v>
      </c>
      <c r="BR45" s="20" t="str">
        <f t="shared" si="6"/>
        <v>C11H24</v>
      </c>
      <c r="BS45" s="20" t="str">
        <f t="shared" si="7"/>
        <v>+</v>
      </c>
      <c r="BT45" s="20">
        <f t="shared" si="23"/>
        <v>11</v>
      </c>
      <c r="BU45" s="20" t="str">
        <f t="shared" si="19"/>
        <v>H2O</v>
      </c>
      <c r="BW45">
        <f t="shared" si="20"/>
        <v>3.5326328593262971E-2</v>
      </c>
      <c r="BX45">
        <f t="shared" si="21"/>
        <v>0.11496871126527874</v>
      </c>
    </row>
    <row r="46" spans="5:76" x14ac:dyDescent="0.2">
      <c r="E46">
        <f>+'5% CO Elab'!R46</f>
        <v>41</v>
      </c>
      <c r="F46">
        <f>+'5% CO Elab'!S46</f>
        <v>11</v>
      </c>
      <c r="G46" t="str">
        <f>+'5% CO Elab'!T46</f>
        <v>1-ETHYL-2-ISOPROPYLBENZENE</v>
      </c>
      <c r="H46" t="str">
        <f>+'5% CO Elab'!U46</f>
        <v>C11H16-D1</v>
      </c>
      <c r="I46" t="str">
        <f>+'5% CO Elab'!V46</f>
        <v>C11-A</v>
      </c>
      <c r="J46">
        <f>+'5% CO Elab'!W46</f>
        <v>3.5749463375675854E-2</v>
      </c>
      <c r="L46">
        <f>+'5% CO Elab'!AB46</f>
        <v>1.1751347979418042E-3</v>
      </c>
      <c r="M46" s="20">
        <v>11</v>
      </c>
      <c r="N46" s="20" t="s">
        <v>309</v>
      </c>
      <c r="O46" s="20" t="s">
        <v>310</v>
      </c>
      <c r="P46" s="20">
        <v>30</v>
      </c>
      <c r="Q46" s="20" t="s">
        <v>42</v>
      </c>
      <c r="R46" s="20" t="s">
        <v>311</v>
      </c>
      <c r="S46" s="20">
        <v>1</v>
      </c>
      <c r="T46" s="20" t="s">
        <v>331</v>
      </c>
      <c r="U46" s="20" t="s">
        <v>310</v>
      </c>
      <c r="V46" s="20">
        <v>22</v>
      </c>
      <c r="W46" s="20" t="s">
        <v>312</v>
      </c>
      <c r="X46" s="1"/>
      <c r="Y46">
        <f>+'5% CO Elab'!AA46</f>
        <v>3.7853867936609624E-3</v>
      </c>
      <c r="Z46" s="20">
        <f t="shared" si="8"/>
        <v>11</v>
      </c>
      <c r="AA46" s="20" t="s">
        <v>41</v>
      </c>
      <c r="AB46" s="20" t="str">
        <f t="shared" si="24"/>
        <v>+</v>
      </c>
      <c r="AC46" s="20">
        <f t="shared" si="9"/>
        <v>19</v>
      </c>
      <c r="AD46" s="20" t="str">
        <f t="shared" si="25"/>
        <v>H2</v>
      </c>
      <c r="AE46" s="20" t="str">
        <f t="shared" si="11"/>
        <v>=</v>
      </c>
      <c r="AF46" s="20">
        <f t="shared" si="1"/>
        <v>1</v>
      </c>
      <c r="AG46" s="20" t="str">
        <f t="shared" si="2"/>
        <v>C11H16</v>
      </c>
      <c r="AH46" s="20" t="str">
        <f t="shared" si="3"/>
        <v>+</v>
      </c>
      <c r="AI46" s="20">
        <f t="shared" si="22"/>
        <v>11</v>
      </c>
      <c r="AJ46" s="20" t="str">
        <f t="shared" si="12"/>
        <v>H2O</v>
      </c>
      <c r="AL46">
        <f t="shared" si="13"/>
        <v>2.5852965554719692E-2</v>
      </c>
      <c r="AM46">
        <f t="shared" si="14"/>
        <v>4.1639254730270588E-2</v>
      </c>
      <c r="AP46">
        <f>+'10% CO Elab'!S46</f>
        <v>11</v>
      </c>
      <c r="AQ46" t="str">
        <f>+'10% CO Elab'!T46</f>
        <v>1-ETHYL-2-ISOPROPYLBENZENE</v>
      </c>
      <c r="AR46" t="str">
        <f>+'10% CO Elab'!U46</f>
        <v>C11H16-D1</v>
      </c>
      <c r="AS46" t="str">
        <f>+'10% CO Elab'!V46</f>
        <v>C11-A</v>
      </c>
      <c r="AT46">
        <f>+'10% CO Elab'!W46</f>
        <v>3.9455139593320178E-2</v>
      </c>
      <c r="AU46">
        <f>+'10% CO Elab'!X46</f>
        <v>0.43400653552652196</v>
      </c>
      <c r="AW46">
        <f>+'10% CO Elab'!AB46</f>
        <v>6.4364722788343566E-4</v>
      </c>
      <c r="AX46" s="20">
        <v>11</v>
      </c>
      <c r="AY46" s="20" t="s">
        <v>309</v>
      </c>
      <c r="AZ46" s="20" t="s">
        <v>310</v>
      </c>
      <c r="BA46" s="20">
        <v>30</v>
      </c>
      <c r="BB46" s="20" t="s">
        <v>42</v>
      </c>
      <c r="BC46" s="20" t="s">
        <v>311</v>
      </c>
      <c r="BD46" s="20">
        <v>1</v>
      </c>
      <c r="BE46" s="20" t="s">
        <v>331</v>
      </c>
      <c r="BF46" s="20" t="s">
        <v>310</v>
      </c>
      <c r="BG46" s="20">
        <v>22</v>
      </c>
      <c r="BH46" s="20" t="s">
        <v>312</v>
      </c>
      <c r="BI46" s="1"/>
      <c r="BJ46">
        <f>+'10% CO Elab'!AA46</f>
        <v>4.1894697380661329E-3</v>
      </c>
      <c r="BK46" s="20">
        <f t="shared" si="15"/>
        <v>11</v>
      </c>
      <c r="BL46" s="20" t="s">
        <v>41</v>
      </c>
      <c r="BM46" s="20" t="str">
        <f t="shared" si="26"/>
        <v>+</v>
      </c>
      <c r="BN46" s="20">
        <f t="shared" si="16"/>
        <v>19</v>
      </c>
      <c r="BO46" s="20" t="str">
        <f t="shared" si="27"/>
        <v>H2</v>
      </c>
      <c r="BP46" s="20" t="str">
        <f t="shared" si="18"/>
        <v>=</v>
      </c>
      <c r="BQ46" s="20">
        <f t="shared" si="5"/>
        <v>1</v>
      </c>
      <c r="BR46" s="20" t="str">
        <f t="shared" si="6"/>
        <v>C11H16</v>
      </c>
      <c r="BS46" s="20" t="str">
        <f t="shared" si="7"/>
        <v>+</v>
      </c>
      <c r="BT46" s="20">
        <f t="shared" si="23"/>
        <v>11</v>
      </c>
      <c r="BU46" s="20" t="str">
        <f t="shared" si="19"/>
        <v>H2O</v>
      </c>
      <c r="BW46">
        <f t="shared" si="20"/>
        <v>1.4160239013435584E-2</v>
      </c>
      <c r="BX46">
        <f t="shared" si="21"/>
        <v>4.6084167118727461E-2</v>
      </c>
    </row>
    <row r="47" spans="5:76" x14ac:dyDescent="0.2">
      <c r="E47">
        <f>+'5% CO Elab'!R47</f>
        <v>42</v>
      </c>
      <c r="F47">
        <f>+'5% CO Elab'!S47</f>
        <v>11</v>
      </c>
      <c r="G47" t="str">
        <f>+'5% CO Elab'!T47</f>
        <v>Undecene-1</v>
      </c>
      <c r="H47">
        <f>+'5% CO Elab'!U47</f>
        <v>0</v>
      </c>
      <c r="I47" t="str">
        <f>+'5% CO Elab'!V47</f>
        <v>C11-O</v>
      </c>
      <c r="J47">
        <f>+'5% CO Elab'!W47</f>
        <v>5.7420760442119974E-2</v>
      </c>
      <c r="L47">
        <f>+'5% CO Elab'!AB47</f>
        <v>1.8875006041552849E-3</v>
      </c>
      <c r="M47" s="20">
        <v>11</v>
      </c>
      <c r="N47" s="20" t="s">
        <v>309</v>
      </c>
      <c r="O47" s="20" t="s">
        <v>310</v>
      </c>
      <c r="P47" s="20">
        <v>33</v>
      </c>
      <c r="Q47" s="20" t="s">
        <v>42</v>
      </c>
      <c r="R47" s="20" t="s">
        <v>311</v>
      </c>
      <c r="S47" s="20">
        <v>1</v>
      </c>
      <c r="T47" s="20" t="s">
        <v>218</v>
      </c>
      <c r="U47" s="20" t="s">
        <v>310</v>
      </c>
      <c r="V47" s="20">
        <v>22</v>
      </c>
      <c r="W47" s="20" t="s">
        <v>312</v>
      </c>
      <c r="X47" s="1"/>
      <c r="Y47">
        <f>+'5% CO Elab'!AA47</f>
        <v>6.0800853421330969E-3</v>
      </c>
      <c r="Z47" s="20">
        <f t="shared" si="8"/>
        <v>11</v>
      </c>
      <c r="AA47" s="20" t="s">
        <v>41</v>
      </c>
      <c r="AB47" s="20" t="str">
        <f t="shared" si="24"/>
        <v>+</v>
      </c>
      <c r="AC47" s="20">
        <f t="shared" si="9"/>
        <v>22</v>
      </c>
      <c r="AD47" s="20" t="str">
        <f t="shared" si="25"/>
        <v>H2</v>
      </c>
      <c r="AE47" s="20" t="str">
        <f t="shared" si="11"/>
        <v>=</v>
      </c>
      <c r="AF47" s="20">
        <f t="shared" si="1"/>
        <v>1</v>
      </c>
      <c r="AG47" s="20" t="str">
        <f t="shared" si="2"/>
        <v>C11H22</v>
      </c>
      <c r="AH47" s="20" t="str">
        <f t="shared" si="3"/>
        <v>+</v>
      </c>
      <c r="AI47" s="20">
        <f t="shared" si="22"/>
        <v>11</v>
      </c>
      <c r="AJ47" s="20" t="str">
        <f t="shared" si="12"/>
        <v>H2O</v>
      </c>
      <c r="AL47">
        <f t="shared" si="13"/>
        <v>4.1525013291416266E-2</v>
      </c>
      <c r="AM47">
        <f t="shared" si="14"/>
        <v>6.6880938763464071E-2</v>
      </c>
      <c r="AP47">
        <f>+'10% CO Elab'!S47</f>
        <v>11</v>
      </c>
      <c r="AQ47" t="str">
        <f>+'10% CO Elab'!T47</f>
        <v>Undecene-1</v>
      </c>
      <c r="AR47">
        <f>+'10% CO Elab'!U47</f>
        <v>0</v>
      </c>
      <c r="AS47" t="str">
        <f>+'10% CO Elab'!V47</f>
        <v>C11-O</v>
      </c>
      <c r="AT47">
        <f>+'10% CO Elab'!W47</f>
        <v>6.3372814718665973E-2</v>
      </c>
      <c r="AU47">
        <f>+'10% CO Elab'!X47</f>
        <v>0.69710096190532567</v>
      </c>
      <c r="AW47">
        <f>+'10% CO Elab'!AB47</f>
        <v>1.0338256799310808E-3</v>
      </c>
      <c r="AX47" s="20">
        <v>11</v>
      </c>
      <c r="AY47" s="20" t="s">
        <v>309</v>
      </c>
      <c r="AZ47" s="20" t="s">
        <v>310</v>
      </c>
      <c r="BA47" s="20">
        <v>33</v>
      </c>
      <c r="BB47" s="20" t="s">
        <v>42</v>
      </c>
      <c r="BC47" s="20" t="s">
        <v>311</v>
      </c>
      <c r="BD47" s="20">
        <v>1</v>
      </c>
      <c r="BE47" s="20" t="s">
        <v>218</v>
      </c>
      <c r="BF47" s="20" t="s">
        <v>310</v>
      </c>
      <c r="BG47" s="20">
        <v>22</v>
      </c>
      <c r="BH47" s="20" t="s">
        <v>312</v>
      </c>
      <c r="BI47" s="1"/>
      <c r="BJ47">
        <f>+'10% CO Elab'!AA47</f>
        <v>6.7291230551081976E-3</v>
      </c>
      <c r="BK47" s="20">
        <f t="shared" si="15"/>
        <v>11</v>
      </c>
      <c r="BL47" s="20" t="s">
        <v>41</v>
      </c>
      <c r="BM47" s="20" t="str">
        <f t="shared" si="26"/>
        <v>+</v>
      </c>
      <c r="BN47" s="20">
        <f t="shared" si="16"/>
        <v>22</v>
      </c>
      <c r="BO47" s="20" t="str">
        <f t="shared" si="27"/>
        <v>H2</v>
      </c>
      <c r="BP47" s="20" t="str">
        <f t="shared" si="18"/>
        <v>=</v>
      </c>
      <c r="BQ47" s="20">
        <f t="shared" si="5"/>
        <v>1</v>
      </c>
      <c r="BR47" s="20" t="str">
        <f t="shared" si="6"/>
        <v>C11H22</v>
      </c>
      <c r="BS47" s="20" t="str">
        <f t="shared" si="7"/>
        <v>+</v>
      </c>
      <c r="BT47" s="20">
        <f t="shared" si="23"/>
        <v>11</v>
      </c>
      <c r="BU47" s="20" t="str">
        <f t="shared" si="19"/>
        <v>H2O</v>
      </c>
      <c r="BW47">
        <f t="shared" si="20"/>
        <v>2.2744164958483776E-2</v>
      </c>
      <c r="BX47">
        <f t="shared" si="21"/>
        <v>7.4020353606190178E-2</v>
      </c>
    </row>
    <row r="48" spans="5:76" x14ac:dyDescent="0.2">
      <c r="E48">
        <f>+'5% CO Elab'!R48</f>
        <v>43</v>
      </c>
      <c r="F48">
        <f>+'5% CO Elab'!S48</f>
        <v>12</v>
      </c>
      <c r="G48" t="str">
        <f>+'5% CO Elab'!T48</f>
        <v>2-METHYLUNDECANE</v>
      </c>
      <c r="H48" t="str">
        <f>+'5% CO Elab'!U48</f>
        <v>C12H26-N9</v>
      </c>
      <c r="I48" t="str">
        <f>+'5% CO Elab'!V48</f>
        <v>C12-IP</v>
      </c>
      <c r="J48">
        <f>+'5% CO Elab'!W48</f>
        <v>6.2865370725141492E-2</v>
      </c>
      <c r="L48">
        <f>+'5% CO Elab'!AB48</f>
        <v>2.2543336903464257E-3</v>
      </c>
      <c r="M48" s="20">
        <v>12</v>
      </c>
      <c r="N48" s="20" t="s">
        <v>309</v>
      </c>
      <c r="O48" s="20" t="s">
        <v>310</v>
      </c>
      <c r="P48" s="20">
        <v>37</v>
      </c>
      <c r="Q48" s="20" t="s">
        <v>42</v>
      </c>
      <c r="R48" s="20" t="s">
        <v>311</v>
      </c>
      <c r="S48" s="20">
        <v>1</v>
      </c>
      <c r="T48" s="20" t="s">
        <v>226</v>
      </c>
      <c r="U48" s="20" t="s">
        <v>310</v>
      </c>
      <c r="V48" s="20">
        <v>24</v>
      </c>
      <c r="W48" s="20" t="s">
        <v>312</v>
      </c>
      <c r="X48" s="1"/>
      <c r="Y48">
        <f>+'5% CO Elab'!AA48</f>
        <v>7.2617413720438093E-3</v>
      </c>
      <c r="Z48" s="20">
        <f t="shared" si="8"/>
        <v>12</v>
      </c>
      <c r="AA48" s="20" t="s">
        <v>41</v>
      </c>
      <c r="AB48" s="20" t="str">
        <f t="shared" si="24"/>
        <v>+</v>
      </c>
      <c r="AC48" s="20">
        <f t="shared" si="9"/>
        <v>25</v>
      </c>
      <c r="AD48" s="20" t="str">
        <f t="shared" si="25"/>
        <v>H2</v>
      </c>
      <c r="AE48" s="20" t="str">
        <f t="shared" si="11"/>
        <v>=</v>
      </c>
      <c r="AF48" s="20">
        <f t="shared" si="1"/>
        <v>1</v>
      </c>
      <c r="AG48" s="20" t="str">
        <f t="shared" si="2"/>
        <v>C12H26</v>
      </c>
      <c r="AH48" s="20" t="str">
        <f t="shared" si="3"/>
        <v>+</v>
      </c>
      <c r="AI48" s="20">
        <f t="shared" si="22"/>
        <v>12</v>
      </c>
      <c r="AJ48" s="20" t="str">
        <f t="shared" si="12"/>
        <v>H2O</v>
      </c>
      <c r="AL48">
        <f t="shared" si="13"/>
        <v>5.4104008568314217E-2</v>
      </c>
      <c r="AM48">
        <f t="shared" si="14"/>
        <v>8.7140896464525719E-2</v>
      </c>
      <c r="AP48">
        <f>+'10% CO Elab'!S48</f>
        <v>12</v>
      </c>
      <c r="AQ48" t="str">
        <f>+'10% CO Elab'!T48</f>
        <v>2-METHYLUNDECANE</v>
      </c>
      <c r="AR48" t="str">
        <f>+'10% CO Elab'!U48</f>
        <v>C12H26-N9</v>
      </c>
      <c r="AS48" t="str">
        <f>+'10% CO Elab'!V48</f>
        <v>C12-IP</v>
      </c>
      <c r="AT48">
        <f>+'10% CO Elab'!W48</f>
        <v>6.9381796070089666E-2</v>
      </c>
      <c r="AU48">
        <f>+'10% CO Elab'!X48</f>
        <v>0.83258155284107604</v>
      </c>
      <c r="AW48">
        <f>+'10% CO Elab'!AB48</f>
        <v>1.234748245951925E-3</v>
      </c>
      <c r="AX48" s="20">
        <v>12</v>
      </c>
      <c r="AY48" s="20" t="s">
        <v>309</v>
      </c>
      <c r="AZ48" s="20" t="s">
        <v>310</v>
      </c>
      <c r="BA48" s="20">
        <v>37</v>
      </c>
      <c r="BB48" s="20" t="s">
        <v>42</v>
      </c>
      <c r="BC48" s="20" t="s">
        <v>311</v>
      </c>
      <c r="BD48" s="20">
        <v>1</v>
      </c>
      <c r="BE48" s="20" t="s">
        <v>226</v>
      </c>
      <c r="BF48" s="20" t="s">
        <v>310</v>
      </c>
      <c r="BG48" s="20">
        <v>24</v>
      </c>
      <c r="BH48" s="20" t="s">
        <v>312</v>
      </c>
      <c r="BI48" s="1"/>
      <c r="BJ48">
        <f>+'10% CO Elab'!AA48</f>
        <v>8.0369186511631292E-3</v>
      </c>
      <c r="BK48" s="20">
        <f t="shared" si="15"/>
        <v>12</v>
      </c>
      <c r="BL48" s="20" t="s">
        <v>41</v>
      </c>
      <c r="BM48" s="20" t="str">
        <f t="shared" si="26"/>
        <v>+</v>
      </c>
      <c r="BN48" s="20">
        <f t="shared" si="16"/>
        <v>25</v>
      </c>
      <c r="BO48" s="20" t="str">
        <f t="shared" si="27"/>
        <v>H2</v>
      </c>
      <c r="BP48" s="20" t="str">
        <f t="shared" si="18"/>
        <v>=</v>
      </c>
      <c r="BQ48" s="20">
        <f t="shared" si="5"/>
        <v>1</v>
      </c>
      <c r="BR48" s="20" t="str">
        <f t="shared" si="6"/>
        <v>C12H26</v>
      </c>
      <c r="BS48" s="20" t="str">
        <f t="shared" si="7"/>
        <v>+</v>
      </c>
      <c r="BT48" s="20">
        <f t="shared" si="23"/>
        <v>12</v>
      </c>
      <c r="BU48" s="20" t="str">
        <f t="shared" si="19"/>
        <v>H2O</v>
      </c>
      <c r="BW48">
        <f t="shared" si="20"/>
        <v>2.96339579028462E-2</v>
      </c>
      <c r="BX48">
        <f t="shared" si="21"/>
        <v>9.6443023813957557E-2</v>
      </c>
    </row>
    <row r="49" spans="5:76" x14ac:dyDescent="0.2">
      <c r="E49">
        <f>+'5% CO Elab'!R49</f>
        <v>44</v>
      </c>
      <c r="F49">
        <f>+'5% CO Elab'!S49</f>
        <v>12</v>
      </c>
      <c r="G49" t="str">
        <f>+'5% CO Elab'!T49</f>
        <v>N-DODECANE</v>
      </c>
      <c r="H49" t="str">
        <f>+'5% CO Elab'!U49</f>
        <v>C12H26</v>
      </c>
      <c r="I49" t="str">
        <f>+'5% CO Elab'!V49</f>
        <v>C12</v>
      </c>
      <c r="J49">
        <f>+'5% CO Elab'!W49</f>
        <v>6.6130373010524282E-2</v>
      </c>
      <c r="L49">
        <f>+'5% CO Elab'!AB49</f>
        <v>2.3714157112761599E-3</v>
      </c>
      <c r="M49" s="20">
        <v>12</v>
      </c>
      <c r="N49" s="20" t="s">
        <v>309</v>
      </c>
      <c r="O49" s="20" t="s">
        <v>310</v>
      </c>
      <c r="P49" s="20">
        <v>37</v>
      </c>
      <c r="Q49" s="20" t="s">
        <v>42</v>
      </c>
      <c r="R49" s="20" t="s">
        <v>311</v>
      </c>
      <c r="S49" s="20">
        <v>1</v>
      </c>
      <c r="T49" s="20" t="s">
        <v>226</v>
      </c>
      <c r="U49" s="20" t="s">
        <v>310</v>
      </c>
      <c r="V49" s="20">
        <v>24</v>
      </c>
      <c r="W49" s="20" t="s">
        <v>312</v>
      </c>
      <c r="X49" s="1"/>
      <c r="Y49">
        <f>+'5% CO Elab'!AA49</f>
        <v>7.6388902204812788E-3</v>
      </c>
      <c r="Z49" s="20">
        <f t="shared" si="8"/>
        <v>12</v>
      </c>
      <c r="AA49" s="20" t="s">
        <v>41</v>
      </c>
      <c r="AB49" s="20" t="str">
        <f t="shared" si="24"/>
        <v>+</v>
      </c>
      <c r="AC49" s="20">
        <f t="shared" si="9"/>
        <v>25</v>
      </c>
      <c r="AD49" s="20" t="str">
        <f t="shared" si="25"/>
        <v>H2</v>
      </c>
      <c r="AE49" s="20" t="str">
        <f t="shared" si="11"/>
        <v>=</v>
      </c>
      <c r="AF49" s="20">
        <f t="shared" si="1"/>
        <v>1</v>
      </c>
      <c r="AG49" s="20" t="str">
        <f t="shared" si="2"/>
        <v>C12H26</v>
      </c>
      <c r="AH49" s="20" t="str">
        <f t="shared" si="3"/>
        <v>+</v>
      </c>
      <c r="AI49" s="20">
        <f t="shared" si="22"/>
        <v>12</v>
      </c>
      <c r="AJ49" s="20" t="str">
        <f t="shared" si="12"/>
        <v>H2O</v>
      </c>
      <c r="AL49">
        <f t="shared" si="13"/>
        <v>5.6913977070627841E-2</v>
      </c>
      <c r="AM49">
        <f t="shared" si="14"/>
        <v>9.1666682645775349E-2</v>
      </c>
      <c r="AP49">
        <f>+'10% CO Elab'!S49</f>
        <v>12</v>
      </c>
      <c r="AQ49" t="str">
        <f>+'10% CO Elab'!T49</f>
        <v>N-DODECANE</v>
      </c>
      <c r="AR49" t="str">
        <f>+'10% CO Elab'!U49</f>
        <v>C12H26</v>
      </c>
      <c r="AS49" t="str">
        <f>+'10% CO Elab'!V49</f>
        <v>C12</v>
      </c>
      <c r="AT49">
        <f>+'10% CO Elab'!W49</f>
        <v>0.10087648909937987</v>
      </c>
      <c r="AU49">
        <f>+'10% CO Elab'!X49</f>
        <v>1.2105178691925584</v>
      </c>
      <c r="AW49">
        <f>+'10% CO Elab'!AB49</f>
        <v>1.7952413317092557E-3</v>
      </c>
      <c r="AX49" s="20">
        <v>12</v>
      </c>
      <c r="AY49" s="20" t="s">
        <v>309</v>
      </c>
      <c r="AZ49" s="20" t="s">
        <v>310</v>
      </c>
      <c r="BA49" s="20">
        <v>37</v>
      </c>
      <c r="BB49" s="20" t="s">
        <v>42</v>
      </c>
      <c r="BC49" s="20" t="s">
        <v>311</v>
      </c>
      <c r="BD49" s="20">
        <v>1</v>
      </c>
      <c r="BE49" s="20" t="s">
        <v>226</v>
      </c>
      <c r="BF49" s="20" t="s">
        <v>310</v>
      </c>
      <c r="BG49" s="20">
        <v>24</v>
      </c>
      <c r="BH49" s="20" t="s">
        <v>312</v>
      </c>
      <c r="BI49" s="1"/>
      <c r="BJ49">
        <f>+'10% CO Elab'!AA49</f>
        <v>1.168514196270809E-2</v>
      </c>
      <c r="BK49" s="20">
        <f t="shared" si="15"/>
        <v>12</v>
      </c>
      <c r="BL49" s="20" t="s">
        <v>41</v>
      </c>
      <c r="BM49" s="20" t="str">
        <f t="shared" si="26"/>
        <v>+</v>
      </c>
      <c r="BN49" s="20">
        <f t="shared" si="16"/>
        <v>25</v>
      </c>
      <c r="BO49" s="20" t="str">
        <f t="shared" si="27"/>
        <v>H2</v>
      </c>
      <c r="BP49" s="20" t="str">
        <f t="shared" si="18"/>
        <v>=</v>
      </c>
      <c r="BQ49" s="20">
        <f t="shared" si="5"/>
        <v>1</v>
      </c>
      <c r="BR49" s="20" t="str">
        <f t="shared" si="6"/>
        <v>C12H26</v>
      </c>
      <c r="BS49" s="20" t="str">
        <f t="shared" si="7"/>
        <v>+</v>
      </c>
      <c r="BT49" s="20">
        <f t="shared" si="23"/>
        <v>12</v>
      </c>
      <c r="BU49" s="20" t="str">
        <f t="shared" si="19"/>
        <v>H2O</v>
      </c>
      <c r="BW49">
        <f t="shared" si="20"/>
        <v>4.3085791961022135E-2</v>
      </c>
      <c r="BX49">
        <f t="shared" si="21"/>
        <v>0.14022170355249708</v>
      </c>
    </row>
    <row r="50" spans="5:76" x14ac:dyDescent="0.2">
      <c r="E50">
        <f>+'5% CO Elab'!R50</f>
        <v>45</v>
      </c>
      <c r="F50">
        <f>+'5% CO Elab'!S50</f>
        <v>12</v>
      </c>
      <c r="G50" t="str">
        <f>+'5% CO Elab'!T50</f>
        <v>1-DODECENE</v>
      </c>
      <c r="H50" t="str">
        <f>+'5% CO Elab'!U50</f>
        <v>C12H24-2</v>
      </c>
      <c r="I50" t="str">
        <f>+'5% CO Elab'!V50</f>
        <v>C12-O</v>
      </c>
      <c r="J50">
        <f>+'5% CO Elab'!W50</f>
        <v>6.1748816777924256E-3</v>
      </c>
      <c r="L50">
        <f>+'5% CO Elab'!AB50</f>
        <v>2.2142943944468397E-4</v>
      </c>
      <c r="M50" s="20">
        <v>12</v>
      </c>
      <c r="N50" s="20" t="s">
        <v>309</v>
      </c>
      <c r="O50" s="20" t="s">
        <v>310</v>
      </c>
      <c r="P50" s="20">
        <v>36</v>
      </c>
      <c r="Q50" s="20" t="s">
        <v>42</v>
      </c>
      <c r="R50" s="20" t="s">
        <v>311</v>
      </c>
      <c r="S50" s="20">
        <v>1</v>
      </c>
      <c r="T50" s="20" t="s">
        <v>332</v>
      </c>
      <c r="U50" s="20" t="s">
        <v>310</v>
      </c>
      <c r="V50" s="20">
        <v>24</v>
      </c>
      <c r="W50" s="20" t="s">
        <v>312</v>
      </c>
      <c r="X50" s="1"/>
      <c r="Y50">
        <f>+'5% CO Elab'!AA50</f>
        <v>7.1327653412163374E-4</v>
      </c>
      <c r="Z50" s="20">
        <f t="shared" si="8"/>
        <v>12</v>
      </c>
      <c r="AA50" s="20" t="s">
        <v>41</v>
      </c>
      <c r="AB50" s="20" t="str">
        <f t="shared" si="24"/>
        <v>+</v>
      </c>
      <c r="AC50" s="20">
        <f t="shared" si="9"/>
        <v>24</v>
      </c>
      <c r="AD50" s="20" t="str">
        <f t="shared" si="25"/>
        <v>H2</v>
      </c>
      <c r="AE50" s="20" t="str">
        <f t="shared" si="11"/>
        <v>=</v>
      </c>
      <c r="AF50" s="20">
        <f t="shared" si="1"/>
        <v>1</v>
      </c>
      <c r="AG50" s="20" t="str">
        <f t="shared" si="2"/>
        <v>C12H24</v>
      </c>
      <c r="AH50" s="20" t="str">
        <f t="shared" si="3"/>
        <v>+</v>
      </c>
      <c r="AI50" s="20">
        <f t="shared" si="22"/>
        <v>12</v>
      </c>
      <c r="AJ50" s="20" t="str">
        <f t="shared" si="12"/>
        <v>H2O</v>
      </c>
      <c r="AL50">
        <f t="shared" si="13"/>
        <v>5.3143065466724152E-3</v>
      </c>
      <c r="AM50">
        <f t="shared" si="14"/>
        <v>8.5593184094596049E-3</v>
      </c>
      <c r="AP50">
        <f>+'10% CO Elab'!S50</f>
        <v>12</v>
      </c>
      <c r="AQ50" t="str">
        <f>+'10% CO Elab'!T50</f>
        <v>1-DODECENE</v>
      </c>
      <c r="AR50" t="str">
        <f>+'10% CO Elab'!U50</f>
        <v>C12H24-2</v>
      </c>
      <c r="AS50" t="str">
        <f>+'10% CO Elab'!V50</f>
        <v>C12-O</v>
      </c>
      <c r="AT50">
        <f>+'10% CO Elab'!W50</f>
        <v>6.8149503674872804E-3</v>
      </c>
      <c r="AU50">
        <f>+'10% CO Elab'!X50</f>
        <v>8.1779404409847364E-2</v>
      </c>
      <c r="AW50">
        <f>+'10% CO Elab'!AB50</f>
        <v>1.2128178411529943E-4</v>
      </c>
      <c r="AX50" s="20">
        <v>12</v>
      </c>
      <c r="AY50" s="20" t="s">
        <v>309</v>
      </c>
      <c r="AZ50" s="20" t="s">
        <v>310</v>
      </c>
      <c r="BA50" s="20">
        <v>36</v>
      </c>
      <c r="BB50" s="20" t="s">
        <v>42</v>
      </c>
      <c r="BC50" s="20" t="s">
        <v>311</v>
      </c>
      <c r="BD50" s="20">
        <v>1</v>
      </c>
      <c r="BE50" s="20" t="s">
        <v>332</v>
      </c>
      <c r="BF50" s="20" t="s">
        <v>310</v>
      </c>
      <c r="BG50" s="20">
        <v>24</v>
      </c>
      <c r="BH50" s="20" t="s">
        <v>312</v>
      </c>
      <c r="BI50" s="1"/>
      <c r="BJ50">
        <f>+'10% CO Elab'!AA50</f>
        <v>7.8941746708141624E-4</v>
      </c>
      <c r="BK50" s="20">
        <f t="shared" si="15"/>
        <v>12</v>
      </c>
      <c r="BL50" s="20" t="s">
        <v>41</v>
      </c>
      <c r="BM50" s="20" t="str">
        <f t="shared" si="26"/>
        <v>+</v>
      </c>
      <c r="BN50" s="20">
        <f t="shared" si="16"/>
        <v>24</v>
      </c>
      <c r="BO50" s="20" t="str">
        <f t="shared" si="27"/>
        <v>H2</v>
      </c>
      <c r="BP50" s="20" t="str">
        <f t="shared" si="18"/>
        <v>=</v>
      </c>
      <c r="BQ50" s="20">
        <f t="shared" si="5"/>
        <v>1</v>
      </c>
      <c r="BR50" s="20" t="str">
        <f t="shared" si="6"/>
        <v>C12H24</v>
      </c>
      <c r="BS50" s="20" t="str">
        <f t="shared" si="7"/>
        <v>+</v>
      </c>
      <c r="BT50" s="20">
        <f t="shared" si="23"/>
        <v>12</v>
      </c>
      <c r="BU50" s="20" t="str">
        <f t="shared" si="19"/>
        <v>H2O</v>
      </c>
      <c r="BW50">
        <f t="shared" si="20"/>
        <v>2.9107628187671863E-3</v>
      </c>
      <c r="BX50">
        <f t="shared" si="21"/>
        <v>9.4730096049769948E-3</v>
      </c>
    </row>
    <row r="51" spans="5:76" x14ac:dyDescent="0.2">
      <c r="E51">
        <f>+'5% CO Elab'!R51</f>
        <v>46</v>
      </c>
      <c r="F51">
        <f>+'5% CO Elab'!S51</f>
        <v>12</v>
      </c>
      <c r="G51" t="str">
        <f>+'5% CO Elab'!T51</f>
        <v>1,2,4-TRIETHYLBENZENE</v>
      </c>
      <c r="H51" t="str">
        <f>+'5% CO Elab'!U51</f>
        <v>C12H18-D6</v>
      </c>
      <c r="I51" t="str">
        <f>+'5% CO Elab'!V51</f>
        <v>C12-A</v>
      </c>
      <c r="J51">
        <f>+'5% CO Elab'!W51</f>
        <v>2.1764343228712207E-2</v>
      </c>
      <c r="L51">
        <f>+'5% CO Elab'!AB51</f>
        <v>7.8046294204270133E-4</v>
      </c>
      <c r="M51" s="20">
        <v>12</v>
      </c>
      <c r="N51" s="20" t="s">
        <v>309</v>
      </c>
      <c r="O51" s="20" t="s">
        <v>310</v>
      </c>
      <c r="P51" s="20">
        <v>33</v>
      </c>
      <c r="Q51" s="20" t="s">
        <v>42</v>
      </c>
      <c r="R51" s="20" t="s">
        <v>311</v>
      </c>
      <c r="S51" s="20">
        <v>1</v>
      </c>
      <c r="T51" s="20" t="s">
        <v>333</v>
      </c>
      <c r="U51" s="20" t="s">
        <v>310</v>
      </c>
      <c r="V51" s="20">
        <v>24</v>
      </c>
      <c r="W51" s="20" t="s">
        <v>312</v>
      </c>
      <c r="X51" s="1"/>
      <c r="Y51">
        <f>+'5% CO Elab'!AA51</f>
        <v>2.514055509993101E-3</v>
      </c>
      <c r="Z51" s="20">
        <f t="shared" si="8"/>
        <v>12</v>
      </c>
      <c r="AA51" s="20" t="s">
        <v>41</v>
      </c>
      <c r="AB51" s="20" t="str">
        <f t="shared" si="24"/>
        <v>+</v>
      </c>
      <c r="AC51" s="20">
        <f t="shared" si="9"/>
        <v>21</v>
      </c>
      <c r="AD51" s="20" t="str">
        <f t="shared" si="25"/>
        <v>H2</v>
      </c>
      <c r="AE51" s="20" t="str">
        <f t="shared" si="11"/>
        <v>=</v>
      </c>
      <c r="AF51" s="20">
        <f t="shared" si="1"/>
        <v>1</v>
      </c>
      <c r="AG51" s="20" t="str">
        <f t="shared" si="2"/>
        <v>C12H18</v>
      </c>
      <c r="AH51" s="20" t="str">
        <f t="shared" si="3"/>
        <v>+</v>
      </c>
      <c r="AI51" s="20">
        <f t="shared" si="22"/>
        <v>12</v>
      </c>
      <c r="AJ51" s="20" t="str">
        <f t="shared" si="12"/>
        <v>H2O</v>
      </c>
      <c r="AL51">
        <f t="shared" si="13"/>
        <v>1.8731110609024833E-2</v>
      </c>
      <c r="AM51">
        <f t="shared" si="14"/>
        <v>3.0168666119917212E-2</v>
      </c>
      <c r="AP51">
        <f>+'10% CO Elab'!S51</f>
        <v>12</v>
      </c>
      <c r="AQ51" t="str">
        <f>+'10% CO Elab'!T51</f>
        <v>1,2,4-TRIETHYLBENZENE</v>
      </c>
      <c r="AR51" t="str">
        <f>+'10% CO Elab'!U51</f>
        <v>C12H18-D6</v>
      </c>
      <c r="AS51" t="str">
        <f>+'10% CO Elab'!V51</f>
        <v>C12-A</v>
      </c>
      <c r="AT51">
        <f>+'10% CO Elab'!W51</f>
        <v>2.4020366158280512E-2</v>
      </c>
      <c r="AU51">
        <f>+'10% CO Elab'!X51</f>
        <v>0.28824439389936612</v>
      </c>
      <c r="AW51">
        <f>+'10% CO Elab'!AB51</f>
        <v>4.2747675414885679E-4</v>
      </c>
      <c r="AX51" s="20">
        <v>12</v>
      </c>
      <c r="AY51" s="20" t="s">
        <v>309</v>
      </c>
      <c r="AZ51" s="20" t="s">
        <v>310</v>
      </c>
      <c r="BA51" s="20">
        <v>33</v>
      </c>
      <c r="BB51" s="20" t="s">
        <v>42</v>
      </c>
      <c r="BC51" s="20" t="s">
        <v>311</v>
      </c>
      <c r="BD51" s="20">
        <v>1</v>
      </c>
      <c r="BE51" s="20" t="s">
        <v>333</v>
      </c>
      <c r="BF51" s="20" t="s">
        <v>310</v>
      </c>
      <c r="BG51" s="20">
        <v>24</v>
      </c>
      <c r="BH51" s="20" t="s">
        <v>312</v>
      </c>
      <c r="BI51" s="1"/>
      <c r="BJ51">
        <f>+'10% CO Elab'!AA51</f>
        <v>2.7824262230143615E-3</v>
      </c>
      <c r="BK51" s="20">
        <f t="shared" si="15"/>
        <v>12</v>
      </c>
      <c r="BL51" s="20" t="s">
        <v>41</v>
      </c>
      <c r="BM51" s="20" t="str">
        <f t="shared" si="26"/>
        <v>+</v>
      </c>
      <c r="BN51" s="20">
        <f t="shared" si="16"/>
        <v>21</v>
      </c>
      <c r="BO51" s="20" t="str">
        <f t="shared" si="27"/>
        <v>H2</v>
      </c>
      <c r="BP51" s="20" t="str">
        <f t="shared" si="18"/>
        <v>=</v>
      </c>
      <c r="BQ51" s="20">
        <f t="shared" si="5"/>
        <v>1</v>
      </c>
      <c r="BR51" s="20" t="str">
        <f t="shared" si="6"/>
        <v>C12H18</v>
      </c>
      <c r="BS51" s="20" t="str">
        <f t="shared" si="7"/>
        <v>+</v>
      </c>
      <c r="BT51" s="20">
        <f t="shared" si="23"/>
        <v>12</v>
      </c>
      <c r="BU51" s="20" t="str">
        <f t="shared" si="19"/>
        <v>H2O</v>
      </c>
      <c r="BW51">
        <f t="shared" si="20"/>
        <v>1.0259442099572563E-2</v>
      </c>
      <c r="BX51">
        <f t="shared" si="21"/>
        <v>3.3389114676172338E-2</v>
      </c>
    </row>
    <row r="52" spans="5:76" x14ac:dyDescent="0.2">
      <c r="E52">
        <f>+'5% CO Elab'!R52</f>
        <v>47</v>
      </c>
      <c r="F52">
        <f>+'5% CO Elab'!S52</f>
        <v>12</v>
      </c>
      <c r="G52">
        <f>+'5% CO Elab'!T52</f>
        <v>0</v>
      </c>
      <c r="H52">
        <f>+'5% CO Elab'!U52</f>
        <v>0</v>
      </c>
      <c r="I52" t="str">
        <f>+'5% CO Elab'!V52</f>
        <v>C12-N</v>
      </c>
      <c r="J52">
        <f>+'5% CO Elab'!W52</f>
        <v>5.6560788336308702E-3</v>
      </c>
      <c r="L52">
        <f>+'5% CO Elab'!AB52</f>
        <v>2.0282532215800734E-4</v>
      </c>
      <c r="M52" s="20">
        <v>12</v>
      </c>
      <c r="N52" s="20" t="s">
        <v>309</v>
      </c>
      <c r="O52" s="20" t="s">
        <v>310</v>
      </c>
      <c r="P52" s="20">
        <v>36</v>
      </c>
      <c r="Q52" s="20" t="s">
        <v>42</v>
      </c>
      <c r="R52" s="20" t="s">
        <v>311</v>
      </c>
      <c r="S52" s="20">
        <v>1</v>
      </c>
      <c r="T52" s="20" t="s">
        <v>332</v>
      </c>
      <c r="U52" s="20" t="s">
        <v>310</v>
      </c>
      <c r="V52" s="20">
        <v>24</v>
      </c>
      <c r="W52" s="20" t="s">
        <v>312</v>
      </c>
      <c r="X52" s="1"/>
      <c r="Y52">
        <f>+'5% CO Elab'!AA52</f>
        <v>6.5334827737351477E-4</v>
      </c>
      <c r="Z52" s="20">
        <f t="shared" si="8"/>
        <v>12</v>
      </c>
      <c r="AA52" s="20" t="s">
        <v>41</v>
      </c>
      <c r="AB52" s="20" t="str">
        <f t="shared" si="24"/>
        <v>+</v>
      </c>
      <c r="AC52" s="20">
        <f t="shared" si="9"/>
        <v>24</v>
      </c>
      <c r="AD52" s="20" t="str">
        <f t="shared" si="25"/>
        <v>H2</v>
      </c>
      <c r="AE52" s="20" t="str">
        <f t="shared" si="11"/>
        <v>=</v>
      </c>
      <c r="AF52" s="20">
        <f t="shared" si="1"/>
        <v>1</v>
      </c>
      <c r="AG52" s="20" t="str">
        <f t="shared" si="2"/>
        <v>C12H24</v>
      </c>
      <c r="AH52" s="20" t="str">
        <f t="shared" si="3"/>
        <v>+</v>
      </c>
      <c r="AI52" s="20">
        <f t="shared" si="22"/>
        <v>12</v>
      </c>
      <c r="AJ52" s="20" t="str">
        <f t="shared" si="12"/>
        <v>H2O</v>
      </c>
      <c r="AL52">
        <f t="shared" si="13"/>
        <v>4.8678077317921764E-3</v>
      </c>
      <c r="AM52">
        <f t="shared" si="14"/>
        <v>7.8401793284821782E-3</v>
      </c>
      <c r="AP52">
        <f>+'10% CO Elab'!S52</f>
        <v>12</v>
      </c>
      <c r="AQ52">
        <f>+'10% CO Elab'!T52</f>
        <v>0</v>
      </c>
      <c r="AR52">
        <f>+'10% CO Elab'!U52</f>
        <v>0</v>
      </c>
      <c r="AS52" t="str">
        <f>+'10% CO Elab'!V52</f>
        <v>C12-N</v>
      </c>
      <c r="AT52">
        <f>+'10% CO Elab'!W52</f>
        <v>6.2423700626390334E-3</v>
      </c>
      <c r="AU52">
        <f>+'10% CO Elab'!X52</f>
        <v>7.4908440751668401E-2</v>
      </c>
      <c r="AW52">
        <f>+'10% CO Elab'!AB52</f>
        <v>1.1109189905721035E-4</v>
      </c>
      <c r="AX52" s="20">
        <v>12</v>
      </c>
      <c r="AY52" s="20" t="s">
        <v>309</v>
      </c>
      <c r="AZ52" s="20" t="s">
        <v>310</v>
      </c>
      <c r="BA52" s="20">
        <v>36</v>
      </c>
      <c r="BB52" s="20" t="s">
        <v>42</v>
      </c>
      <c r="BC52" s="20" t="s">
        <v>311</v>
      </c>
      <c r="BD52" s="20">
        <v>1</v>
      </c>
      <c r="BE52" s="20" t="s">
        <v>332</v>
      </c>
      <c r="BF52" s="20" t="s">
        <v>310</v>
      </c>
      <c r="BG52" s="20">
        <v>24</v>
      </c>
      <c r="BH52" s="20" t="s">
        <v>312</v>
      </c>
      <c r="BI52" s="1"/>
      <c r="BJ52">
        <f>+'10% CO Elab'!AA52</f>
        <v>7.230919812627035E-4</v>
      </c>
      <c r="BK52" s="20">
        <f t="shared" si="15"/>
        <v>12</v>
      </c>
      <c r="BL52" s="20" t="s">
        <v>41</v>
      </c>
      <c r="BM52" s="20" t="str">
        <f t="shared" si="26"/>
        <v>+</v>
      </c>
      <c r="BN52" s="20">
        <f t="shared" si="16"/>
        <v>24</v>
      </c>
      <c r="BO52" s="20" t="str">
        <f t="shared" si="27"/>
        <v>H2</v>
      </c>
      <c r="BP52" s="20" t="str">
        <f t="shared" si="18"/>
        <v>=</v>
      </c>
      <c r="BQ52" s="20">
        <f t="shared" si="5"/>
        <v>1</v>
      </c>
      <c r="BR52" s="20" t="str">
        <f t="shared" si="6"/>
        <v>C12H24</v>
      </c>
      <c r="BS52" s="20" t="str">
        <f t="shared" si="7"/>
        <v>+</v>
      </c>
      <c r="BT52" s="20">
        <f t="shared" si="23"/>
        <v>12</v>
      </c>
      <c r="BU52" s="20" t="str">
        <f t="shared" si="19"/>
        <v>H2O</v>
      </c>
      <c r="BW52">
        <f t="shared" si="20"/>
        <v>2.6662055773730483E-3</v>
      </c>
      <c r="BX52">
        <f t="shared" si="21"/>
        <v>8.6771037751524425E-3</v>
      </c>
    </row>
    <row r="53" spans="5:76" x14ac:dyDescent="0.2">
      <c r="E53">
        <f>+'5% CO Elab'!R53</f>
        <v>48</v>
      </c>
      <c r="F53">
        <f>+'5% CO Elab'!S53</f>
        <v>13</v>
      </c>
      <c r="G53" t="str">
        <f>+'5% CO Elab'!T53</f>
        <v>2-METHYLDODECANE</v>
      </c>
      <c r="H53" t="str">
        <f>+'5% CO Elab'!U53</f>
        <v>C13H28-N1</v>
      </c>
      <c r="I53" t="str">
        <f>+'5% CO Elab'!V53</f>
        <v>C13-IP</v>
      </c>
      <c r="J53">
        <f>+'5% CO Elab'!W53</f>
        <v>2.2708902754767217E-2</v>
      </c>
      <c r="L53">
        <f>+'5% CO Elab'!AB53</f>
        <v>8.8219578267645761E-4</v>
      </c>
      <c r="M53" s="20">
        <v>13</v>
      </c>
      <c r="N53" s="20" t="s">
        <v>309</v>
      </c>
      <c r="O53" s="20" t="s">
        <v>310</v>
      </c>
      <c r="P53" s="20">
        <v>40</v>
      </c>
      <c r="Q53" s="20" t="s">
        <v>42</v>
      </c>
      <c r="R53" s="20" t="s">
        <v>311</v>
      </c>
      <c r="S53" s="20">
        <v>1</v>
      </c>
      <c r="T53" s="20" t="s">
        <v>241</v>
      </c>
      <c r="U53" s="20" t="s">
        <v>310</v>
      </c>
      <c r="V53" s="20">
        <v>26</v>
      </c>
      <c r="W53" s="20" t="s">
        <v>312</v>
      </c>
      <c r="X53" s="1"/>
      <c r="Y53">
        <f>+'5% CO Elab'!AA53</f>
        <v>2.8417610226637484E-3</v>
      </c>
      <c r="Z53" s="20">
        <f t="shared" si="8"/>
        <v>13</v>
      </c>
      <c r="AA53" s="20" t="s">
        <v>41</v>
      </c>
      <c r="AB53" s="20" t="str">
        <f t="shared" si="24"/>
        <v>+</v>
      </c>
      <c r="AC53" s="20">
        <f t="shared" si="9"/>
        <v>27</v>
      </c>
      <c r="AD53" s="20" t="str">
        <f t="shared" si="25"/>
        <v>H2</v>
      </c>
      <c r="AE53" s="20" t="str">
        <f t="shared" si="11"/>
        <v>=</v>
      </c>
      <c r="AF53" s="20">
        <f t="shared" si="1"/>
        <v>1</v>
      </c>
      <c r="AG53" s="20" t="str">
        <f t="shared" si="2"/>
        <v>C13H28</v>
      </c>
      <c r="AH53" s="20" t="str">
        <f t="shared" si="3"/>
        <v>+</v>
      </c>
      <c r="AI53" s="20">
        <f t="shared" si="22"/>
        <v>13</v>
      </c>
      <c r="AJ53" s="20" t="str">
        <f t="shared" si="12"/>
        <v>H2O</v>
      </c>
      <c r="AL53">
        <f t="shared" si="13"/>
        <v>2.2937090349587897E-2</v>
      </c>
      <c r="AM53">
        <f t="shared" si="14"/>
        <v>3.6942893294628729E-2</v>
      </c>
      <c r="AP53">
        <f>+'10% CO Elab'!S53</f>
        <v>13</v>
      </c>
      <c r="AQ53" t="str">
        <f>+'10% CO Elab'!T53</f>
        <v>2-METHYLDODECANE</v>
      </c>
      <c r="AR53" t="str">
        <f>+'10% CO Elab'!U53</f>
        <v>C13H28-N1</v>
      </c>
      <c r="AS53" t="str">
        <f>+'10% CO Elab'!V53</f>
        <v>C13-IP</v>
      </c>
      <c r="AT53">
        <f>+'10% CO Elab'!W53</f>
        <v>2.5062835735042269E-2</v>
      </c>
      <c r="AU53">
        <f>+'10% CO Elab'!X53</f>
        <v>0.32581686455554948</v>
      </c>
      <c r="AW53">
        <f>+'10% CO Elab'!AB53</f>
        <v>4.8319807307610669E-4</v>
      </c>
      <c r="AX53" s="20">
        <v>13</v>
      </c>
      <c r="AY53" s="20" t="s">
        <v>309</v>
      </c>
      <c r="AZ53" s="20" t="s">
        <v>310</v>
      </c>
      <c r="BA53" s="20">
        <v>40</v>
      </c>
      <c r="BB53" s="20" t="s">
        <v>42</v>
      </c>
      <c r="BC53" s="20" t="s">
        <v>311</v>
      </c>
      <c r="BD53" s="20">
        <v>1</v>
      </c>
      <c r="BE53" s="20" t="s">
        <v>241</v>
      </c>
      <c r="BF53" s="20" t="s">
        <v>310</v>
      </c>
      <c r="BG53" s="20">
        <v>26</v>
      </c>
      <c r="BH53" s="20" t="s">
        <v>312</v>
      </c>
      <c r="BI53" s="1"/>
      <c r="BJ53">
        <f>+'10% CO Elab'!AA53</f>
        <v>3.1451136848690427E-3</v>
      </c>
      <c r="BK53" s="20">
        <f t="shared" si="15"/>
        <v>13</v>
      </c>
      <c r="BL53" s="20" t="s">
        <v>41</v>
      </c>
      <c r="BM53" s="20" t="str">
        <f t="shared" si="26"/>
        <v>+</v>
      </c>
      <c r="BN53" s="20">
        <f t="shared" si="16"/>
        <v>27</v>
      </c>
      <c r="BO53" s="20" t="str">
        <f t="shared" si="27"/>
        <v>H2</v>
      </c>
      <c r="BP53" s="20" t="str">
        <f t="shared" si="18"/>
        <v>=</v>
      </c>
      <c r="BQ53" s="20">
        <f t="shared" si="5"/>
        <v>1</v>
      </c>
      <c r="BR53" s="20" t="str">
        <f t="shared" si="6"/>
        <v>C13H28</v>
      </c>
      <c r="BS53" s="20" t="str">
        <f t="shared" si="7"/>
        <v>+</v>
      </c>
      <c r="BT53" s="20">
        <f t="shared" si="23"/>
        <v>13</v>
      </c>
      <c r="BU53" s="20" t="str">
        <f t="shared" si="19"/>
        <v>H2O</v>
      </c>
      <c r="BW53">
        <f t="shared" si="20"/>
        <v>1.2563149899978775E-2</v>
      </c>
      <c r="BX53">
        <f t="shared" si="21"/>
        <v>4.0886477903297552E-2</v>
      </c>
    </row>
    <row r="54" spans="5:76" x14ac:dyDescent="0.2">
      <c r="E54">
        <f>+'5% CO Elab'!R54</f>
        <v>49</v>
      </c>
      <c r="F54">
        <f>+'5% CO Elab'!S54</f>
        <v>13</v>
      </c>
      <c r="G54" t="str">
        <f>+'5% CO Elab'!T54</f>
        <v>1-TRIDECENE</v>
      </c>
      <c r="H54" t="str">
        <f>+'5% CO Elab'!U54</f>
        <v>C13H26-2</v>
      </c>
      <c r="I54" t="str">
        <f>+'5% CO Elab'!V54</f>
        <v>C13-O</v>
      </c>
      <c r="J54">
        <f>+'5% CO Elab'!W54</f>
        <v>1.9624281496545787E-3</v>
      </c>
      <c r="L54">
        <f>+'5% CO Elab'!AB54</f>
        <v>7.6236437142142315E-5</v>
      </c>
      <c r="M54" s="20">
        <v>13</v>
      </c>
      <c r="N54" s="20" t="s">
        <v>309</v>
      </c>
      <c r="O54" s="20" t="s">
        <v>310</v>
      </c>
      <c r="P54" s="20">
        <v>39</v>
      </c>
      <c r="Q54" s="20" t="s">
        <v>42</v>
      </c>
      <c r="R54" s="20" t="s">
        <v>311</v>
      </c>
      <c r="S54" s="20">
        <v>1</v>
      </c>
      <c r="T54" s="20" t="s">
        <v>334</v>
      </c>
      <c r="U54" s="20" t="s">
        <v>310</v>
      </c>
      <c r="V54" s="20">
        <v>26</v>
      </c>
      <c r="W54" s="20" t="s">
        <v>312</v>
      </c>
      <c r="X54" s="1"/>
      <c r="Y54">
        <f>+'5% CO Elab'!AA54</f>
        <v>2.4557557384827016E-4</v>
      </c>
      <c r="Z54" s="20">
        <f t="shared" si="8"/>
        <v>13</v>
      </c>
      <c r="AA54" s="20" t="s">
        <v>41</v>
      </c>
      <c r="AB54" s="20" t="str">
        <f t="shared" si="24"/>
        <v>+</v>
      </c>
      <c r="AC54" s="20">
        <f t="shared" si="9"/>
        <v>26</v>
      </c>
      <c r="AD54" s="20" t="str">
        <f t="shared" si="25"/>
        <v>H2</v>
      </c>
      <c r="AE54" s="20" t="str">
        <f t="shared" si="11"/>
        <v>=</v>
      </c>
      <c r="AF54" s="20">
        <f t="shared" si="1"/>
        <v>1</v>
      </c>
      <c r="AG54" s="20" t="str">
        <f t="shared" si="2"/>
        <v>C13H26</v>
      </c>
      <c r="AH54" s="20" t="str">
        <f t="shared" si="3"/>
        <v>+</v>
      </c>
      <c r="AI54" s="20">
        <f t="shared" si="22"/>
        <v>13</v>
      </c>
      <c r="AJ54" s="20" t="str">
        <f t="shared" si="12"/>
        <v>H2O</v>
      </c>
      <c r="AL54">
        <f t="shared" si="13"/>
        <v>1.9821473656957004E-3</v>
      </c>
      <c r="AM54">
        <f t="shared" si="14"/>
        <v>3.1924824600275121E-3</v>
      </c>
      <c r="AP54">
        <f>+'10% CO Elab'!S54</f>
        <v>13</v>
      </c>
      <c r="AQ54" t="str">
        <f>+'10% CO Elab'!T54</f>
        <v>1-TRIDECENE</v>
      </c>
      <c r="AR54" t="str">
        <f>+'10% CO Elab'!U54</f>
        <v>C13H26-2</v>
      </c>
      <c r="AS54" t="str">
        <f>+'10% CO Elab'!V54</f>
        <v>C13-O</v>
      </c>
      <c r="AT54">
        <f>+'10% CO Elab'!W54</f>
        <v>2.165847240078149E-3</v>
      </c>
      <c r="AU54">
        <f>+'10% CO Elab'!X54</f>
        <v>2.8156014121015937E-2</v>
      </c>
      <c r="AW54">
        <f>+'10% CO Elab'!AB54</f>
        <v>4.175637681412592E-5</v>
      </c>
      <c r="AX54" s="20">
        <v>13</v>
      </c>
      <c r="AY54" s="20" t="s">
        <v>309</v>
      </c>
      <c r="AZ54" s="20" t="s">
        <v>310</v>
      </c>
      <c r="BA54" s="20">
        <v>39</v>
      </c>
      <c r="BB54" s="20" t="s">
        <v>42</v>
      </c>
      <c r="BC54" s="20" t="s">
        <v>311</v>
      </c>
      <c r="BD54" s="20">
        <v>1</v>
      </c>
      <c r="BE54" s="20" t="s">
        <v>334</v>
      </c>
      <c r="BF54" s="20" t="s">
        <v>310</v>
      </c>
      <c r="BG54" s="20">
        <v>26</v>
      </c>
      <c r="BH54" s="20" t="s">
        <v>312</v>
      </c>
      <c r="BI54" s="1"/>
      <c r="BJ54">
        <f>+'10% CO Elab'!AA54</f>
        <v>2.717903060179852E-4</v>
      </c>
      <c r="BK54" s="20">
        <f t="shared" si="15"/>
        <v>13</v>
      </c>
      <c r="BL54" s="20" t="s">
        <v>41</v>
      </c>
      <c r="BM54" s="20" t="str">
        <f t="shared" si="26"/>
        <v>+</v>
      </c>
      <c r="BN54" s="20">
        <f t="shared" si="16"/>
        <v>26</v>
      </c>
      <c r="BO54" s="20" t="str">
        <f t="shared" si="27"/>
        <v>H2</v>
      </c>
      <c r="BP54" s="20" t="str">
        <f t="shared" si="18"/>
        <v>=</v>
      </c>
      <c r="BQ54" s="20">
        <f t="shared" si="5"/>
        <v>1</v>
      </c>
      <c r="BR54" s="20" t="str">
        <f t="shared" si="6"/>
        <v>C13H26</v>
      </c>
      <c r="BS54" s="20" t="str">
        <f t="shared" si="7"/>
        <v>+</v>
      </c>
      <c r="BT54" s="20">
        <f t="shared" si="23"/>
        <v>13</v>
      </c>
      <c r="BU54" s="20" t="str">
        <f t="shared" si="19"/>
        <v>H2O</v>
      </c>
      <c r="BW54">
        <f t="shared" si="20"/>
        <v>1.085665797167274E-3</v>
      </c>
      <c r="BX54">
        <f t="shared" si="21"/>
        <v>3.5332739782338077E-3</v>
      </c>
    </row>
    <row r="55" spans="5:76" x14ac:dyDescent="0.2">
      <c r="E55">
        <f>+'5% CO Elab'!R55</f>
        <v>50</v>
      </c>
      <c r="F55">
        <f>+'5% CO Elab'!S55</f>
        <v>13</v>
      </c>
      <c r="G55" t="str">
        <f>+'5% CO Elab'!T55</f>
        <v>N-TRIDECANE</v>
      </c>
      <c r="H55" t="str">
        <f>+'5% CO Elab'!U55</f>
        <v>C13H28</v>
      </c>
      <c r="I55" t="str">
        <f>+'5% CO Elab'!V55</f>
        <v>C13</v>
      </c>
      <c r="J55">
        <f>+'5% CO Elab'!W55</f>
        <v>6.8649625315687107E-2</v>
      </c>
      <c r="L55">
        <f>+'5% CO Elab'!AB55</f>
        <v>2.6669016372050142E-3</v>
      </c>
      <c r="M55" s="20">
        <v>13</v>
      </c>
      <c r="N55" s="20" t="s">
        <v>309</v>
      </c>
      <c r="O55" s="20" t="s">
        <v>310</v>
      </c>
      <c r="P55" s="20">
        <v>40</v>
      </c>
      <c r="Q55" s="20" t="s">
        <v>42</v>
      </c>
      <c r="R55" s="20" t="s">
        <v>311</v>
      </c>
      <c r="S55" s="20">
        <v>1</v>
      </c>
      <c r="T55" s="20" t="s">
        <v>241</v>
      </c>
      <c r="U55" s="20" t="s">
        <v>310</v>
      </c>
      <c r="V55" s="20">
        <v>26</v>
      </c>
      <c r="W55" s="20" t="s">
        <v>312</v>
      </c>
      <c r="X55" s="1"/>
      <c r="Y55">
        <f>+'5% CO Elab'!AA55</f>
        <v>8.5907201923983902E-3</v>
      </c>
      <c r="Z55" s="20">
        <f t="shared" si="8"/>
        <v>13</v>
      </c>
      <c r="AA55" s="20" t="s">
        <v>41</v>
      </c>
      <c r="AB55" s="20" t="str">
        <f t="shared" si="24"/>
        <v>+</v>
      </c>
      <c r="AC55" s="20">
        <f t="shared" si="9"/>
        <v>27</v>
      </c>
      <c r="AD55" s="20" t="str">
        <f t="shared" si="25"/>
        <v>H2</v>
      </c>
      <c r="AE55" s="20" t="str">
        <f t="shared" si="11"/>
        <v>=</v>
      </c>
      <c r="AF55" s="20">
        <f t="shared" si="1"/>
        <v>1</v>
      </c>
      <c r="AG55" s="20" t="str">
        <f t="shared" si="2"/>
        <v>C13H28</v>
      </c>
      <c r="AH55" s="20" t="str">
        <f t="shared" si="3"/>
        <v>+</v>
      </c>
      <c r="AI55" s="20">
        <f t="shared" si="22"/>
        <v>13</v>
      </c>
      <c r="AJ55" s="20" t="str">
        <f t="shared" si="12"/>
        <v>H2O</v>
      </c>
      <c r="AL55">
        <f t="shared" si="13"/>
        <v>6.9339442567330364E-2</v>
      </c>
      <c r="AM55">
        <f t="shared" si="14"/>
        <v>0.11167936250117907</v>
      </c>
      <c r="AP55">
        <f>+'10% CO Elab'!S55</f>
        <v>13</v>
      </c>
      <c r="AQ55" t="str">
        <f>+'10% CO Elab'!T55</f>
        <v>N-TRIDECANE</v>
      </c>
      <c r="AR55" t="str">
        <f>+'10% CO Elab'!U55</f>
        <v>C13H28</v>
      </c>
      <c r="AS55" t="str">
        <f>+'10% CO Elab'!V55</f>
        <v>C13</v>
      </c>
      <c r="AT55">
        <f>+'10% CO Elab'!W55</f>
        <v>0.10471940296983243</v>
      </c>
      <c r="AU55">
        <f>+'10% CO Elab'!X55</f>
        <v>1.3613522386078216</v>
      </c>
      <c r="AW55">
        <f>+'10% CO Elab'!AB55</f>
        <v>2.0189341008190593E-3</v>
      </c>
      <c r="AX55" s="20">
        <v>13</v>
      </c>
      <c r="AY55" s="20" t="s">
        <v>309</v>
      </c>
      <c r="AZ55" s="20" t="s">
        <v>310</v>
      </c>
      <c r="BA55" s="20">
        <v>40</v>
      </c>
      <c r="BB55" s="20" t="s">
        <v>42</v>
      </c>
      <c r="BC55" s="20" t="s">
        <v>311</v>
      </c>
      <c r="BD55" s="20">
        <v>1</v>
      </c>
      <c r="BE55" s="20" t="s">
        <v>241</v>
      </c>
      <c r="BF55" s="20" t="s">
        <v>310</v>
      </c>
      <c r="BG55" s="20">
        <v>26</v>
      </c>
      <c r="BH55" s="20" t="s">
        <v>312</v>
      </c>
      <c r="BI55" s="1"/>
      <c r="BJ55">
        <f>+'10% CO Elab'!AA55</f>
        <v>1.314114774695029E-2</v>
      </c>
      <c r="BK55" s="20">
        <f t="shared" si="15"/>
        <v>13</v>
      </c>
      <c r="BL55" s="20" t="s">
        <v>41</v>
      </c>
      <c r="BM55" s="20" t="str">
        <f t="shared" si="26"/>
        <v>+</v>
      </c>
      <c r="BN55" s="20">
        <f t="shared" si="16"/>
        <v>27</v>
      </c>
      <c r="BO55" s="20" t="str">
        <f t="shared" si="27"/>
        <v>H2</v>
      </c>
      <c r="BP55" s="20" t="str">
        <f t="shared" si="18"/>
        <v>=</v>
      </c>
      <c r="BQ55" s="20">
        <f t="shared" si="5"/>
        <v>1</v>
      </c>
      <c r="BR55" s="20" t="str">
        <f t="shared" si="6"/>
        <v>C13H28</v>
      </c>
      <c r="BS55" s="20" t="str">
        <f t="shared" si="7"/>
        <v>+</v>
      </c>
      <c r="BT55" s="20">
        <f t="shared" si="23"/>
        <v>13</v>
      </c>
      <c r="BU55" s="20" t="str">
        <f t="shared" si="19"/>
        <v>H2O</v>
      </c>
      <c r="BW55">
        <f t="shared" si="20"/>
        <v>5.2492286621295542E-2</v>
      </c>
      <c r="BX55">
        <f t="shared" si="21"/>
        <v>0.17083492071035378</v>
      </c>
    </row>
    <row r="56" spans="5:76" x14ac:dyDescent="0.2">
      <c r="E56">
        <f>+'5% CO Elab'!R56</f>
        <v>51</v>
      </c>
      <c r="F56">
        <f>+'5% CO Elab'!S56</f>
        <v>14</v>
      </c>
      <c r="G56" t="str">
        <f>+'5% CO Elab'!T56</f>
        <v>2-METHYLTRIDECANE</v>
      </c>
      <c r="H56" t="str">
        <f>+'5% CO Elab'!U56</f>
        <v>C14H30-N1</v>
      </c>
      <c r="I56" t="str">
        <f>+'5% CO Elab'!V56</f>
        <v>C14-IP</v>
      </c>
      <c r="J56">
        <f>+'5% CO Elab'!W56</f>
        <v>5.1654717962172228E-3</v>
      </c>
      <c r="L56">
        <f>+'5% CO Elab'!AB56</f>
        <v>2.1610434790248298E-4</v>
      </c>
      <c r="M56" s="20">
        <v>14</v>
      </c>
      <c r="N56" s="20" t="s">
        <v>309</v>
      </c>
      <c r="O56" s="20" t="s">
        <v>310</v>
      </c>
      <c r="P56" s="20">
        <v>43</v>
      </c>
      <c r="Q56" s="20" t="s">
        <v>42</v>
      </c>
      <c r="R56" s="20" t="s">
        <v>311</v>
      </c>
      <c r="S56" s="20">
        <v>1</v>
      </c>
      <c r="T56" s="20" t="s">
        <v>247</v>
      </c>
      <c r="U56" s="20" t="s">
        <v>310</v>
      </c>
      <c r="V56" s="20">
        <v>28</v>
      </c>
      <c r="W56" s="20" t="s">
        <v>312</v>
      </c>
      <c r="X56" s="1"/>
      <c r="Y56">
        <f>+'5% CO Elab'!AA56</f>
        <v>6.9612315628430948E-4</v>
      </c>
      <c r="Z56" s="20">
        <f t="shared" si="8"/>
        <v>14</v>
      </c>
      <c r="AA56" s="20" t="s">
        <v>41</v>
      </c>
      <c r="AB56" s="20" t="str">
        <f t="shared" si="24"/>
        <v>+</v>
      </c>
      <c r="AC56" s="20">
        <f t="shared" si="9"/>
        <v>29</v>
      </c>
      <c r="AD56" s="20" t="str">
        <f t="shared" si="25"/>
        <v>H2</v>
      </c>
      <c r="AE56" s="20" t="str">
        <f t="shared" si="11"/>
        <v>=</v>
      </c>
      <c r="AF56" s="20">
        <f t="shared" si="1"/>
        <v>1</v>
      </c>
      <c r="AG56" s="20" t="str">
        <f t="shared" si="2"/>
        <v>C14H30</v>
      </c>
      <c r="AH56" s="20" t="str">
        <f t="shared" si="3"/>
        <v>+</v>
      </c>
      <c r="AI56" s="20">
        <f t="shared" si="22"/>
        <v>14</v>
      </c>
      <c r="AJ56" s="20" t="str">
        <f t="shared" si="12"/>
        <v>H2O</v>
      </c>
      <c r="AL56">
        <f t="shared" si="13"/>
        <v>6.0509217412695231E-3</v>
      </c>
      <c r="AM56">
        <f t="shared" si="14"/>
        <v>9.7457241879803334E-3</v>
      </c>
      <c r="AP56">
        <f>+'10% CO Elab'!S56</f>
        <v>14</v>
      </c>
      <c r="AQ56" t="str">
        <f>+'10% CO Elab'!T56</f>
        <v>2-METHYLTRIDECANE</v>
      </c>
      <c r="AR56" t="str">
        <f>+'10% CO Elab'!U56</f>
        <v>C14H30-N1</v>
      </c>
      <c r="AS56" t="str">
        <f>+'10% CO Elab'!V56</f>
        <v>C14-IP</v>
      </c>
      <c r="AT56">
        <f>+'10% CO Elab'!W56</f>
        <v>5.7009082526194941E-3</v>
      </c>
      <c r="AU56">
        <f>+'10% CO Elab'!X56</f>
        <v>7.9812715536672921E-2</v>
      </c>
      <c r="AW56">
        <f>+'10% CO Elab'!AB56</f>
        <v>1.1836511411678838E-4</v>
      </c>
      <c r="AX56" s="20">
        <v>14</v>
      </c>
      <c r="AY56" s="20" t="s">
        <v>309</v>
      </c>
      <c r="AZ56" s="20" t="s">
        <v>310</v>
      </c>
      <c r="BA56" s="20">
        <v>43</v>
      </c>
      <c r="BB56" s="20" t="s">
        <v>42</v>
      </c>
      <c r="BC56" s="20" t="s">
        <v>311</v>
      </c>
      <c r="BD56" s="20">
        <v>1</v>
      </c>
      <c r="BE56" s="20" t="s">
        <v>247</v>
      </c>
      <c r="BF56" s="20" t="s">
        <v>310</v>
      </c>
      <c r="BG56" s="20">
        <v>28</v>
      </c>
      <c r="BH56" s="20" t="s">
        <v>312</v>
      </c>
      <c r="BI56" s="1"/>
      <c r="BJ56">
        <f>+'10% CO Elab'!AA56</f>
        <v>7.7043299831446542E-4</v>
      </c>
      <c r="BK56" s="20">
        <f t="shared" si="15"/>
        <v>14</v>
      </c>
      <c r="BL56" s="20" t="s">
        <v>41</v>
      </c>
      <c r="BM56" s="20" t="str">
        <f t="shared" si="26"/>
        <v>+</v>
      </c>
      <c r="BN56" s="20">
        <f t="shared" si="16"/>
        <v>29</v>
      </c>
      <c r="BO56" s="20" t="str">
        <f t="shared" si="27"/>
        <v>H2</v>
      </c>
      <c r="BP56" s="20" t="str">
        <f t="shared" si="18"/>
        <v>=</v>
      </c>
      <c r="BQ56" s="20">
        <f t="shared" si="5"/>
        <v>1</v>
      </c>
      <c r="BR56" s="20" t="str">
        <f t="shared" si="6"/>
        <v>C14H30</v>
      </c>
      <c r="BS56" s="20" t="str">
        <f t="shared" si="7"/>
        <v>+</v>
      </c>
      <c r="BT56" s="20">
        <f t="shared" si="23"/>
        <v>14</v>
      </c>
      <c r="BU56" s="20" t="str">
        <f t="shared" si="19"/>
        <v>H2O</v>
      </c>
      <c r="BW56">
        <f t="shared" si="20"/>
        <v>3.3142231952700747E-3</v>
      </c>
      <c r="BX56">
        <f t="shared" si="21"/>
        <v>1.0786061976402516E-2</v>
      </c>
    </row>
    <row r="57" spans="5:76" x14ac:dyDescent="0.2">
      <c r="E57">
        <f>+'5% CO Elab'!R57</f>
        <v>52</v>
      </c>
      <c r="F57">
        <f>+'5% CO Elab'!S57</f>
        <v>14</v>
      </c>
      <c r="G57" t="str">
        <f>+'5% CO Elab'!T57</f>
        <v>N-TETRADECANE</v>
      </c>
      <c r="H57" t="str">
        <f>+'5% CO Elab'!U57</f>
        <v>C14H30</v>
      </c>
      <c r="I57" t="str">
        <f>+'5% CO Elab'!V57</f>
        <v xml:space="preserve"> C14 </v>
      </c>
      <c r="J57">
        <f>+'5% CO Elab'!W57</f>
        <v>6.7389999163105715E-2</v>
      </c>
      <c r="L57">
        <f>+'5% CO Elab'!AB57</f>
        <v>2.8193497900727681E-3</v>
      </c>
      <c r="M57" s="20">
        <v>14</v>
      </c>
      <c r="N57" s="20" t="s">
        <v>309</v>
      </c>
      <c r="O57" s="20" t="s">
        <v>310</v>
      </c>
      <c r="P57" s="20">
        <v>43</v>
      </c>
      <c r="Q57" s="20" t="s">
        <v>42</v>
      </c>
      <c r="R57" s="20" t="s">
        <v>311</v>
      </c>
      <c r="S57" s="20">
        <v>1</v>
      </c>
      <c r="T57" s="20" t="s">
        <v>247</v>
      </c>
      <c r="U57" s="20" t="s">
        <v>310</v>
      </c>
      <c r="V57" s="20">
        <v>28</v>
      </c>
      <c r="W57" s="20" t="s">
        <v>312</v>
      </c>
      <c r="X57" s="1"/>
      <c r="Y57">
        <f>+'5% CO Elab'!AA57</f>
        <v>9.0817917065721902E-3</v>
      </c>
      <c r="Z57" s="20">
        <f t="shared" si="8"/>
        <v>14</v>
      </c>
      <c r="AA57" s="20" t="s">
        <v>41</v>
      </c>
      <c r="AB57" s="20" t="str">
        <f t="shared" si="24"/>
        <v>+</v>
      </c>
      <c r="AC57" s="20">
        <f t="shared" si="9"/>
        <v>29</v>
      </c>
      <c r="AD57" s="20" t="str">
        <f t="shared" si="25"/>
        <v>H2</v>
      </c>
      <c r="AE57" s="20" t="str">
        <f t="shared" si="11"/>
        <v>=</v>
      </c>
      <c r="AF57" s="20">
        <f t="shared" si="1"/>
        <v>1</v>
      </c>
      <c r="AG57" s="20" t="str">
        <f t="shared" si="2"/>
        <v>C14H30</v>
      </c>
      <c r="AH57" s="20" t="str">
        <f t="shared" si="3"/>
        <v>+</v>
      </c>
      <c r="AI57" s="20">
        <f t="shared" si="22"/>
        <v>14</v>
      </c>
      <c r="AJ57" s="20" t="str">
        <f t="shared" si="12"/>
        <v>H2O</v>
      </c>
      <c r="AL57">
        <f t="shared" si="13"/>
        <v>7.8941794122037501E-2</v>
      </c>
      <c r="AM57">
        <f t="shared" si="14"/>
        <v>0.12714508389201065</v>
      </c>
      <c r="AP57">
        <f>+'10% CO Elab'!S57</f>
        <v>14</v>
      </c>
      <c r="AQ57" t="str">
        <f>+'10% CO Elab'!T57</f>
        <v>N-TETRADECANE</v>
      </c>
      <c r="AR57" t="str">
        <f>+'10% CO Elab'!U57</f>
        <v>C14H30</v>
      </c>
      <c r="AS57" t="str">
        <f>+'10% CO Elab'!V57</f>
        <v xml:space="preserve"> C14 </v>
      </c>
      <c r="AT57">
        <f>+'10% CO Elab'!W57</f>
        <v>0.10279794603460617</v>
      </c>
      <c r="AU57">
        <f>+'10% CO Elab'!X57</f>
        <v>1.4391712444844864</v>
      </c>
      <c r="AW57">
        <f>+'10% CO Elab'!AB57</f>
        <v>2.1343424721432264E-3</v>
      </c>
      <c r="AX57" s="20">
        <v>14</v>
      </c>
      <c r="AY57" s="20" t="s">
        <v>309</v>
      </c>
      <c r="AZ57" s="20" t="s">
        <v>310</v>
      </c>
      <c r="BA57" s="20">
        <v>43</v>
      </c>
      <c r="BB57" s="20" t="s">
        <v>42</v>
      </c>
      <c r="BC57" s="20" t="s">
        <v>311</v>
      </c>
      <c r="BD57" s="20">
        <v>1</v>
      </c>
      <c r="BE57" s="20" t="s">
        <v>247</v>
      </c>
      <c r="BF57" s="20" t="s">
        <v>310</v>
      </c>
      <c r="BG57" s="20">
        <v>28</v>
      </c>
      <c r="BH57" s="20" t="s">
        <v>312</v>
      </c>
      <c r="BI57" s="1"/>
      <c r="BJ57">
        <f>+'10% CO Elab'!AA57</f>
        <v>1.3892335444552956E-2</v>
      </c>
      <c r="BK57" s="20">
        <f t="shared" si="15"/>
        <v>14</v>
      </c>
      <c r="BL57" s="20" t="s">
        <v>41</v>
      </c>
      <c r="BM57" s="20" t="str">
        <f t="shared" si="26"/>
        <v>+</v>
      </c>
      <c r="BN57" s="20">
        <f t="shared" si="16"/>
        <v>29</v>
      </c>
      <c r="BO57" s="20" t="str">
        <f t="shared" si="27"/>
        <v>H2</v>
      </c>
      <c r="BP57" s="20" t="str">
        <f t="shared" si="18"/>
        <v>=</v>
      </c>
      <c r="BQ57" s="20">
        <f t="shared" si="5"/>
        <v>1</v>
      </c>
      <c r="BR57" s="20" t="str">
        <f t="shared" si="6"/>
        <v>C14H30</v>
      </c>
      <c r="BS57" s="20" t="str">
        <f t="shared" si="7"/>
        <v>+</v>
      </c>
      <c r="BT57" s="20">
        <f t="shared" si="23"/>
        <v>14</v>
      </c>
      <c r="BU57" s="20" t="str">
        <f t="shared" si="19"/>
        <v>H2O</v>
      </c>
      <c r="BW57">
        <f t="shared" si="20"/>
        <v>5.976158922001034E-2</v>
      </c>
      <c r="BX57">
        <f t="shared" si="21"/>
        <v>0.19449269622374138</v>
      </c>
    </row>
    <row r="58" spans="5:76" x14ac:dyDescent="0.2">
      <c r="E58">
        <f>+'5% CO Elab'!R58</f>
        <v>53</v>
      </c>
      <c r="F58">
        <f>+'5% CO Elab'!S58</f>
        <v>15</v>
      </c>
      <c r="G58" t="str">
        <f>+'5% CO Elab'!T58</f>
        <v>2-METHYLTETRADECANE</v>
      </c>
      <c r="H58" t="str">
        <f>+'5% CO Elab'!U58</f>
        <v>C15H32-N1</v>
      </c>
      <c r="I58" t="str">
        <f>+'5% CO Elab'!V58</f>
        <v xml:space="preserve">C15-IP </v>
      </c>
      <c r="J58">
        <f>+'5% CO Elab'!W58</f>
        <v>4.074294075073084E-3</v>
      </c>
      <c r="L58">
        <f>+'5% CO Elab'!AB58</f>
        <v>1.8262873287532439E-4</v>
      </c>
      <c r="M58" s="20">
        <v>15</v>
      </c>
      <c r="N58" s="20" t="s">
        <v>309</v>
      </c>
      <c r="O58" s="20" t="s">
        <v>310</v>
      </c>
      <c r="P58" s="20">
        <v>46</v>
      </c>
      <c r="Q58" s="20" t="s">
        <v>42</v>
      </c>
      <c r="R58" s="20" t="s">
        <v>311</v>
      </c>
      <c r="S58" s="20">
        <v>1</v>
      </c>
      <c r="T58" s="20" t="s">
        <v>253</v>
      </c>
      <c r="U58" s="20" t="s">
        <v>310</v>
      </c>
      <c r="V58" s="20">
        <v>30</v>
      </c>
      <c r="W58" s="20" t="s">
        <v>312</v>
      </c>
      <c r="X58" s="1"/>
      <c r="Y58">
        <f>+'5% CO Elab'!AA58</f>
        <v>5.8829029212657574E-4</v>
      </c>
      <c r="Z58" s="20">
        <f t="shared" si="8"/>
        <v>15</v>
      </c>
      <c r="AA58" s="20" t="s">
        <v>41</v>
      </c>
      <c r="AB58" s="20" t="str">
        <f t="shared" si="24"/>
        <v>+</v>
      </c>
      <c r="AC58" s="20">
        <f t="shared" si="9"/>
        <v>31</v>
      </c>
      <c r="AD58" s="20" t="str">
        <f t="shared" si="25"/>
        <v>H2</v>
      </c>
      <c r="AE58" s="20" t="str">
        <f t="shared" si="11"/>
        <v>=</v>
      </c>
      <c r="AF58" s="20">
        <f t="shared" si="1"/>
        <v>1</v>
      </c>
      <c r="AG58" s="20" t="str">
        <f t="shared" si="2"/>
        <v>C15H32</v>
      </c>
      <c r="AH58" s="20" t="str">
        <f t="shared" si="3"/>
        <v>+</v>
      </c>
      <c r="AI58" s="20">
        <f t="shared" si="22"/>
        <v>15</v>
      </c>
      <c r="AJ58" s="20" t="str">
        <f t="shared" si="12"/>
        <v>H2O</v>
      </c>
      <c r="AL58">
        <f t="shared" si="13"/>
        <v>5.4788619862597317E-3</v>
      </c>
      <c r="AM58">
        <f t="shared" si="14"/>
        <v>8.8243543818986355E-3</v>
      </c>
      <c r="AP58">
        <f>+'10% CO Elab'!S58</f>
        <v>15</v>
      </c>
      <c r="AQ58" t="str">
        <f>+'10% CO Elab'!T58</f>
        <v>2-METHYLTETRADECANE</v>
      </c>
      <c r="AR58" t="str">
        <f>+'10% CO Elab'!U58</f>
        <v>C15H32-N1</v>
      </c>
      <c r="AS58" t="str">
        <f>+'10% CO Elab'!V58</f>
        <v xml:space="preserve">C15-IP </v>
      </c>
      <c r="AT58">
        <f>+'10% CO Elab'!W58</f>
        <v>4.496622502748457E-3</v>
      </c>
      <c r="AU58">
        <f>+'10% CO Elab'!X58</f>
        <v>6.7449337541226853E-2</v>
      </c>
      <c r="AW58">
        <f>+'10% CO Elab'!AB58</f>
        <v>1.0002978199007289E-4</v>
      </c>
      <c r="AX58" s="20">
        <v>15</v>
      </c>
      <c r="AY58" s="20" t="s">
        <v>309</v>
      </c>
      <c r="AZ58" s="20" t="s">
        <v>310</v>
      </c>
      <c r="BA58" s="20">
        <v>46</v>
      </c>
      <c r="BB58" s="20" t="s">
        <v>42</v>
      </c>
      <c r="BC58" s="20" t="s">
        <v>311</v>
      </c>
      <c r="BD58" s="20">
        <v>1</v>
      </c>
      <c r="BE58" s="20" t="s">
        <v>253</v>
      </c>
      <c r="BF58" s="20" t="s">
        <v>310</v>
      </c>
      <c r="BG58" s="20">
        <v>30</v>
      </c>
      <c r="BH58" s="20" t="s">
        <v>312</v>
      </c>
      <c r="BI58" s="1"/>
      <c r="BJ58">
        <f>+'10% CO Elab'!AA58</f>
        <v>6.5108917804374792E-4</v>
      </c>
      <c r="BK58" s="20">
        <f t="shared" si="15"/>
        <v>15</v>
      </c>
      <c r="BL58" s="20" t="s">
        <v>41</v>
      </c>
      <c r="BM58" s="20" t="str">
        <f t="shared" si="26"/>
        <v>+</v>
      </c>
      <c r="BN58" s="20">
        <f t="shared" si="16"/>
        <v>31</v>
      </c>
      <c r="BO58" s="20" t="str">
        <f t="shared" si="27"/>
        <v>H2</v>
      </c>
      <c r="BP58" s="20" t="str">
        <f t="shared" si="18"/>
        <v>=</v>
      </c>
      <c r="BQ58" s="20">
        <f t="shared" si="5"/>
        <v>1</v>
      </c>
      <c r="BR58" s="20" t="str">
        <f t="shared" si="6"/>
        <v>C15H32</v>
      </c>
      <c r="BS58" s="20" t="str">
        <f t="shared" si="7"/>
        <v>+</v>
      </c>
      <c r="BT58" s="20">
        <f t="shared" si="23"/>
        <v>15</v>
      </c>
      <c r="BU58" s="20" t="str">
        <f t="shared" si="19"/>
        <v>H2O</v>
      </c>
      <c r="BW58">
        <f t="shared" si="20"/>
        <v>3.0008934597021866E-3</v>
      </c>
      <c r="BX58">
        <f t="shared" si="21"/>
        <v>9.766337670656218E-3</v>
      </c>
    </row>
    <row r="59" spans="5:76" x14ac:dyDescent="0.2">
      <c r="E59">
        <f>+'5% CO Elab'!R59</f>
        <v>54</v>
      </c>
      <c r="F59">
        <f>+'5% CO Elab'!S59</f>
        <v>15</v>
      </c>
      <c r="G59" t="str">
        <f>+'5% CO Elab'!T59</f>
        <v>N-PENTADECANE</v>
      </c>
      <c r="H59" t="str">
        <f>+'5% CO Elab'!U59</f>
        <v>C15H32</v>
      </c>
      <c r="I59" t="str">
        <f>+'5% CO Elab'!V59</f>
        <v>C15</v>
      </c>
      <c r="J59">
        <f>+'5% CO Elab'!W59</f>
        <v>5.9832242247617212E-2</v>
      </c>
      <c r="L59">
        <f>+'5% CO Elab'!AB59</f>
        <v>2.6819582448956571E-3</v>
      </c>
      <c r="M59" s="20">
        <v>15</v>
      </c>
      <c r="N59" s="20" t="s">
        <v>309</v>
      </c>
      <c r="O59" s="20" t="s">
        <v>310</v>
      </c>
      <c r="P59" s="20">
        <v>46</v>
      </c>
      <c r="Q59" s="20" t="s">
        <v>42</v>
      </c>
      <c r="R59" s="20" t="s">
        <v>311</v>
      </c>
      <c r="S59" s="20">
        <v>1</v>
      </c>
      <c r="T59" s="20" t="s">
        <v>253</v>
      </c>
      <c r="U59" s="20" t="s">
        <v>310</v>
      </c>
      <c r="V59" s="20">
        <v>30</v>
      </c>
      <c r="W59" s="20" t="s">
        <v>312</v>
      </c>
      <c r="X59" s="1"/>
      <c r="Y59">
        <f>+'5% CO Elab'!AA59</f>
        <v>8.6392210826871617E-3</v>
      </c>
      <c r="Z59" s="20">
        <f t="shared" si="8"/>
        <v>15</v>
      </c>
      <c r="AA59" s="20" t="s">
        <v>41</v>
      </c>
      <c r="AB59" s="20" t="str">
        <f t="shared" si="24"/>
        <v>+</v>
      </c>
      <c r="AC59" s="20">
        <f t="shared" si="9"/>
        <v>31</v>
      </c>
      <c r="AD59" s="20" t="str">
        <f t="shared" si="25"/>
        <v>H2</v>
      </c>
      <c r="AE59" s="20" t="str">
        <f t="shared" si="11"/>
        <v>=</v>
      </c>
      <c r="AF59" s="20">
        <f t="shared" si="1"/>
        <v>1</v>
      </c>
      <c r="AG59" s="20" t="str">
        <f t="shared" si="2"/>
        <v>C15H32</v>
      </c>
      <c r="AH59" s="20" t="str">
        <f t="shared" si="3"/>
        <v>+</v>
      </c>
      <c r="AI59" s="20">
        <f t="shared" si="22"/>
        <v>15</v>
      </c>
      <c r="AJ59" s="20" t="str">
        <f t="shared" si="12"/>
        <v>H2O</v>
      </c>
      <c r="AL59">
        <f t="shared" si="13"/>
        <v>8.0458747346869711E-2</v>
      </c>
      <c r="AM59">
        <f t="shared" si="14"/>
        <v>0.12958831624030742</v>
      </c>
      <c r="AP59">
        <f>+'10% CO Elab'!S59</f>
        <v>15</v>
      </c>
      <c r="AQ59" t="str">
        <f>+'10% CO Elab'!T59</f>
        <v>N-PENTADECANE</v>
      </c>
      <c r="AR59" t="str">
        <f>+'10% CO Elab'!U59</f>
        <v>C15H32</v>
      </c>
      <c r="AS59" t="str">
        <f>+'10% CO Elab'!V59</f>
        <v>C15</v>
      </c>
      <c r="AT59">
        <f>+'10% CO Elab'!W59</f>
        <v>9.1269204423248443E-2</v>
      </c>
      <c r="AU59">
        <f>+'10% CO Elab'!X59</f>
        <v>1.3690380663487267</v>
      </c>
      <c r="AW59">
        <f>+'10% CO Elab'!AB59</f>
        <v>2.0303324584807058E-3</v>
      </c>
      <c r="AX59" s="20">
        <v>15</v>
      </c>
      <c r="AY59" s="20" t="s">
        <v>309</v>
      </c>
      <c r="AZ59" s="20" t="s">
        <v>310</v>
      </c>
      <c r="BA59" s="20">
        <v>46</v>
      </c>
      <c r="BB59" s="20" t="s">
        <v>42</v>
      </c>
      <c r="BC59" s="20" t="s">
        <v>311</v>
      </c>
      <c r="BD59" s="20">
        <v>1</v>
      </c>
      <c r="BE59" s="20" t="s">
        <v>253</v>
      </c>
      <c r="BF59" s="20" t="s">
        <v>310</v>
      </c>
      <c r="BG59" s="20">
        <v>30</v>
      </c>
      <c r="BH59" s="20" t="s">
        <v>312</v>
      </c>
      <c r="BI59" s="1"/>
      <c r="BJ59">
        <f>+'10% CO Elab'!AA59</f>
        <v>1.3215339124491294E-2</v>
      </c>
      <c r="BK59" s="20">
        <f t="shared" si="15"/>
        <v>15</v>
      </c>
      <c r="BL59" s="20" t="s">
        <v>41</v>
      </c>
      <c r="BM59" s="20" t="str">
        <f t="shared" si="26"/>
        <v>+</v>
      </c>
      <c r="BN59" s="20">
        <f t="shared" si="16"/>
        <v>31</v>
      </c>
      <c r="BO59" s="20" t="str">
        <f t="shared" si="27"/>
        <v>H2</v>
      </c>
      <c r="BP59" s="20" t="str">
        <f t="shared" si="18"/>
        <v>=</v>
      </c>
      <c r="BQ59" s="20">
        <f t="shared" si="5"/>
        <v>1</v>
      </c>
      <c r="BR59" s="20" t="str">
        <f t="shared" si="6"/>
        <v>C15H32</v>
      </c>
      <c r="BS59" s="20" t="str">
        <f t="shared" si="7"/>
        <v>+</v>
      </c>
      <c r="BT59" s="20">
        <f t="shared" si="23"/>
        <v>15</v>
      </c>
      <c r="BU59" s="20" t="str">
        <f t="shared" si="19"/>
        <v>H2O</v>
      </c>
      <c r="BW59">
        <f t="shared" si="20"/>
        <v>6.0909973754421171E-2</v>
      </c>
      <c r="BX59">
        <f t="shared" si="21"/>
        <v>0.1982300868673694</v>
      </c>
    </row>
    <row r="60" spans="5:76" x14ac:dyDescent="0.2">
      <c r="E60">
        <f>+'5% CO Elab'!R60</f>
        <v>55</v>
      </c>
      <c r="F60">
        <f>+'5% CO Elab'!S60</f>
        <v>16</v>
      </c>
      <c r="G60" t="str">
        <f>+'5% CO Elab'!T60</f>
        <v>2-METHYLPENTADECANE</v>
      </c>
      <c r="H60" t="str">
        <f>+'5% CO Elab'!U60</f>
        <v>C16H34-N1</v>
      </c>
      <c r="I60" t="str">
        <f>+'5% CO Elab'!V60</f>
        <v>C16-IP</v>
      </c>
      <c r="J60">
        <f>+'5% CO Elab'!W60</f>
        <v>1.0390154786605059E-2</v>
      </c>
      <c r="L60">
        <f>+'5% CO Elab'!AB60</f>
        <v>4.9678385653190876E-4</v>
      </c>
      <c r="M60" s="20">
        <v>16</v>
      </c>
      <c r="N60" s="20" t="s">
        <v>309</v>
      </c>
      <c r="O60" s="20" t="s">
        <v>310</v>
      </c>
      <c r="P60" s="20">
        <v>49</v>
      </c>
      <c r="Q60" s="20" t="s">
        <v>42</v>
      </c>
      <c r="R60" s="20" t="s">
        <v>311</v>
      </c>
      <c r="S60" s="20">
        <v>1</v>
      </c>
      <c r="T60" s="20" t="s">
        <v>259</v>
      </c>
      <c r="U60" s="20" t="s">
        <v>310</v>
      </c>
      <c r="V60" s="20">
        <v>32</v>
      </c>
      <c r="W60" s="20" t="s">
        <v>312</v>
      </c>
      <c r="X60" s="1"/>
      <c r="Y60">
        <f>+'5% CO Elab'!AA60</f>
        <v>1.6002581602668003E-3</v>
      </c>
      <c r="Z60" s="20">
        <f t="shared" si="8"/>
        <v>16</v>
      </c>
      <c r="AA60" s="20" t="s">
        <v>41</v>
      </c>
      <c r="AB60" s="20" t="str">
        <f t="shared" si="24"/>
        <v>+</v>
      </c>
      <c r="AC60" s="20">
        <f t="shared" si="9"/>
        <v>33</v>
      </c>
      <c r="AD60" s="20" t="str">
        <f t="shared" si="25"/>
        <v>H2</v>
      </c>
      <c r="AE60" s="20" t="str">
        <f t="shared" si="11"/>
        <v>=</v>
      </c>
      <c r="AF60" s="20">
        <f t="shared" si="1"/>
        <v>1</v>
      </c>
      <c r="AG60" s="20" t="str">
        <f t="shared" si="2"/>
        <v>C16H34</v>
      </c>
      <c r="AH60" s="20" t="str">
        <f t="shared" si="3"/>
        <v>+</v>
      </c>
      <c r="AI60" s="20">
        <f t="shared" si="22"/>
        <v>16</v>
      </c>
      <c r="AJ60" s="20" t="str">
        <f t="shared" si="12"/>
        <v>H2O</v>
      </c>
      <c r="AL60">
        <f t="shared" si="13"/>
        <v>1.589708340902108E-2</v>
      </c>
      <c r="AM60">
        <f t="shared" si="14"/>
        <v>2.5604130564268805E-2</v>
      </c>
      <c r="AP60">
        <f>+'10% CO Elab'!S60</f>
        <v>16</v>
      </c>
      <c r="AQ60" t="str">
        <f>+'10% CO Elab'!T60</f>
        <v>2-METHYLPENTADECANE</v>
      </c>
      <c r="AR60" t="str">
        <f>+'10% CO Elab'!U60</f>
        <v>C16H34-N1</v>
      </c>
      <c r="AS60" t="str">
        <f>+'10% CO Elab'!V60</f>
        <v>C16-IP</v>
      </c>
      <c r="AT60">
        <f>+'10% CO Elab'!W60</f>
        <v>1.146716534437928E-2</v>
      </c>
      <c r="AU60">
        <f>+'10% CO Elab'!X60</f>
        <v>0.18347464551006848</v>
      </c>
      <c r="AW60">
        <f>+'10% CO Elab'!AB60</f>
        <v>2.7209946694969759E-4</v>
      </c>
      <c r="AX60" s="20">
        <v>16</v>
      </c>
      <c r="AY60" s="20" t="s">
        <v>309</v>
      </c>
      <c r="AZ60" s="20" t="s">
        <v>310</v>
      </c>
      <c r="BA60" s="20">
        <v>49</v>
      </c>
      <c r="BB60" s="20" t="s">
        <v>42</v>
      </c>
      <c r="BC60" s="20" t="s">
        <v>311</v>
      </c>
      <c r="BD60" s="20">
        <v>1</v>
      </c>
      <c r="BE60" s="20" t="s">
        <v>259</v>
      </c>
      <c r="BF60" s="20" t="s">
        <v>310</v>
      </c>
      <c r="BG60" s="20">
        <v>32</v>
      </c>
      <c r="BH60" s="20" t="s">
        <v>312</v>
      </c>
      <c r="BI60" s="1"/>
      <c r="BJ60">
        <f>+'10% CO Elab'!AA60</f>
        <v>1.7710827191446074E-3</v>
      </c>
      <c r="BK60" s="20">
        <f t="shared" si="15"/>
        <v>16</v>
      </c>
      <c r="BL60" s="20" t="s">
        <v>41</v>
      </c>
      <c r="BM60" s="20" t="str">
        <f t="shared" si="26"/>
        <v>+</v>
      </c>
      <c r="BN60" s="20">
        <f t="shared" si="16"/>
        <v>33</v>
      </c>
      <c r="BO60" s="20" t="str">
        <f t="shared" si="27"/>
        <v>H2</v>
      </c>
      <c r="BP60" s="20" t="str">
        <f t="shared" si="18"/>
        <v>=</v>
      </c>
      <c r="BQ60" s="20">
        <f t="shared" si="5"/>
        <v>1</v>
      </c>
      <c r="BR60" s="20" t="str">
        <f t="shared" si="6"/>
        <v>C16H34</v>
      </c>
      <c r="BS60" s="20" t="str">
        <f t="shared" si="7"/>
        <v>+</v>
      </c>
      <c r="BT60" s="20">
        <f t="shared" si="23"/>
        <v>16</v>
      </c>
      <c r="BU60" s="20" t="str">
        <f t="shared" si="19"/>
        <v>H2O</v>
      </c>
      <c r="BW60">
        <f t="shared" si="20"/>
        <v>8.7071829423903228E-3</v>
      </c>
      <c r="BX60">
        <f t="shared" si="21"/>
        <v>2.8337323506313718E-2</v>
      </c>
    </row>
    <row r="61" spans="5:76" x14ac:dyDescent="0.2">
      <c r="E61">
        <f>+'5% CO Elab'!R61</f>
        <v>56</v>
      </c>
      <c r="F61">
        <f>+'5% CO Elab'!S61</f>
        <v>16</v>
      </c>
      <c r="G61" t="str">
        <f>+'5% CO Elab'!T61</f>
        <v>N-HEXADECANE</v>
      </c>
      <c r="H61" t="str">
        <f>+'5% CO Elab'!U61</f>
        <v>C16H34</v>
      </c>
      <c r="I61" t="str">
        <f>+'5% CO Elab'!V61</f>
        <v>C16</v>
      </c>
      <c r="J61">
        <f>+'5% CO Elab'!W61</f>
        <v>4.8495606874384499E-2</v>
      </c>
      <c r="L61">
        <f>+'5% CO Elab'!AB61</f>
        <v>2.3187175843589129E-3</v>
      </c>
      <c r="M61" s="20">
        <v>16</v>
      </c>
      <c r="N61" s="20" t="s">
        <v>309</v>
      </c>
      <c r="O61" s="20" t="s">
        <v>310</v>
      </c>
      <c r="P61" s="20">
        <v>49</v>
      </c>
      <c r="Q61" s="20" t="s">
        <v>42</v>
      </c>
      <c r="R61" s="20" t="s">
        <v>311</v>
      </c>
      <c r="S61" s="20">
        <v>1</v>
      </c>
      <c r="T61" s="20" t="s">
        <v>259</v>
      </c>
      <c r="U61" s="20" t="s">
        <v>310</v>
      </c>
      <c r="V61" s="20">
        <v>32</v>
      </c>
      <c r="W61" s="20" t="s">
        <v>312</v>
      </c>
      <c r="X61" s="1"/>
      <c r="Y61">
        <f>+'5% CO Elab'!AA61</f>
        <v>7.4691371044705883E-3</v>
      </c>
      <c r="Z61" s="20">
        <f t="shared" si="8"/>
        <v>16</v>
      </c>
      <c r="AA61" s="20" t="s">
        <v>41</v>
      </c>
      <c r="AB61" s="20" t="str">
        <f t="shared" si="24"/>
        <v>+</v>
      </c>
      <c r="AC61" s="20">
        <f t="shared" si="9"/>
        <v>33</v>
      </c>
      <c r="AD61" s="20" t="str">
        <f t="shared" si="25"/>
        <v>H2</v>
      </c>
      <c r="AE61" s="20" t="str">
        <f t="shared" si="11"/>
        <v>=</v>
      </c>
      <c r="AF61" s="20">
        <f t="shared" si="1"/>
        <v>1</v>
      </c>
      <c r="AG61" s="20" t="str">
        <f t="shared" si="2"/>
        <v>C16H34</v>
      </c>
      <c r="AH61" s="20" t="str">
        <f t="shared" si="3"/>
        <v>+</v>
      </c>
      <c r="AI61" s="20">
        <f t="shared" si="22"/>
        <v>16</v>
      </c>
      <c r="AJ61" s="20" t="str">
        <f t="shared" si="12"/>
        <v>H2O</v>
      </c>
      <c r="AL61">
        <f t="shared" si="13"/>
        <v>7.4198962699485213E-2</v>
      </c>
      <c r="AM61">
        <f t="shared" si="14"/>
        <v>0.11950619367152941</v>
      </c>
      <c r="AP61">
        <f>+'10% CO Elab'!S61</f>
        <v>16</v>
      </c>
      <c r="AQ61" t="str">
        <f>+'10% CO Elab'!T61</f>
        <v>N-HEXADECANE</v>
      </c>
      <c r="AR61" t="str">
        <f>+'10% CO Elab'!U61</f>
        <v>C16H34</v>
      </c>
      <c r="AS61" t="str">
        <f>+'10% CO Elab'!V61</f>
        <v>C16</v>
      </c>
      <c r="AT61">
        <f>+'10% CO Elab'!W61</f>
        <v>7.3976092006211927E-2</v>
      </c>
      <c r="AU61">
        <f>+'10% CO Elab'!X61</f>
        <v>1.1836174720993908</v>
      </c>
      <c r="AW61">
        <f>+'10% CO Elab'!AB61</f>
        <v>1.7553470798934948E-3</v>
      </c>
      <c r="AX61" s="20">
        <v>16</v>
      </c>
      <c r="AY61" s="20" t="s">
        <v>309</v>
      </c>
      <c r="AZ61" s="20" t="s">
        <v>310</v>
      </c>
      <c r="BA61" s="20">
        <v>49</v>
      </c>
      <c r="BB61" s="20" t="s">
        <v>42</v>
      </c>
      <c r="BC61" s="20" t="s">
        <v>311</v>
      </c>
      <c r="BD61" s="20">
        <v>1</v>
      </c>
      <c r="BE61" s="20" t="s">
        <v>259</v>
      </c>
      <c r="BF61" s="20" t="s">
        <v>310</v>
      </c>
      <c r="BG61" s="20">
        <v>32</v>
      </c>
      <c r="BH61" s="20" t="s">
        <v>312</v>
      </c>
      <c r="BI61" s="1"/>
      <c r="BJ61">
        <f>+'10% CO Elab'!AA61</f>
        <v>1.1425472141314581E-2</v>
      </c>
      <c r="BK61" s="20">
        <f t="shared" si="15"/>
        <v>16</v>
      </c>
      <c r="BL61" s="20" t="s">
        <v>41</v>
      </c>
      <c r="BM61" s="20" t="str">
        <f t="shared" si="26"/>
        <v>+</v>
      </c>
      <c r="BN61" s="20">
        <f t="shared" si="16"/>
        <v>33</v>
      </c>
      <c r="BO61" s="20" t="str">
        <f t="shared" si="27"/>
        <v>H2</v>
      </c>
      <c r="BP61" s="20" t="str">
        <f t="shared" si="18"/>
        <v>=</v>
      </c>
      <c r="BQ61" s="20">
        <f t="shared" si="5"/>
        <v>1</v>
      </c>
      <c r="BR61" s="20" t="str">
        <f t="shared" si="6"/>
        <v>C16H34</v>
      </c>
      <c r="BS61" s="20" t="str">
        <f t="shared" si="7"/>
        <v>+</v>
      </c>
      <c r="BT61" s="20">
        <f t="shared" si="23"/>
        <v>16</v>
      </c>
      <c r="BU61" s="20" t="str">
        <f t="shared" si="19"/>
        <v>H2O</v>
      </c>
      <c r="BW61">
        <f t="shared" si="20"/>
        <v>5.6171106556591834E-2</v>
      </c>
      <c r="BX61">
        <f t="shared" si="21"/>
        <v>0.18280755426103329</v>
      </c>
    </row>
    <row r="62" spans="5:76" x14ac:dyDescent="0.2">
      <c r="E62">
        <f>+'5% CO Elab'!R62</f>
        <v>57</v>
      </c>
      <c r="F62">
        <f>+'5% CO Elab'!S62</f>
        <v>17</v>
      </c>
      <c r="G62" t="str">
        <f>+'5% CO Elab'!T62</f>
        <v>14-METHYLHEXADECANE</v>
      </c>
      <c r="H62" t="str">
        <f>+'5% CO Elab'!U62</f>
        <v>C17H36-N10</v>
      </c>
      <c r="I62" t="str">
        <f>+'5% CO Elab'!V62</f>
        <v>C17-IP</v>
      </c>
      <c r="J62">
        <f>+'5% CO Elab'!W62</f>
        <v>3.8487276210897982E-3</v>
      </c>
      <c r="L62">
        <f>+'5% CO Elab'!AB62</f>
        <v>1.9552017284299434E-4</v>
      </c>
      <c r="M62" s="20">
        <v>17</v>
      </c>
      <c r="N62" s="20" t="s">
        <v>309</v>
      </c>
      <c r="O62" s="20" t="s">
        <v>310</v>
      </c>
      <c r="P62" s="20">
        <v>52</v>
      </c>
      <c r="Q62" s="20" t="s">
        <v>42</v>
      </c>
      <c r="R62" s="20" t="s">
        <v>311</v>
      </c>
      <c r="S62" s="20">
        <v>1</v>
      </c>
      <c r="T62" s="20" t="s">
        <v>265</v>
      </c>
      <c r="U62" s="20" t="s">
        <v>310</v>
      </c>
      <c r="V62" s="20">
        <v>34</v>
      </c>
      <c r="W62" s="20" t="s">
        <v>312</v>
      </c>
      <c r="X62" s="1"/>
      <c r="Y62">
        <f>+'5% CO Elab'!AA62</f>
        <v>6.2981666568845147E-4</v>
      </c>
      <c r="Z62" s="20">
        <f t="shared" si="8"/>
        <v>17</v>
      </c>
      <c r="AA62" s="20" t="s">
        <v>41</v>
      </c>
      <c r="AB62" s="20" t="str">
        <f t="shared" si="24"/>
        <v>+</v>
      </c>
      <c r="AC62" s="20">
        <f t="shared" si="9"/>
        <v>35</v>
      </c>
      <c r="AD62" s="20" t="str">
        <f t="shared" si="25"/>
        <v>H2</v>
      </c>
      <c r="AE62" s="20" t="str">
        <f t="shared" si="11"/>
        <v>=</v>
      </c>
      <c r="AF62" s="20">
        <f t="shared" si="1"/>
        <v>1</v>
      </c>
      <c r="AG62" s="20" t="str">
        <f t="shared" si="2"/>
        <v>C17H36</v>
      </c>
      <c r="AH62" s="20" t="str">
        <f t="shared" si="3"/>
        <v>+</v>
      </c>
      <c r="AI62" s="20">
        <f t="shared" si="22"/>
        <v>17</v>
      </c>
      <c r="AJ62" s="20" t="str">
        <f t="shared" si="12"/>
        <v>H2O</v>
      </c>
      <c r="AL62">
        <f t="shared" si="13"/>
        <v>6.6476858766618078E-3</v>
      </c>
      <c r="AM62">
        <f t="shared" si="14"/>
        <v>1.0706883316703674E-2</v>
      </c>
      <c r="AP62">
        <f>+'10% CO Elab'!S62</f>
        <v>17</v>
      </c>
      <c r="AQ62" t="str">
        <f>+'10% CO Elab'!T62</f>
        <v>14-METHYLHEXADECANE</v>
      </c>
      <c r="AR62" t="str">
        <f>+'10% CO Elab'!U62</f>
        <v>C17H36-N10</v>
      </c>
      <c r="AS62" t="str">
        <f>+'10% CO Elab'!V62</f>
        <v>C17-IP</v>
      </c>
      <c r="AT62">
        <f>+'10% CO Elab'!W62</f>
        <v>4.2476745441187838E-3</v>
      </c>
      <c r="AU62">
        <f>+'10% CO Elab'!X62</f>
        <v>7.2210467250019325E-2</v>
      </c>
      <c r="AW62">
        <f>+'10% CO Elab'!AB62</f>
        <v>1.0709070777760743E-4</v>
      </c>
      <c r="AX62" s="20">
        <v>17</v>
      </c>
      <c r="AY62" s="20" t="s">
        <v>309</v>
      </c>
      <c r="AZ62" s="20" t="s">
        <v>310</v>
      </c>
      <c r="BA62" s="20">
        <v>52</v>
      </c>
      <c r="BB62" s="20" t="s">
        <v>42</v>
      </c>
      <c r="BC62" s="20" t="s">
        <v>311</v>
      </c>
      <c r="BD62" s="20">
        <v>1</v>
      </c>
      <c r="BE62" s="20" t="s">
        <v>265</v>
      </c>
      <c r="BF62" s="20" t="s">
        <v>310</v>
      </c>
      <c r="BG62" s="20">
        <v>34</v>
      </c>
      <c r="BH62" s="20" t="s">
        <v>312</v>
      </c>
      <c r="BI62" s="1"/>
      <c r="BJ62">
        <f>+'10% CO Elab'!AA62</f>
        <v>6.9704841414095354E-4</v>
      </c>
      <c r="BK62" s="20">
        <f t="shared" si="15"/>
        <v>17</v>
      </c>
      <c r="BL62" s="20" t="s">
        <v>41</v>
      </c>
      <c r="BM62" s="20" t="str">
        <f t="shared" si="26"/>
        <v>+</v>
      </c>
      <c r="BN62" s="20">
        <f t="shared" si="16"/>
        <v>35</v>
      </c>
      <c r="BO62" s="20" t="str">
        <f t="shared" si="27"/>
        <v>H2</v>
      </c>
      <c r="BP62" s="20" t="str">
        <f t="shared" si="18"/>
        <v>=</v>
      </c>
      <c r="BQ62" s="20">
        <f t="shared" si="5"/>
        <v>1</v>
      </c>
      <c r="BR62" s="20" t="str">
        <f t="shared" si="6"/>
        <v>C17H36</v>
      </c>
      <c r="BS62" s="20" t="str">
        <f t="shared" si="7"/>
        <v>+</v>
      </c>
      <c r="BT62" s="20">
        <f t="shared" si="23"/>
        <v>17</v>
      </c>
      <c r="BU62" s="20" t="str">
        <f t="shared" si="19"/>
        <v>H2O</v>
      </c>
      <c r="BW62">
        <f t="shared" si="20"/>
        <v>3.6410840644386525E-3</v>
      </c>
      <c r="BX62">
        <f t="shared" si="21"/>
        <v>1.184982304039621E-2</v>
      </c>
    </row>
    <row r="63" spans="5:76" x14ac:dyDescent="0.2">
      <c r="E63">
        <f>+'5% CO Elab'!R63</f>
        <v>58</v>
      </c>
      <c r="F63">
        <f>+'5% CO Elab'!S63</f>
        <v>17</v>
      </c>
      <c r="G63" t="str">
        <f>+'5% CO Elab'!T63</f>
        <v>N-HEPTADECANE</v>
      </c>
      <c r="H63" t="str">
        <f>+'5% CO Elab'!U63</f>
        <v>C17H36</v>
      </c>
      <c r="I63" t="str">
        <f>+'5% CO Elab'!V63</f>
        <v>C17</v>
      </c>
      <c r="J63">
        <f>+'5% CO Elab'!W63</f>
        <v>4.2197476111477332E-2</v>
      </c>
      <c r="L63">
        <f>+'5% CO Elab'!AB63</f>
        <v>2.1436845199551916E-3</v>
      </c>
      <c r="M63" s="20">
        <v>17</v>
      </c>
      <c r="N63" s="20" t="s">
        <v>309</v>
      </c>
      <c r="O63" s="20" t="s">
        <v>310</v>
      </c>
      <c r="P63" s="20">
        <v>52</v>
      </c>
      <c r="Q63" s="20" t="s">
        <v>42</v>
      </c>
      <c r="R63" s="20" t="s">
        <v>311</v>
      </c>
      <c r="S63" s="20">
        <v>1</v>
      </c>
      <c r="T63" s="20" t="s">
        <v>265</v>
      </c>
      <c r="U63" s="20" t="s">
        <v>310</v>
      </c>
      <c r="V63" s="20">
        <v>34</v>
      </c>
      <c r="W63" s="20" t="s">
        <v>312</v>
      </c>
      <c r="X63" s="1"/>
      <c r="Y63">
        <f>+'5% CO Elab'!AA63</f>
        <v>6.9053142548636216E-3</v>
      </c>
      <c r="Z63" s="20">
        <f t="shared" si="8"/>
        <v>17</v>
      </c>
      <c r="AA63" s="20" t="s">
        <v>41</v>
      </c>
      <c r="AB63" s="20" t="str">
        <f t="shared" si="24"/>
        <v>+</v>
      </c>
      <c r="AC63" s="20">
        <f t="shared" si="9"/>
        <v>35</v>
      </c>
      <c r="AD63" s="20" t="str">
        <f t="shared" si="25"/>
        <v>H2</v>
      </c>
      <c r="AE63" s="20" t="str">
        <f t="shared" si="11"/>
        <v>=</v>
      </c>
      <c r="AF63" s="20">
        <f t="shared" si="1"/>
        <v>1</v>
      </c>
      <c r="AG63" s="20" t="str">
        <f t="shared" si="2"/>
        <v>C17H36</v>
      </c>
      <c r="AH63" s="20" t="str">
        <f t="shared" si="3"/>
        <v>+</v>
      </c>
      <c r="AI63" s="20">
        <f t="shared" si="22"/>
        <v>17</v>
      </c>
      <c r="AJ63" s="20" t="str">
        <f t="shared" si="12"/>
        <v>H2O</v>
      </c>
      <c r="AL63">
        <f t="shared" si="13"/>
        <v>7.2885273678476512E-2</v>
      </c>
      <c r="AM63">
        <f t="shared" si="14"/>
        <v>0.11739034233268157</v>
      </c>
      <c r="AP63">
        <f>+'10% CO Elab'!S63</f>
        <v>17</v>
      </c>
      <c r="AQ63" t="str">
        <f>+'10% CO Elab'!T63</f>
        <v>N-HEPTADECANE</v>
      </c>
      <c r="AR63" t="str">
        <f>+'10% CO Elab'!U63</f>
        <v>C17H36</v>
      </c>
      <c r="AS63" t="str">
        <f>+'10% CO Elab'!V63</f>
        <v>C17</v>
      </c>
      <c r="AT63">
        <f>+'10% CO Elab'!W63</f>
        <v>6.436880733008038E-2</v>
      </c>
      <c r="AU63">
        <f>+'10% CO Elab'!X63</f>
        <v>1.0942697246113664</v>
      </c>
      <c r="AW63">
        <f>+'10% CO Elab'!AB63</f>
        <v>1.6228411720768561E-3</v>
      </c>
      <c r="AX63" s="20">
        <v>17</v>
      </c>
      <c r="AY63" s="20" t="s">
        <v>309</v>
      </c>
      <c r="AZ63" s="20" t="s">
        <v>310</v>
      </c>
      <c r="BA63" s="20">
        <v>52</v>
      </c>
      <c r="BB63" s="20" t="s">
        <v>42</v>
      </c>
      <c r="BC63" s="20" t="s">
        <v>311</v>
      </c>
      <c r="BD63" s="20">
        <v>1</v>
      </c>
      <c r="BE63" s="20" t="s">
        <v>265</v>
      </c>
      <c r="BF63" s="20" t="s">
        <v>310</v>
      </c>
      <c r="BG63" s="20">
        <v>34</v>
      </c>
      <c r="BH63" s="20" t="s">
        <v>312</v>
      </c>
      <c r="BI63" s="1"/>
      <c r="BJ63">
        <f>+'10% CO Elab'!AA63</f>
        <v>1.056299737740039E-2</v>
      </c>
      <c r="BK63" s="20">
        <f t="shared" si="15"/>
        <v>17</v>
      </c>
      <c r="BL63" s="20" t="s">
        <v>41</v>
      </c>
      <c r="BM63" s="20" t="str">
        <f t="shared" si="26"/>
        <v>+</v>
      </c>
      <c r="BN63" s="20">
        <f t="shared" si="16"/>
        <v>35</v>
      </c>
      <c r="BO63" s="20" t="str">
        <f t="shared" si="27"/>
        <v>H2</v>
      </c>
      <c r="BP63" s="20" t="str">
        <f t="shared" si="18"/>
        <v>=</v>
      </c>
      <c r="BQ63" s="20">
        <f t="shared" si="5"/>
        <v>1</v>
      </c>
      <c r="BR63" s="20" t="str">
        <f t="shared" si="6"/>
        <v>C17H36</v>
      </c>
      <c r="BS63" s="20" t="str">
        <f t="shared" si="7"/>
        <v>+</v>
      </c>
      <c r="BT63" s="20">
        <f t="shared" si="23"/>
        <v>17</v>
      </c>
      <c r="BU63" s="20" t="str">
        <f t="shared" si="19"/>
        <v>H2O</v>
      </c>
      <c r="BW63">
        <f t="shared" si="20"/>
        <v>5.5176599850613108E-2</v>
      </c>
      <c r="BX63">
        <f t="shared" si="21"/>
        <v>0.17957095541580662</v>
      </c>
    </row>
    <row r="64" spans="5:76" x14ac:dyDescent="0.2">
      <c r="E64">
        <f>+'5% CO Elab'!R64</f>
        <v>59</v>
      </c>
      <c r="F64">
        <f>+'5% CO Elab'!S64</f>
        <v>18</v>
      </c>
      <c r="G64" t="str">
        <f>+'5% CO Elab'!T64</f>
        <v>N-OCTADECANE</v>
      </c>
      <c r="H64" t="str">
        <f>+'5% CO Elab'!U64</f>
        <v>C18H38</v>
      </c>
      <c r="I64" t="str">
        <f>+'5% CO Elab'!V64</f>
        <v>C18</v>
      </c>
      <c r="J64">
        <f>+'5% CO Elab'!W64</f>
        <v>3.904841073002388E-2</v>
      </c>
      <c r="L64">
        <f>+'5% CO Elab'!AB64</f>
        <v>2.1003967728445995E-3</v>
      </c>
      <c r="M64" s="20">
        <v>18</v>
      </c>
      <c r="N64" s="20" t="s">
        <v>309</v>
      </c>
      <c r="O64" s="20" t="s">
        <v>310</v>
      </c>
      <c r="P64" s="20">
        <v>55</v>
      </c>
      <c r="Q64" s="20" t="s">
        <v>42</v>
      </c>
      <c r="R64" s="20" t="s">
        <v>311</v>
      </c>
      <c r="S64" s="20">
        <v>1</v>
      </c>
      <c r="T64" s="20" t="s">
        <v>268</v>
      </c>
      <c r="U64" s="20" t="s">
        <v>310</v>
      </c>
      <c r="V64" s="20">
        <v>36</v>
      </c>
      <c r="W64" s="20" t="s">
        <v>312</v>
      </c>
      <c r="X64" s="1"/>
      <c r="Y64">
        <f>+'5% CO Elab'!AA64</f>
        <v>6.7658741952834212E-3</v>
      </c>
      <c r="Z64" s="20">
        <f t="shared" si="8"/>
        <v>18</v>
      </c>
      <c r="AA64" s="20" t="s">
        <v>41</v>
      </c>
      <c r="AB64" s="20" t="str">
        <f t="shared" si="24"/>
        <v>+</v>
      </c>
      <c r="AC64" s="20">
        <f t="shared" si="9"/>
        <v>37</v>
      </c>
      <c r="AD64" s="20" t="str">
        <f t="shared" si="25"/>
        <v>H2</v>
      </c>
      <c r="AE64" s="20" t="str">
        <f t="shared" si="11"/>
        <v>=</v>
      </c>
      <c r="AF64" s="20">
        <f t="shared" si="1"/>
        <v>1</v>
      </c>
      <c r="AG64" s="20" t="str">
        <f t="shared" si="2"/>
        <v>C18H38</v>
      </c>
      <c r="AH64" s="20" t="str">
        <f t="shared" si="3"/>
        <v>+</v>
      </c>
      <c r="AI64" s="20">
        <f t="shared" si="22"/>
        <v>18</v>
      </c>
      <c r="AJ64" s="20" t="str">
        <f t="shared" si="12"/>
        <v>H2O</v>
      </c>
      <c r="AL64">
        <f t="shared" si="13"/>
        <v>7.5614283822405579E-2</v>
      </c>
      <c r="AM64">
        <f t="shared" si="14"/>
        <v>0.12178573551510158</v>
      </c>
      <c r="AP64">
        <f>+'10% CO Elab'!S64</f>
        <v>18</v>
      </c>
      <c r="AQ64" t="str">
        <f>+'10% CO Elab'!T64</f>
        <v>N-OCTADECANE</v>
      </c>
      <c r="AR64" t="str">
        <f>+'10% CO Elab'!U64</f>
        <v>C18H38</v>
      </c>
      <c r="AS64" t="str">
        <f>+'10% CO Elab'!V64</f>
        <v>C18</v>
      </c>
      <c r="AT64">
        <f>+'10% CO Elab'!W64</f>
        <v>5.9565164992014807E-2</v>
      </c>
      <c r="AU64">
        <f>+'10% CO Elab'!X64</f>
        <v>1.0721729698562665</v>
      </c>
      <c r="AW64">
        <f>+'10% CO Elab'!AB64</f>
        <v>1.5900708937996273E-3</v>
      </c>
      <c r="AX64" s="20">
        <v>18</v>
      </c>
      <c r="AY64" s="20" t="s">
        <v>309</v>
      </c>
      <c r="AZ64" s="20" t="s">
        <v>310</v>
      </c>
      <c r="BA64" s="20">
        <v>55</v>
      </c>
      <c r="BB64" s="20" t="s">
        <v>42</v>
      </c>
      <c r="BC64" s="20" t="s">
        <v>311</v>
      </c>
      <c r="BD64" s="20">
        <v>1</v>
      </c>
      <c r="BE64" s="20" t="s">
        <v>268</v>
      </c>
      <c r="BF64" s="20" t="s">
        <v>310</v>
      </c>
      <c r="BG64" s="20">
        <v>36</v>
      </c>
      <c r="BH64" s="20" t="s">
        <v>312</v>
      </c>
      <c r="BI64" s="1"/>
      <c r="BJ64">
        <f>+'10% CO Elab'!AA64</f>
        <v>1.0349697166970028E-2</v>
      </c>
      <c r="BK64" s="20">
        <f t="shared" si="15"/>
        <v>18</v>
      </c>
      <c r="BL64" s="20" t="s">
        <v>41</v>
      </c>
      <c r="BM64" s="20" t="str">
        <f t="shared" si="26"/>
        <v>+</v>
      </c>
      <c r="BN64" s="20">
        <f t="shared" si="16"/>
        <v>37</v>
      </c>
      <c r="BO64" s="20" t="str">
        <f t="shared" si="27"/>
        <v>H2</v>
      </c>
      <c r="BP64" s="20" t="str">
        <f t="shared" si="18"/>
        <v>=</v>
      </c>
      <c r="BQ64" s="20">
        <f t="shared" si="5"/>
        <v>1</v>
      </c>
      <c r="BR64" s="20" t="str">
        <f t="shared" si="6"/>
        <v>C18H38</v>
      </c>
      <c r="BS64" s="20" t="str">
        <f t="shared" si="7"/>
        <v>+</v>
      </c>
      <c r="BT64" s="20">
        <f t="shared" si="23"/>
        <v>18</v>
      </c>
      <c r="BU64" s="20" t="str">
        <f t="shared" si="19"/>
        <v>H2O</v>
      </c>
      <c r="BW64">
        <f t="shared" si="20"/>
        <v>5.7242552176786581E-2</v>
      </c>
      <c r="BX64">
        <f t="shared" si="21"/>
        <v>0.1862945490054605</v>
      </c>
    </row>
    <row r="65" spans="5:76" x14ac:dyDescent="0.2">
      <c r="E65">
        <f>+'5% CO Elab'!R65</f>
        <v>60</v>
      </c>
      <c r="F65">
        <f>+'5% CO Elab'!S65</f>
        <v>19</v>
      </c>
      <c r="G65" t="str">
        <f>+'5% CO Elab'!T65</f>
        <v>N-NONADECANE</v>
      </c>
      <c r="H65" t="str">
        <f>+'5% CO Elab'!U65</f>
        <v>C19H40</v>
      </c>
      <c r="I65" t="str">
        <f>+'5% CO Elab'!V65</f>
        <v>C19</v>
      </c>
      <c r="J65">
        <f>+'5% CO Elab'!W65</f>
        <v>1.7634766136139807E-2</v>
      </c>
      <c r="L65">
        <f>+'5% CO Elab'!AB65</f>
        <v>1.0012644114277118E-3</v>
      </c>
      <c r="M65" s="20">
        <v>19</v>
      </c>
      <c r="N65" s="20" t="s">
        <v>309</v>
      </c>
      <c r="O65" s="20" t="s">
        <v>310</v>
      </c>
      <c r="P65" s="20">
        <v>58</v>
      </c>
      <c r="Q65" s="20" t="s">
        <v>42</v>
      </c>
      <c r="R65" s="20" t="s">
        <v>311</v>
      </c>
      <c r="S65" s="20">
        <v>1</v>
      </c>
      <c r="T65" s="20" t="s">
        <v>271</v>
      </c>
      <c r="U65" s="20" t="s">
        <v>310</v>
      </c>
      <c r="V65" s="20">
        <v>38</v>
      </c>
      <c r="W65" s="20" t="s">
        <v>312</v>
      </c>
      <c r="X65" s="1"/>
      <c r="Y65">
        <f>+'5% CO Elab'!AA65</f>
        <v>3.2253092042032068E-3</v>
      </c>
      <c r="Z65" s="20">
        <f t="shared" si="8"/>
        <v>19</v>
      </c>
      <c r="AA65" s="20" t="s">
        <v>41</v>
      </c>
      <c r="AB65" s="20" t="str">
        <f t="shared" si="24"/>
        <v>+</v>
      </c>
      <c r="AC65" s="20">
        <f t="shared" si="9"/>
        <v>39</v>
      </c>
      <c r="AD65" s="20" t="str">
        <f t="shared" si="25"/>
        <v>H2</v>
      </c>
      <c r="AE65" s="20" t="str">
        <f t="shared" si="11"/>
        <v>=</v>
      </c>
      <c r="AF65" s="20">
        <f t="shared" si="1"/>
        <v>1</v>
      </c>
      <c r="AG65" s="20" t="str">
        <f t="shared" si="2"/>
        <v>C19H40</v>
      </c>
      <c r="AH65" s="20" t="str">
        <f t="shared" si="3"/>
        <v>+</v>
      </c>
      <c r="AI65" s="20">
        <f t="shared" si="22"/>
        <v>19</v>
      </c>
      <c r="AJ65" s="20" t="str">
        <f t="shared" si="12"/>
        <v>H2O</v>
      </c>
      <c r="AL65">
        <f t="shared" si="13"/>
        <v>3.8048047634253047E-2</v>
      </c>
      <c r="AM65">
        <f t="shared" si="14"/>
        <v>6.1280874879860933E-2</v>
      </c>
      <c r="AP65">
        <f>+'10% CO Elab'!S65</f>
        <v>19</v>
      </c>
      <c r="AQ65" t="str">
        <f>+'10% CO Elab'!T65</f>
        <v>N-NONADECANE</v>
      </c>
      <c r="AR65" t="str">
        <f>+'10% CO Elab'!U65</f>
        <v>C19H40</v>
      </c>
      <c r="AS65" t="str">
        <f>+'10% CO Elab'!V65</f>
        <v>C19</v>
      </c>
      <c r="AT65">
        <f>+'10% CO Elab'!W65</f>
        <v>2.6900397093167962E-2</v>
      </c>
      <c r="AU65">
        <f>+'10% CO Elab'!X65</f>
        <v>0.51110754477019127</v>
      </c>
      <c r="AW65">
        <f>+'10% CO Elab'!AB65</f>
        <v>7.5799078449946338E-4</v>
      </c>
      <c r="AX65" s="20">
        <v>19</v>
      </c>
      <c r="AY65" s="20" t="s">
        <v>309</v>
      </c>
      <c r="AZ65" s="20" t="s">
        <v>310</v>
      </c>
      <c r="BA65" s="20">
        <v>58</v>
      </c>
      <c r="BB65" s="20" t="s">
        <v>42</v>
      </c>
      <c r="BC65" s="20" t="s">
        <v>311</v>
      </c>
      <c r="BD65" s="20">
        <v>1</v>
      </c>
      <c r="BE65" s="20" t="s">
        <v>271</v>
      </c>
      <c r="BF65" s="20" t="s">
        <v>310</v>
      </c>
      <c r="BG65" s="20">
        <v>38</v>
      </c>
      <c r="BH65" s="20" t="s">
        <v>312</v>
      </c>
      <c r="BI65" s="1"/>
      <c r="BJ65">
        <f>+'10% CO Elab'!AA65</f>
        <v>4.9337266064767484E-3</v>
      </c>
      <c r="BK65" s="20">
        <f t="shared" si="15"/>
        <v>19</v>
      </c>
      <c r="BL65" s="20" t="s">
        <v>41</v>
      </c>
      <c r="BM65" s="20" t="str">
        <f t="shared" si="26"/>
        <v>+</v>
      </c>
      <c r="BN65" s="20">
        <f t="shared" si="16"/>
        <v>39</v>
      </c>
      <c r="BO65" s="20" t="str">
        <f t="shared" si="27"/>
        <v>H2</v>
      </c>
      <c r="BP65" s="20" t="str">
        <f t="shared" si="18"/>
        <v>=</v>
      </c>
      <c r="BQ65" s="20">
        <f t="shared" si="5"/>
        <v>1</v>
      </c>
      <c r="BR65" s="20" t="str">
        <f t="shared" si="6"/>
        <v>C19H40</v>
      </c>
      <c r="BS65" s="20" t="str">
        <f t="shared" si="7"/>
        <v>+</v>
      </c>
      <c r="BT65" s="20">
        <f t="shared" si="23"/>
        <v>19</v>
      </c>
      <c r="BU65" s="20" t="str">
        <f t="shared" si="19"/>
        <v>H2O</v>
      </c>
      <c r="BW65">
        <f t="shared" si="20"/>
        <v>2.8803649810979607E-2</v>
      </c>
      <c r="BX65">
        <f t="shared" si="21"/>
        <v>9.3740805523058218E-2</v>
      </c>
    </row>
    <row r="66" spans="5:76" x14ac:dyDescent="0.2">
      <c r="E66">
        <f>+'5% CO Elab'!R66</f>
        <v>61</v>
      </c>
      <c r="F66">
        <f>+'5% CO Elab'!S66</f>
        <v>20</v>
      </c>
      <c r="G66" t="str">
        <f>+'5% CO Elab'!T66</f>
        <v>N-EICOSANE</v>
      </c>
      <c r="H66" t="str">
        <f>+'5% CO Elab'!U66</f>
        <v>C20H42</v>
      </c>
      <c r="I66" t="str">
        <f>+'5% CO Elab'!V66</f>
        <v>C20</v>
      </c>
      <c r="J66">
        <f>+'5% CO Elab'!W66</f>
        <v>1.3855887678395564E-2</v>
      </c>
      <c r="L66">
        <f>+'5% CO Elab'!AB66</f>
        <v>8.281134229853257E-4</v>
      </c>
      <c r="M66" s="20">
        <v>20</v>
      </c>
      <c r="N66" s="20" t="s">
        <v>309</v>
      </c>
      <c r="O66" s="20" t="s">
        <v>310</v>
      </c>
      <c r="P66" s="20">
        <v>61</v>
      </c>
      <c r="Q66" s="20" t="s">
        <v>42</v>
      </c>
      <c r="R66" s="20" t="s">
        <v>311</v>
      </c>
      <c r="S66" s="20">
        <v>1</v>
      </c>
      <c r="T66" s="20" t="s">
        <v>274</v>
      </c>
      <c r="U66" s="20" t="s">
        <v>310</v>
      </c>
      <c r="V66" s="20">
        <v>40</v>
      </c>
      <c r="W66" s="20" t="s">
        <v>312</v>
      </c>
      <c r="X66" s="1"/>
      <c r="Y66">
        <f>+'5% CO Elab'!AA66</f>
        <v>2.6675489658823516E-3</v>
      </c>
      <c r="Z66" s="20">
        <f t="shared" si="8"/>
        <v>20</v>
      </c>
      <c r="AA66" s="20" t="s">
        <v>41</v>
      </c>
      <c r="AB66" s="20" t="str">
        <f t="shared" si="24"/>
        <v>+</v>
      </c>
      <c r="AC66" s="20">
        <f t="shared" si="9"/>
        <v>41</v>
      </c>
      <c r="AD66" s="20" t="str">
        <f t="shared" si="25"/>
        <v>H2</v>
      </c>
      <c r="AE66" s="20" t="str">
        <f t="shared" si="11"/>
        <v>=</v>
      </c>
      <c r="AF66" s="20">
        <f t="shared" si="1"/>
        <v>1</v>
      </c>
      <c r="AG66" s="20" t="str">
        <f t="shared" si="2"/>
        <v>C20H42</v>
      </c>
      <c r="AH66" s="20" t="str">
        <f t="shared" si="3"/>
        <v>+</v>
      </c>
      <c r="AI66" s="20">
        <f t="shared" si="22"/>
        <v>20</v>
      </c>
      <c r="AJ66" s="20" t="str">
        <f t="shared" si="12"/>
        <v>H2O</v>
      </c>
      <c r="AL66">
        <f t="shared" si="13"/>
        <v>3.3124536919413028E-2</v>
      </c>
      <c r="AM66">
        <f t="shared" si="14"/>
        <v>5.3350979317647033E-2</v>
      </c>
      <c r="AP66">
        <f>+'10% CO Elab'!S66</f>
        <v>20</v>
      </c>
      <c r="AQ66" t="str">
        <f>+'10% CO Elab'!T66</f>
        <v>N-EICOSANE</v>
      </c>
      <c r="AR66" t="str">
        <f>+'10% CO Elab'!U66</f>
        <v>C20H42</v>
      </c>
      <c r="AS66" t="str">
        <f>+'10% CO Elab'!V66</f>
        <v>C20</v>
      </c>
      <c r="AT66">
        <f>+'10% CO Elab'!W66</f>
        <v>2.1136026287489115E-2</v>
      </c>
      <c r="AU66">
        <f>+'10% CO Elab'!X66</f>
        <v>0.42272052574978231</v>
      </c>
      <c r="AW66">
        <f>+'10% CO Elab'!AB66</f>
        <v>6.269096713905337E-4</v>
      </c>
      <c r="AX66" s="20">
        <v>20</v>
      </c>
      <c r="AY66" s="20" t="s">
        <v>309</v>
      </c>
      <c r="AZ66" s="20" t="s">
        <v>310</v>
      </c>
      <c r="BA66" s="20">
        <v>61</v>
      </c>
      <c r="BB66" s="20" t="s">
        <v>42</v>
      </c>
      <c r="BC66" s="20" t="s">
        <v>311</v>
      </c>
      <c r="BD66" s="20">
        <v>1</v>
      </c>
      <c r="BE66" s="20" t="s">
        <v>274</v>
      </c>
      <c r="BF66" s="20" t="s">
        <v>310</v>
      </c>
      <c r="BG66" s="20">
        <v>40</v>
      </c>
      <c r="BH66" s="20" t="s">
        <v>312</v>
      </c>
      <c r="BI66" s="1"/>
      <c r="BJ66">
        <f>+'10% CO Elab'!AA66</f>
        <v>4.080525764755206E-3</v>
      </c>
      <c r="BK66" s="20">
        <f t="shared" si="15"/>
        <v>20</v>
      </c>
      <c r="BL66" s="20" t="s">
        <v>41</v>
      </c>
      <c r="BM66" s="20" t="str">
        <f t="shared" si="26"/>
        <v>+</v>
      </c>
      <c r="BN66" s="20">
        <f t="shared" si="16"/>
        <v>41</v>
      </c>
      <c r="BO66" s="20" t="str">
        <f t="shared" si="27"/>
        <v>H2</v>
      </c>
      <c r="BP66" s="20" t="str">
        <f t="shared" si="18"/>
        <v>=</v>
      </c>
      <c r="BQ66" s="20">
        <f t="shared" si="5"/>
        <v>1</v>
      </c>
      <c r="BR66" s="20" t="str">
        <f t="shared" si="6"/>
        <v>C20H42</v>
      </c>
      <c r="BS66" s="20" t="str">
        <f t="shared" si="7"/>
        <v>+</v>
      </c>
      <c r="BT66" s="20">
        <f t="shared" si="23"/>
        <v>20</v>
      </c>
      <c r="BU66" s="20" t="str">
        <f t="shared" si="19"/>
        <v>H2O</v>
      </c>
      <c r="BW66">
        <f t="shared" si="20"/>
        <v>2.5076386855621347E-2</v>
      </c>
      <c r="BX66">
        <f t="shared" si="21"/>
        <v>8.1610515295104116E-2</v>
      </c>
    </row>
    <row r="67" spans="5:76" x14ac:dyDescent="0.2">
      <c r="E67">
        <f>+'5% CO Elab'!R67</f>
        <v>62</v>
      </c>
      <c r="F67">
        <f>+'5% CO Elab'!S67</f>
        <v>21</v>
      </c>
      <c r="G67" t="str">
        <f>+'5% CO Elab'!T67</f>
        <v>N-HENEICOSANE</v>
      </c>
      <c r="H67" t="str">
        <f>+'5% CO Elab'!U67</f>
        <v>C21H44</v>
      </c>
      <c r="I67" t="str">
        <f>+'5% CO Elab'!V67</f>
        <v>C21</v>
      </c>
      <c r="J67">
        <f>+'5% CO Elab'!W67</f>
        <v>1.2596261525814152E-2</v>
      </c>
      <c r="L67">
        <f>+'5% CO Elab'!AB67</f>
        <v>7.9047190375872004E-4</v>
      </c>
      <c r="M67" s="20">
        <v>21</v>
      </c>
      <c r="N67" s="20" t="s">
        <v>309</v>
      </c>
      <c r="O67" s="20" t="s">
        <v>310</v>
      </c>
      <c r="P67" s="20">
        <v>64</v>
      </c>
      <c r="Q67" s="20" t="s">
        <v>42</v>
      </c>
      <c r="R67" s="20" t="s">
        <v>311</v>
      </c>
      <c r="S67" s="20">
        <v>1</v>
      </c>
      <c r="T67" s="20" t="s">
        <v>277</v>
      </c>
      <c r="U67" s="20" t="s">
        <v>310</v>
      </c>
      <c r="V67" s="20">
        <v>42</v>
      </c>
      <c r="W67" s="20" t="s">
        <v>312</v>
      </c>
      <c r="X67" s="1"/>
      <c r="Y67">
        <f>+'5% CO Elab'!AA67</f>
        <v>2.5462967401604268E-3</v>
      </c>
      <c r="Z67" s="20">
        <f t="shared" si="8"/>
        <v>21</v>
      </c>
      <c r="AA67" s="20" t="s">
        <v>41</v>
      </c>
      <c r="AB67" s="20" t="str">
        <f t="shared" si="24"/>
        <v>+</v>
      </c>
      <c r="AC67" s="20">
        <f t="shared" si="9"/>
        <v>43</v>
      </c>
      <c r="AD67" s="20" t="str">
        <f t="shared" si="25"/>
        <v>H2</v>
      </c>
      <c r="AE67" s="20" t="str">
        <f t="shared" si="11"/>
        <v>=</v>
      </c>
      <c r="AF67" s="20">
        <f t="shared" si="1"/>
        <v>1</v>
      </c>
      <c r="AG67" s="20" t="str">
        <f t="shared" si="2"/>
        <v>C21H44</v>
      </c>
      <c r="AH67" s="20" t="str">
        <f t="shared" si="3"/>
        <v>+</v>
      </c>
      <c r="AI67" s="20">
        <f t="shared" si="22"/>
        <v>21</v>
      </c>
      <c r="AJ67" s="20" t="str">
        <f t="shared" si="12"/>
        <v>H2O</v>
      </c>
      <c r="AL67">
        <f t="shared" si="13"/>
        <v>3.3199819957866243E-2</v>
      </c>
      <c r="AM67">
        <f t="shared" si="14"/>
        <v>5.3472231543368963E-2</v>
      </c>
      <c r="AP67">
        <f>+'10% CO Elab'!S67</f>
        <v>21</v>
      </c>
      <c r="AQ67" t="str">
        <f>+'10% CO Elab'!T67</f>
        <v>N-HENEICOSANE</v>
      </c>
      <c r="AR67" t="str">
        <f>+'10% CO Elab'!U67</f>
        <v>C21H44</v>
      </c>
      <c r="AS67" t="str">
        <f>+'10% CO Elab'!V67</f>
        <v>C21</v>
      </c>
      <c r="AT67">
        <f>+'10% CO Elab'!W67</f>
        <v>1.9214569352262831E-2</v>
      </c>
      <c r="AU67">
        <f>+'10% CO Elab'!X67</f>
        <v>0.40350595639751946</v>
      </c>
      <c r="AW67">
        <f>+'10% CO Elab'!AB67</f>
        <v>5.9841377723641846E-4</v>
      </c>
      <c r="AX67" s="20">
        <v>21</v>
      </c>
      <c r="AY67" s="20" t="s">
        <v>309</v>
      </c>
      <c r="AZ67" s="20" t="s">
        <v>310</v>
      </c>
      <c r="BA67" s="20">
        <v>64</v>
      </c>
      <c r="BB67" s="20" t="s">
        <v>42</v>
      </c>
      <c r="BC67" s="20" t="s">
        <v>311</v>
      </c>
      <c r="BD67" s="20">
        <v>1</v>
      </c>
      <c r="BE67" s="20" t="s">
        <v>277</v>
      </c>
      <c r="BF67" s="20" t="s">
        <v>310</v>
      </c>
      <c r="BG67" s="20">
        <v>42</v>
      </c>
      <c r="BH67" s="20" t="s">
        <v>312</v>
      </c>
      <c r="BI67" s="1"/>
      <c r="BJ67">
        <f>+'10% CO Elab'!AA67</f>
        <v>3.8950473209026963E-3</v>
      </c>
      <c r="BK67" s="20">
        <f t="shared" si="15"/>
        <v>21</v>
      </c>
      <c r="BL67" s="20" t="s">
        <v>41</v>
      </c>
      <c r="BM67" s="20" t="str">
        <f t="shared" si="26"/>
        <v>+</v>
      </c>
      <c r="BN67" s="20">
        <f t="shared" si="16"/>
        <v>43</v>
      </c>
      <c r="BO67" s="20" t="str">
        <f t="shared" si="27"/>
        <v>H2</v>
      </c>
      <c r="BP67" s="20" t="str">
        <f t="shared" si="18"/>
        <v>=</v>
      </c>
      <c r="BQ67" s="20">
        <f t="shared" si="5"/>
        <v>1</v>
      </c>
      <c r="BR67" s="20" t="str">
        <f t="shared" si="6"/>
        <v>C21H44</v>
      </c>
      <c r="BS67" s="20" t="str">
        <f t="shared" si="7"/>
        <v>+</v>
      </c>
      <c r="BT67" s="20">
        <f t="shared" si="23"/>
        <v>21</v>
      </c>
      <c r="BU67" s="20" t="str">
        <f t="shared" si="19"/>
        <v>H2O</v>
      </c>
      <c r="BW67">
        <f t="shared" si="20"/>
        <v>2.5133378643929574E-2</v>
      </c>
      <c r="BX67">
        <f t="shared" si="21"/>
        <v>8.1795993738956629E-2</v>
      </c>
    </row>
    <row r="68" spans="5:76" x14ac:dyDescent="0.2">
      <c r="E68">
        <f>+'5% CO Elab'!R68</f>
        <v>63</v>
      </c>
      <c r="F68">
        <f>+'5% CO Elab'!S68</f>
        <v>22</v>
      </c>
      <c r="G68" t="str">
        <f>+'5% CO Elab'!T68</f>
        <v>N-DOCOSANE</v>
      </c>
      <c r="H68" t="str">
        <f>+'5% CO Elab'!U68</f>
        <v>C22H46</v>
      </c>
      <c r="I68" t="str">
        <f>+'5% CO Elab'!V68</f>
        <v>C22</v>
      </c>
      <c r="J68">
        <f>+'5% CO Elab'!W68</f>
        <v>1.1336635373232736E-2</v>
      </c>
      <c r="L68">
        <f>+'5% CO Elab'!AB68</f>
        <v>7.4530208068679317E-4</v>
      </c>
      <c r="M68" s="20">
        <v>22</v>
      </c>
      <c r="N68" s="20" t="s">
        <v>309</v>
      </c>
      <c r="O68" s="20" t="s">
        <v>310</v>
      </c>
      <c r="P68" s="20">
        <v>67</v>
      </c>
      <c r="Q68" s="20" t="s">
        <v>42</v>
      </c>
      <c r="R68" s="20" t="s">
        <v>311</v>
      </c>
      <c r="S68" s="20">
        <v>1</v>
      </c>
      <c r="T68" s="20" t="s">
        <v>280</v>
      </c>
      <c r="U68" s="20" t="s">
        <v>310</v>
      </c>
      <c r="V68" s="20">
        <v>44</v>
      </c>
      <c r="W68" s="20" t="s">
        <v>312</v>
      </c>
      <c r="X68" s="1"/>
      <c r="Y68">
        <f>+'5% CO Elab'!AA68</f>
        <v>2.4007940692941164E-3</v>
      </c>
      <c r="Z68" s="20">
        <f t="shared" si="8"/>
        <v>22</v>
      </c>
      <c r="AA68" s="20" t="s">
        <v>41</v>
      </c>
      <c r="AB68" s="20" t="str">
        <f t="shared" si="24"/>
        <v>+</v>
      </c>
      <c r="AC68" s="20">
        <f t="shared" si="9"/>
        <v>45</v>
      </c>
      <c r="AD68" s="20" t="str">
        <f t="shared" si="25"/>
        <v>H2</v>
      </c>
      <c r="AE68" s="20" t="str">
        <f t="shared" si="11"/>
        <v>=</v>
      </c>
      <c r="AF68" s="20">
        <f t="shared" si="1"/>
        <v>1</v>
      </c>
      <c r="AG68" s="20" t="str">
        <f t="shared" si="2"/>
        <v>C22H46</v>
      </c>
      <c r="AH68" s="20" t="str">
        <f t="shared" si="3"/>
        <v>+</v>
      </c>
      <c r="AI68" s="20">
        <f t="shared" si="22"/>
        <v>22</v>
      </c>
      <c r="AJ68" s="20" t="str">
        <f t="shared" si="12"/>
        <v>H2O</v>
      </c>
      <c r="AL68">
        <f t="shared" si="13"/>
        <v>3.27932915502189E-2</v>
      </c>
      <c r="AM68">
        <f t="shared" si="14"/>
        <v>5.2817469524470563E-2</v>
      </c>
      <c r="AP68">
        <f>+'10% CO Elab'!S68</f>
        <v>22</v>
      </c>
      <c r="AQ68" t="str">
        <f>+'10% CO Elab'!T68</f>
        <v>N-DOCOSANE</v>
      </c>
      <c r="AR68" t="str">
        <f>+'10% CO Elab'!U68</f>
        <v>C22H46</v>
      </c>
      <c r="AS68" t="str">
        <f>+'10% CO Elab'!V68</f>
        <v>C22</v>
      </c>
      <c r="AT68">
        <f>+'10% CO Elab'!W68</f>
        <v>1.7293112417036547E-2</v>
      </c>
      <c r="AU68">
        <f>+'10% CO Elab'!X68</f>
        <v>0.38044847317480401</v>
      </c>
      <c r="AW68">
        <f>+'10% CO Elab'!AB68</f>
        <v>5.6421870425148028E-4</v>
      </c>
      <c r="AX68" s="20">
        <v>22</v>
      </c>
      <c r="AY68" s="20" t="s">
        <v>309</v>
      </c>
      <c r="AZ68" s="20" t="s">
        <v>310</v>
      </c>
      <c r="BA68" s="20">
        <v>67</v>
      </c>
      <c r="BB68" s="20" t="s">
        <v>42</v>
      </c>
      <c r="BC68" s="20" t="s">
        <v>311</v>
      </c>
      <c r="BD68" s="20">
        <v>1</v>
      </c>
      <c r="BE68" s="20" t="s">
        <v>280</v>
      </c>
      <c r="BF68" s="20" t="s">
        <v>310</v>
      </c>
      <c r="BG68" s="20">
        <v>44</v>
      </c>
      <c r="BH68" s="20" t="s">
        <v>312</v>
      </c>
      <c r="BI68" s="1"/>
      <c r="BJ68">
        <f>+'10% CO Elab'!AA68</f>
        <v>3.6724731882796847E-3</v>
      </c>
      <c r="BK68" s="20">
        <f t="shared" si="15"/>
        <v>22</v>
      </c>
      <c r="BL68" s="20" t="s">
        <v>41</v>
      </c>
      <c r="BM68" s="20" t="str">
        <f t="shared" si="26"/>
        <v>+</v>
      </c>
      <c r="BN68" s="20">
        <f t="shared" si="16"/>
        <v>45</v>
      </c>
      <c r="BO68" s="20" t="str">
        <f t="shared" si="27"/>
        <v>H2</v>
      </c>
      <c r="BP68" s="20" t="str">
        <f t="shared" si="18"/>
        <v>=</v>
      </c>
      <c r="BQ68" s="20">
        <f t="shared" si="5"/>
        <v>1</v>
      </c>
      <c r="BR68" s="20" t="str">
        <f t="shared" si="6"/>
        <v>C22H46</v>
      </c>
      <c r="BS68" s="20" t="str">
        <f t="shared" si="7"/>
        <v>+</v>
      </c>
      <c r="BT68" s="20">
        <f t="shared" si="23"/>
        <v>22</v>
      </c>
      <c r="BU68" s="20" t="str">
        <f t="shared" si="19"/>
        <v>H2O</v>
      </c>
      <c r="BW68">
        <f t="shared" si="20"/>
        <v>2.4825622987065133E-2</v>
      </c>
      <c r="BX68">
        <f t="shared" si="21"/>
        <v>8.0794410142153064E-2</v>
      </c>
    </row>
    <row r="69" spans="5:76" x14ac:dyDescent="0.2">
      <c r="E69">
        <f>+'5% CO Elab'!R69</f>
        <v>64</v>
      </c>
      <c r="F69">
        <f>+'5% CO Elab'!S69</f>
        <v>23</v>
      </c>
      <c r="G69" t="str">
        <f>+'5% CO Elab'!T69</f>
        <v>N-TRICOSANE</v>
      </c>
      <c r="H69" t="str">
        <f>+'5% CO Elab'!U69</f>
        <v>C23H48</v>
      </c>
      <c r="I69" t="str">
        <f>+'5% CO Elab'!V69</f>
        <v>C23</v>
      </c>
      <c r="J69">
        <f>+'5% CO Elab'!W69</f>
        <v>1.0077009220651321E-2</v>
      </c>
      <c r="L69">
        <f>+'5% CO Elab'!AB69</f>
        <v>6.9260395376954519E-4</v>
      </c>
      <c r="M69" s="20">
        <v>23</v>
      </c>
      <c r="N69" s="20" t="s">
        <v>309</v>
      </c>
      <c r="O69" s="20" t="s">
        <v>310</v>
      </c>
      <c r="P69" s="20">
        <v>70</v>
      </c>
      <c r="Q69" s="20" t="s">
        <v>42</v>
      </c>
      <c r="R69" s="20" t="s">
        <v>311</v>
      </c>
      <c r="S69" s="20">
        <v>1</v>
      </c>
      <c r="T69" s="20" t="s">
        <v>283</v>
      </c>
      <c r="U69" s="20" t="s">
        <v>310</v>
      </c>
      <c r="V69" s="20">
        <v>46</v>
      </c>
      <c r="W69" s="20" t="s">
        <v>312</v>
      </c>
      <c r="X69" s="1"/>
      <c r="Y69">
        <f>+'5% CO Elab'!AA69</f>
        <v>2.2310409532834215E-3</v>
      </c>
      <c r="Z69" s="20">
        <f t="shared" si="8"/>
        <v>23</v>
      </c>
      <c r="AA69" s="20" t="s">
        <v>41</v>
      </c>
      <c r="AB69" s="20" t="str">
        <f t="shared" si="24"/>
        <v>+</v>
      </c>
      <c r="AC69" s="20">
        <f t="shared" si="9"/>
        <v>47</v>
      </c>
      <c r="AD69" s="20" t="str">
        <f t="shared" si="25"/>
        <v>H2</v>
      </c>
      <c r="AE69" s="20" t="str">
        <f t="shared" si="11"/>
        <v>=</v>
      </c>
      <c r="AF69" s="20">
        <f t="shared" si="1"/>
        <v>1</v>
      </c>
      <c r="AG69" s="20" t="str">
        <f t="shared" si="2"/>
        <v>C23H48</v>
      </c>
      <c r="AH69" s="20" t="str">
        <f t="shared" si="3"/>
        <v>+</v>
      </c>
      <c r="AI69" s="20">
        <f t="shared" si="22"/>
        <v>23</v>
      </c>
      <c r="AJ69" s="20" t="str">
        <f t="shared" si="12"/>
        <v>H2O</v>
      </c>
      <c r="AL69">
        <f t="shared" si="13"/>
        <v>3.1859781873399079E-2</v>
      </c>
      <c r="AM69">
        <f t="shared" si="14"/>
        <v>5.1313941925518691E-2</v>
      </c>
      <c r="AP69">
        <f>+'10% CO Elab'!S69</f>
        <v>23</v>
      </c>
      <c r="AQ69" t="str">
        <f>+'10% CO Elab'!T69</f>
        <v>N-TRICOSANE</v>
      </c>
      <c r="AR69" t="str">
        <f>+'10% CO Elab'!U69</f>
        <v>C23H48</v>
      </c>
      <c r="AS69" t="str">
        <f>+'10% CO Elab'!V69</f>
        <v>C23</v>
      </c>
      <c r="AT69">
        <f>+'10% CO Elab'!W69</f>
        <v>1.5371655481810267E-2</v>
      </c>
      <c r="AU69">
        <f>+'10% CO Elab'!X69</f>
        <v>0.35354807608163613</v>
      </c>
      <c r="AW69">
        <f>+'10% CO Elab'!AB69</f>
        <v>5.2432445243571916E-4</v>
      </c>
      <c r="AX69" s="20">
        <v>23</v>
      </c>
      <c r="AY69" s="20" t="s">
        <v>309</v>
      </c>
      <c r="AZ69" s="20" t="s">
        <v>310</v>
      </c>
      <c r="BA69" s="20">
        <v>70</v>
      </c>
      <c r="BB69" s="20" t="s">
        <v>42</v>
      </c>
      <c r="BC69" s="20" t="s">
        <v>311</v>
      </c>
      <c r="BD69" s="20">
        <v>1</v>
      </c>
      <c r="BE69" s="20" t="s">
        <v>283</v>
      </c>
      <c r="BF69" s="20" t="s">
        <v>310</v>
      </c>
      <c r="BG69" s="20">
        <v>46</v>
      </c>
      <c r="BH69" s="20" t="s">
        <v>312</v>
      </c>
      <c r="BI69" s="1"/>
      <c r="BJ69">
        <f>+'10% CO Elab'!AA69</f>
        <v>3.4128033668861728E-3</v>
      </c>
      <c r="BK69" s="20">
        <f t="shared" si="15"/>
        <v>23</v>
      </c>
      <c r="BL69" s="20" t="s">
        <v>41</v>
      </c>
      <c r="BM69" s="20" t="str">
        <f t="shared" si="26"/>
        <v>+</v>
      </c>
      <c r="BN69" s="20">
        <f t="shared" si="16"/>
        <v>47</v>
      </c>
      <c r="BO69" s="20" t="str">
        <f t="shared" si="27"/>
        <v>H2</v>
      </c>
      <c r="BP69" s="20" t="str">
        <f t="shared" si="18"/>
        <v>=</v>
      </c>
      <c r="BQ69" s="20">
        <f t="shared" si="5"/>
        <v>1</v>
      </c>
      <c r="BR69" s="20" t="str">
        <f t="shared" si="6"/>
        <v>C23H48</v>
      </c>
      <c r="BS69" s="20" t="str">
        <f t="shared" si="7"/>
        <v>+</v>
      </c>
      <c r="BT69" s="20">
        <f t="shared" si="23"/>
        <v>23</v>
      </c>
      <c r="BU69" s="20" t="str">
        <f t="shared" si="19"/>
        <v>H2O</v>
      </c>
      <c r="BW69">
        <f t="shared" si="20"/>
        <v>2.4118924812043082E-2</v>
      </c>
      <c r="BX69">
        <f t="shared" si="21"/>
        <v>7.8494477438381977E-2</v>
      </c>
    </row>
    <row r="70" spans="5:76" x14ac:dyDescent="0.2">
      <c r="E70">
        <f>+'5% CO Elab'!R70</f>
        <v>65</v>
      </c>
      <c r="F70">
        <f>+'5% CO Elab'!S70</f>
        <v>24</v>
      </c>
      <c r="G70" t="str">
        <f>+'5% CO Elab'!T70</f>
        <v>N-TETRACOSANE</v>
      </c>
      <c r="H70" t="str">
        <f>+'5% CO Elab'!U70</f>
        <v>C24H50</v>
      </c>
      <c r="I70" t="str">
        <f>+'5% CO Elab'!V70</f>
        <v>C24</v>
      </c>
      <c r="J70">
        <f>+'5% CO Elab'!W70</f>
        <v>9.4471961443606135E-3</v>
      </c>
      <c r="L70">
        <f>+'5% CO Elab'!AB70</f>
        <v>6.7754734607890286E-4</v>
      </c>
      <c r="M70" s="20">
        <v>24</v>
      </c>
      <c r="N70" s="20" t="s">
        <v>309</v>
      </c>
      <c r="O70" s="20" t="s">
        <v>310</v>
      </c>
      <c r="P70" s="20">
        <v>73</v>
      </c>
      <c r="Q70" s="20" t="s">
        <v>42</v>
      </c>
      <c r="R70" s="20" t="s">
        <v>311</v>
      </c>
      <c r="S70" s="20">
        <v>1</v>
      </c>
      <c r="T70" s="20" t="s">
        <v>286</v>
      </c>
      <c r="U70" s="20" t="s">
        <v>310</v>
      </c>
      <c r="V70" s="20">
        <v>48</v>
      </c>
      <c r="W70" s="20" t="s">
        <v>312</v>
      </c>
      <c r="X70" s="1"/>
      <c r="Y70">
        <f>+'5% CO Elab'!AA70</f>
        <v>2.1825400629946518E-3</v>
      </c>
      <c r="Z70" s="20">
        <f t="shared" si="8"/>
        <v>24</v>
      </c>
      <c r="AA70" s="20" t="s">
        <v>41</v>
      </c>
      <c r="AB70" s="20" t="str">
        <f t="shared" si="24"/>
        <v>+</v>
      </c>
      <c r="AC70" s="20">
        <f t="shared" si="9"/>
        <v>49</v>
      </c>
      <c r="AD70" s="20" t="str">
        <f t="shared" si="25"/>
        <v>H2</v>
      </c>
      <c r="AE70" s="20" t="str">
        <f t="shared" si="11"/>
        <v>=</v>
      </c>
      <c r="AF70" s="20">
        <f t="shared" si="11"/>
        <v>1</v>
      </c>
      <c r="AG70" s="20" t="str">
        <f t="shared" si="11"/>
        <v>C24H50</v>
      </c>
      <c r="AH70" s="20" t="str">
        <f t="shared" si="11"/>
        <v>+</v>
      </c>
      <c r="AI70" s="20">
        <f t="shared" si="22"/>
        <v>24</v>
      </c>
      <c r="AJ70" s="20" t="str">
        <f t="shared" si="12"/>
        <v>H2O</v>
      </c>
      <c r="AL70">
        <f t="shared" si="13"/>
        <v>3.2522272611787334E-2</v>
      </c>
      <c r="AM70">
        <f t="shared" si="14"/>
        <v>5.2380961511871646E-2</v>
      </c>
      <c r="AP70">
        <f>+'10% CO Elab'!S70</f>
        <v>24</v>
      </c>
      <c r="AQ70" t="str">
        <f>+'10% CO Elab'!T70</f>
        <v>N-TETRACOSANE</v>
      </c>
      <c r="AR70" t="str">
        <f>+'10% CO Elab'!U70</f>
        <v>C24H50</v>
      </c>
      <c r="AS70" t="str">
        <f>+'10% CO Elab'!V70</f>
        <v>C24</v>
      </c>
      <c r="AT70">
        <f>+'10% CO Elab'!W70</f>
        <v>1.4410927014197125E-2</v>
      </c>
      <c r="AU70">
        <f>+'10% CO Elab'!X70</f>
        <v>0.34586224834073098</v>
      </c>
      <c r="AW70">
        <f>+'10% CO Elab'!AB70</f>
        <v>5.1292609477407306E-4</v>
      </c>
      <c r="AX70" s="20">
        <v>24</v>
      </c>
      <c r="AY70" s="20" t="s">
        <v>309</v>
      </c>
      <c r="AZ70" s="20" t="s">
        <v>310</v>
      </c>
      <c r="BA70" s="20">
        <v>73</v>
      </c>
      <c r="BB70" s="20" t="s">
        <v>42</v>
      </c>
      <c r="BC70" s="20" t="s">
        <v>311</v>
      </c>
      <c r="BD70" s="20">
        <v>1</v>
      </c>
      <c r="BE70" s="20" t="s">
        <v>286</v>
      </c>
      <c r="BF70" s="20" t="s">
        <v>310</v>
      </c>
      <c r="BG70" s="20">
        <v>48</v>
      </c>
      <c r="BH70" s="20" t="s">
        <v>312</v>
      </c>
      <c r="BI70" s="1"/>
      <c r="BJ70">
        <f>+'10% CO Elab'!AA70</f>
        <v>3.3386119893451683E-3</v>
      </c>
      <c r="BK70" s="20">
        <f t="shared" si="15"/>
        <v>24</v>
      </c>
      <c r="BL70" s="20" t="s">
        <v>41</v>
      </c>
      <c r="BM70" s="20" t="str">
        <f t="shared" si="26"/>
        <v>+</v>
      </c>
      <c r="BN70" s="20">
        <f t="shared" si="16"/>
        <v>49</v>
      </c>
      <c r="BO70" s="20" t="str">
        <f t="shared" si="27"/>
        <v>H2</v>
      </c>
      <c r="BP70" s="20" t="str">
        <f t="shared" si="18"/>
        <v>=</v>
      </c>
      <c r="BQ70" s="20">
        <f t="shared" ref="BQ70:BQ73" si="28">BD70</f>
        <v>1</v>
      </c>
      <c r="BR70" s="20" t="str">
        <f t="shared" ref="BR70:BR73" si="29">BE70</f>
        <v>C24H50</v>
      </c>
      <c r="BS70" s="20" t="str">
        <f t="shared" ref="BS70:BS73" si="30">BF70</f>
        <v>+</v>
      </c>
      <c r="BT70" s="20">
        <f t="shared" si="23"/>
        <v>24</v>
      </c>
      <c r="BU70" s="20" t="str">
        <f t="shared" si="19"/>
        <v>H2O</v>
      </c>
      <c r="BW70">
        <f t="shared" si="20"/>
        <v>2.4620452549155507E-2</v>
      </c>
      <c r="BX70">
        <f t="shared" si="21"/>
        <v>8.0126687744284039E-2</v>
      </c>
    </row>
    <row r="71" spans="5:76" x14ac:dyDescent="0.2">
      <c r="E71">
        <f>+'5% CO Elab'!R71</f>
        <v>66</v>
      </c>
      <c r="F71">
        <f>+'5% CO Elab'!S71</f>
        <v>25</v>
      </c>
      <c r="G71" t="str">
        <f>+'5% CO Elab'!T71</f>
        <v>N-PENTACOSANE</v>
      </c>
      <c r="H71" t="str">
        <f>+'5% CO Elab'!U71</f>
        <v>C25H52</v>
      </c>
      <c r="I71" t="str">
        <f>+'5% CO Elab'!V71</f>
        <v>C25</v>
      </c>
      <c r="J71">
        <f>+'5% CO Elab'!W71</f>
        <v>8.1875699917791974E-3</v>
      </c>
      <c r="L71">
        <f>+'5% CO Elab'!AB71</f>
        <v>6.1167468743234291E-4</v>
      </c>
      <c r="M71" s="20">
        <v>25</v>
      </c>
      <c r="N71" s="20" t="s">
        <v>309</v>
      </c>
      <c r="O71" s="20" t="s">
        <v>310</v>
      </c>
      <c r="P71" s="20">
        <v>76</v>
      </c>
      <c r="Q71" s="20" t="s">
        <v>42</v>
      </c>
      <c r="R71" s="20" t="s">
        <v>311</v>
      </c>
      <c r="S71" s="20">
        <v>1</v>
      </c>
      <c r="T71" s="20" t="s">
        <v>289</v>
      </c>
      <c r="U71" s="20" t="s">
        <v>310</v>
      </c>
      <c r="V71" s="20">
        <v>50</v>
      </c>
      <c r="W71" s="20" t="s">
        <v>312</v>
      </c>
      <c r="X71" s="1"/>
      <c r="Y71">
        <f>+'5% CO Elab'!AA71</f>
        <v>1.9703486679812825E-3</v>
      </c>
      <c r="Z71" s="20">
        <f t="shared" ref="Z71:Z73" si="31">M71</f>
        <v>25</v>
      </c>
      <c r="AA71" s="20" t="s">
        <v>41</v>
      </c>
      <c r="AB71" s="20" t="str">
        <f t="shared" si="24"/>
        <v>+</v>
      </c>
      <c r="AC71" s="20">
        <f t="shared" ref="AC71:AC73" si="32">+P71-Z71</f>
        <v>51</v>
      </c>
      <c r="AD71" s="20" t="str">
        <f t="shared" si="25"/>
        <v>H2</v>
      </c>
      <c r="AE71" s="20" t="str">
        <f t="shared" ref="AE71:AH73" si="33">R71</f>
        <v>=</v>
      </c>
      <c r="AF71" s="20">
        <f t="shared" si="33"/>
        <v>1</v>
      </c>
      <c r="AG71" s="20" t="str">
        <f t="shared" si="33"/>
        <v>C25H52</v>
      </c>
      <c r="AH71" s="20" t="str">
        <f t="shared" si="33"/>
        <v>+</v>
      </c>
      <c r="AI71" s="20">
        <f t="shared" ref="AI71:AI73" si="34">+Z71</f>
        <v>25</v>
      </c>
      <c r="AJ71" s="20" t="str">
        <f t="shared" ref="AJ71:AJ73" si="35">+W71</f>
        <v>H2O</v>
      </c>
      <c r="AL71">
        <f t="shared" ref="AL71:AL73" si="36">+V71*L71</f>
        <v>3.0583734371617145E-2</v>
      </c>
      <c r="AM71">
        <f t="shared" ref="AM71:AM73" si="37">+AI71*Y71</f>
        <v>4.9258716699532065E-2</v>
      </c>
      <c r="AP71">
        <f>+'10% CO Elab'!S71</f>
        <v>25</v>
      </c>
      <c r="AQ71" t="str">
        <f>+'10% CO Elab'!T71</f>
        <v>N-PENTACOSANE</v>
      </c>
      <c r="AR71" t="str">
        <f>+'10% CO Elab'!U71</f>
        <v>C25H52</v>
      </c>
      <c r="AS71" t="str">
        <f>+'10% CO Elab'!V71</f>
        <v>C25</v>
      </c>
      <c r="AT71">
        <f>+'10% CO Elab'!W71</f>
        <v>1.2489470078970839E-2</v>
      </c>
      <c r="AU71">
        <f>+'10% CO Elab'!X71</f>
        <v>0.31223675197427098</v>
      </c>
      <c r="AW71">
        <f>+'10% CO Elab'!AB71</f>
        <v>4.6305828000437138E-4</v>
      </c>
      <c r="AX71" s="20">
        <v>25</v>
      </c>
      <c r="AY71" s="20" t="s">
        <v>309</v>
      </c>
      <c r="AZ71" s="20" t="s">
        <v>310</v>
      </c>
      <c r="BA71" s="20">
        <v>76</v>
      </c>
      <c r="BB71" s="20" t="s">
        <v>42</v>
      </c>
      <c r="BC71" s="20" t="s">
        <v>311</v>
      </c>
      <c r="BD71" s="20">
        <v>1</v>
      </c>
      <c r="BE71" s="20" t="s">
        <v>289</v>
      </c>
      <c r="BF71" s="20" t="s">
        <v>310</v>
      </c>
      <c r="BG71" s="20">
        <v>50</v>
      </c>
      <c r="BH71" s="20" t="s">
        <v>312</v>
      </c>
      <c r="BI71" s="1"/>
      <c r="BJ71">
        <f>+'10% CO Elab'!AA71</f>
        <v>3.0140247126032769E-3</v>
      </c>
      <c r="BK71" s="20">
        <f t="shared" ref="BK71:BK73" si="38">AX71</f>
        <v>25</v>
      </c>
      <c r="BL71" s="20" t="s">
        <v>41</v>
      </c>
      <c r="BM71" s="20" t="str">
        <f t="shared" si="26"/>
        <v>+</v>
      </c>
      <c r="BN71" s="20">
        <f t="shared" ref="BN71:BN73" si="39">+BA71-BK71</f>
        <v>51</v>
      </c>
      <c r="BO71" s="20" t="str">
        <f t="shared" si="27"/>
        <v>H2</v>
      </c>
      <c r="BP71" s="20" t="str">
        <f t="shared" ref="BP71:BP73" si="40">BC71</f>
        <v>=</v>
      </c>
      <c r="BQ71" s="20">
        <f t="shared" si="28"/>
        <v>1</v>
      </c>
      <c r="BR71" s="20" t="str">
        <f t="shared" si="29"/>
        <v>C25H52</v>
      </c>
      <c r="BS71" s="20" t="str">
        <f t="shared" si="30"/>
        <v>+</v>
      </c>
      <c r="BT71" s="20">
        <f t="shared" si="23"/>
        <v>25</v>
      </c>
      <c r="BU71" s="20" t="str">
        <f t="shared" ref="BU71:BU73" si="41">+BH71</f>
        <v>H2O</v>
      </c>
      <c r="BW71">
        <f t="shared" ref="BW71:BW73" si="42">+BG71*AW71</f>
        <v>2.3152914000218568E-2</v>
      </c>
      <c r="BX71">
        <f t="shared" ref="BX71:BX73" si="43">+BT71*BJ71</f>
        <v>7.5350617815081927E-2</v>
      </c>
    </row>
    <row r="72" spans="5:76" x14ac:dyDescent="0.2">
      <c r="E72">
        <f>+'5% CO Elab'!R72</f>
        <v>67</v>
      </c>
      <c r="F72">
        <f>+'5% CO Elab'!S72</f>
        <v>26</v>
      </c>
      <c r="G72" t="str">
        <f>+'5% CO Elab'!T72</f>
        <v>N-HEXACOSANE</v>
      </c>
      <c r="H72" t="str">
        <f>+'5% CO Elab'!U72</f>
        <v>C26H54</v>
      </c>
      <c r="I72" t="str">
        <f>+'5% CO Elab'!V72</f>
        <v>C26</v>
      </c>
      <c r="J72">
        <f>+'5% CO Elab'!W72</f>
        <v>6.9279438391977822E-3</v>
      </c>
      <c r="L72">
        <f>+'5% CO Elab'!AB72</f>
        <v>5.3827372494046164E-4</v>
      </c>
      <c r="M72" s="20">
        <v>26</v>
      </c>
      <c r="N72" s="20" t="s">
        <v>309</v>
      </c>
      <c r="O72" s="20" t="s">
        <v>310</v>
      </c>
      <c r="P72" s="20">
        <v>79</v>
      </c>
      <c r="Q72" s="20" t="s">
        <v>42</v>
      </c>
      <c r="R72" s="20" t="s">
        <v>311</v>
      </c>
      <c r="S72" s="20">
        <v>1</v>
      </c>
      <c r="T72" s="20" t="s">
        <v>292</v>
      </c>
      <c r="U72" s="20" t="s">
        <v>310</v>
      </c>
      <c r="V72" s="20">
        <v>52</v>
      </c>
      <c r="W72" s="20" t="s">
        <v>312</v>
      </c>
      <c r="X72" s="1"/>
      <c r="Y72">
        <f>+'5% CO Elab'!AA72</f>
        <v>1.7339068278235286E-3</v>
      </c>
      <c r="Z72" s="20">
        <f t="shared" si="31"/>
        <v>26</v>
      </c>
      <c r="AA72" s="20" t="s">
        <v>41</v>
      </c>
      <c r="AB72" s="20" t="str">
        <f t="shared" si="24"/>
        <v>+</v>
      </c>
      <c r="AC72" s="20">
        <f t="shared" si="32"/>
        <v>53</v>
      </c>
      <c r="AD72" s="20" t="str">
        <f t="shared" si="25"/>
        <v>H2</v>
      </c>
      <c r="AE72" s="20" t="str">
        <f t="shared" si="33"/>
        <v>=</v>
      </c>
      <c r="AF72" s="20">
        <f t="shared" si="33"/>
        <v>1</v>
      </c>
      <c r="AG72" s="20" t="str">
        <f t="shared" si="33"/>
        <v>C26H54</v>
      </c>
      <c r="AH72" s="20" t="str">
        <f t="shared" si="33"/>
        <v>+</v>
      </c>
      <c r="AI72" s="20">
        <f t="shared" si="34"/>
        <v>26</v>
      </c>
      <c r="AJ72" s="20" t="str">
        <f t="shared" si="35"/>
        <v>H2O</v>
      </c>
      <c r="AL72">
        <f t="shared" si="36"/>
        <v>2.7990233696904007E-2</v>
      </c>
      <c r="AM72">
        <f t="shared" si="37"/>
        <v>4.5081577523411742E-2</v>
      </c>
      <c r="AP72">
        <f>+'10% CO Elab'!S72</f>
        <v>26</v>
      </c>
      <c r="AQ72" t="str">
        <f>+'10% CO Elab'!T72</f>
        <v>N-HEXACOSANE</v>
      </c>
      <c r="AR72" t="str">
        <f>+'10% CO Elab'!U72</f>
        <v>C26H54</v>
      </c>
      <c r="AS72" t="str">
        <f>+'10% CO Elab'!V72</f>
        <v>C26</v>
      </c>
      <c r="AT72">
        <f>+'10% CO Elab'!W72</f>
        <v>1.0568013143744557E-2</v>
      </c>
      <c r="AU72">
        <f>+'10% CO Elab'!X72</f>
        <v>0.27476834173735848</v>
      </c>
      <c r="AW72">
        <f>+'10% CO Elab'!AB72</f>
        <v>4.0749128640384688E-4</v>
      </c>
      <c r="AX72" s="20">
        <v>26</v>
      </c>
      <c r="AY72" s="20" t="s">
        <v>309</v>
      </c>
      <c r="AZ72" s="20" t="s">
        <v>310</v>
      </c>
      <c r="BA72" s="20">
        <v>79</v>
      </c>
      <c r="BB72" s="20" t="s">
        <v>42</v>
      </c>
      <c r="BC72" s="20" t="s">
        <v>311</v>
      </c>
      <c r="BD72" s="20">
        <v>1</v>
      </c>
      <c r="BE72" s="20" t="s">
        <v>292</v>
      </c>
      <c r="BF72" s="20" t="s">
        <v>310</v>
      </c>
      <c r="BG72" s="20">
        <v>52</v>
      </c>
      <c r="BH72" s="20" t="s">
        <v>312</v>
      </c>
      <c r="BI72" s="1"/>
      <c r="BJ72">
        <f>+'10% CO Elab'!AA72</f>
        <v>2.6523417470908838E-3</v>
      </c>
      <c r="BK72" s="20">
        <f t="shared" si="38"/>
        <v>26</v>
      </c>
      <c r="BL72" s="20" t="s">
        <v>41</v>
      </c>
      <c r="BM72" s="20" t="str">
        <f t="shared" si="26"/>
        <v>+</v>
      </c>
      <c r="BN72" s="20">
        <f t="shared" si="39"/>
        <v>53</v>
      </c>
      <c r="BO72" s="20" t="str">
        <f t="shared" si="27"/>
        <v>H2</v>
      </c>
      <c r="BP72" s="20" t="str">
        <f t="shared" si="40"/>
        <v>=</v>
      </c>
      <c r="BQ72" s="20">
        <f t="shared" si="28"/>
        <v>1</v>
      </c>
      <c r="BR72" s="20" t="str">
        <f t="shared" si="29"/>
        <v>C26H54</v>
      </c>
      <c r="BS72" s="20" t="str">
        <f t="shared" si="30"/>
        <v>+</v>
      </c>
      <c r="BT72" s="20">
        <f t="shared" ref="BT72:BT73" si="44">+BK72</f>
        <v>26</v>
      </c>
      <c r="BU72" s="20" t="str">
        <f t="shared" si="41"/>
        <v>H2O</v>
      </c>
      <c r="BW72">
        <f t="shared" si="42"/>
        <v>2.1189546893000039E-2</v>
      </c>
      <c r="BX72">
        <f t="shared" si="43"/>
        <v>6.8960885424362975E-2</v>
      </c>
    </row>
    <row r="73" spans="5:76" x14ac:dyDescent="0.2">
      <c r="E73">
        <f>+'5% CO Elab'!R73</f>
        <v>68</v>
      </c>
      <c r="F73">
        <f>+'5% CO Elab'!S73</f>
        <v>27</v>
      </c>
      <c r="G73" t="str">
        <f>+'5% CO Elab'!T73</f>
        <v>N-HEPTACOSANE</v>
      </c>
      <c r="H73" t="str">
        <f>+'5% CO Elab'!U73</f>
        <v>C27H56</v>
      </c>
      <c r="I73" t="str">
        <f>+'5% CO Elab'!V73</f>
        <v>C27</v>
      </c>
      <c r="J73">
        <f>+'5% CO Elab'!W73</f>
        <v>5.6683176866163679E-3</v>
      </c>
      <c r="L73">
        <f>+'5% CO Elab'!AB73</f>
        <v>4.5734445860325942E-4</v>
      </c>
      <c r="M73" s="20">
        <v>27</v>
      </c>
      <c r="N73" s="20" t="s">
        <v>309</v>
      </c>
      <c r="O73" s="20" t="s">
        <v>310</v>
      </c>
      <c r="P73" s="20">
        <v>82</v>
      </c>
      <c r="Q73" s="20" t="s">
        <v>42</v>
      </c>
      <c r="R73" s="20" t="s">
        <v>311</v>
      </c>
      <c r="S73" s="20">
        <v>1</v>
      </c>
      <c r="T73" s="20" t="s">
        <v>295</v>
      </c>
      <c r="U73" s="20" t="s">
        <v>310</v>
      </c>
      <c r="V73" s="20">
        <v>54</v>
      </c>
      <c r="W73" s="20" t="s">
        <v>312</v>
      </c>
      <c r="X73" s="1"/>
      <c r="Y73">
        <f>+'5% CO Elab'!AA73</f>
        <v>1.4732145425213896E-3</v>
      </c>
      <c r="Z73" s="20">
        <f t="shared" si="31"/>
        <v>27</v>
      </c>
      <c r="AA73" s="20" t="s">
        <v>41</v>
      </c>
      <c r="AB73" s="20" t="str">
        <f t="shared" si="24"/>
        <v>+</v>
      </c>
      <c r="AC73" s="20">
        <f t="shared" si="32"/>
        <v>55</v>
      </c>
      <c r="AD73" s="20" t="str">
        <f t="shared" si="25"/>
        <v>H2</v>
      </c>
      <c r="AE73" s="20" t="str">
        <f t="shared" si="33"/>
        <v>=</v>
      </c>
      <c r="AF73" s="20">
        <f t="shared" si="33"/>
        <v>1</v>
      </c>
      <c r="AG73" s="20" t="str">
        <f t="shared" si="33"/>
        <v>C27H56</v>
      </c>
      <c r="AH73" s="20" t="str">
        <f t="shared" si="33"/>
        <v>+</v>
      </c>
      <c r="AI73" s="20">
        <f t="shared" si="34"/>
        <v>27</v>
      </c>
      <c r="AJ73" s="20" t="str">
        <f t="shared" si="35"/>
        <v>H2O</v>
      </c>
      <c r="AL73">
        <f t="shared" si="36"/>
        <v>2.4696600764576009E-2</v>
      </c>
      <c r="AM73">
        <f t="shared" si="37"/>
        <v>3.9776792648077521E-2</v>
      </c>
      <c r="AP73">
        <f>+'10% CO Elab'!S73</f>
        <v>27</v>
      </c>
      <c r="AQ73" t="str">
        <f>+'10% CO Elab'!T73</f>
        <v>N-HEPTACOSANE</v>
      </c>
      <c r="AR73" t="str">
        <f>+'10% CO Elab'!U73</f>
        <v>C27H56</v>
      </c>
      <c r="AS73" t="str">
        <f>+'10% CO Elab'!V73</f>
        <v>C27</v>
      </c>
      <c r="AT73">
        <f>+'10% CO Elab'!W73</f>
        <v>8.6465562085182735E-3</v>
      </c>
      <c r="AU73">
        <f>+'10% CO Elab'!X73</f>
        <v>0.23345701762999338</v>
      </c>
      <c r="AW73">
        <f>+'10% CO Elab'!AB73</f>
        <v>3.4622511397249922E-4</v>
      </c>
      <c r="AX73" s="20">
        <v>27</v>
      </c>
      <c r="AY73" s="20" t="s">
        <v>309</v>
      </c>
      <c r="AZ73" s="20" t="s">
        <v>310</v>
      </c>
      <c r="BA73" s="20">
        <v>82</v>
      </c>
      <c r="BB73" s="20" t="s">
        <v>42</v>
      </c>
      <c r="BC73" s="20" t="s">
        <v>311</v>
      </c>
      <c r="BD73" s="20">
        <v>1</v>
      </c>
      <c r="BE73" s="20" t="s">
        <v>295</v>
      </c>
      <c r="BF73" s="20" t="s">
        <v>310</v>
      </c>
      <c r="BG73" s="20">
        <v>54</v>
      </c>
      <c r="BH73" s="20" t="s">
        <v>312</v>
      </c>
      <c r="BI73" s="1"/>
      <c r="BJ73">
        <f>+'10% CO Elab'!AA73</f>
        <v>2.2535630928079888E-3</v>
      </c>
      <c r="BK73" s="20">
        <f t="shared" si="38"/>
        <v>27</v>
      </c>
      <c r="BL73" s="20" t="s">
        <v>41</v>
      </c>
      <c r="BM73" s="20" t="str">
        <f t="shared" si="26"/>
        <v>+</v>
      </c>
      <c r="BN73" s="20">
        <f t="shared" si="39"/>
        <v>55</v>
      </c>
      <c r="BO73" s="20" t="str">
        <f t="shared" si="27"/>
        <v>H2</v>
      </c>
      <c r="BP73" s="20" t="str">
        <f t="shared" si="40"/>
        <v>=</v>
      </c>
      <c r="BQ73" s="20">
        <f t="shared" si="28"/>
        <v>1</v>
      </c>
      <c r="BR73" s="20" t="str">
        <f t="shared" si="29"/>
        <v>C27H56</v>
      </c>
      <c r="BS73" s="20" t="str">
        <f t="shared" si="30"/>
        <v>+</v>
      </c>
      <c r="BT73" s="20">
        <f t="shared" si="44"/>
        <v>27</v>
      </c>
      <c r="BU73" s="20" t="str">
        <f t="shared" si="41"/>
        <v>H2O</v>
      </c>
      <c r="BW73">
        <f t="shared" si="42"/>
        <v>1.8696156154514958E-2</v>
      </c>
      <c r="BX73">
        <f t="shared" si="43"/>
        <v>6.0846203505815696E-2</v>
      </c>
    </row>
    <row r="75" spans="5:76" x14ac:dyDescent="0.2">
      <c r="AL75">
        <f>+SUM(AL6:AL73)</f>
        <v>2.8140200560943698</v>
      </c>
      <c r="AM75">
        <f>+SUM(AM6:AM73)</f>
        <v>4.5292073332692837</v>
      </c>
      <c r="BW75">
        <f>+SUM(BW6:BW73)</f>
        <v>1.7446339212920894</v>
      </c>
      <c r="BX75">
        <f>+SUM(BX6:BX73)</f>
        <v>5.6733805600531317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3916-A3BB-0642-AA98-F3DD8342C95E}">
  <dimension ref="B1:W72"/>
  <sheetViews>
    <sheetView zoomScale="106" workbookViewId="0">
      <selection activeCell="P5" sqref="P5"/>
    </sheetView>
  </sheetViews>
  <sheetFormatPr baseColWidth="10" defaultRowHeight="16" x14ac:dyDescent="0.2"/>
  <sheetData>
    <row r="1" spans="2:23" x14ac:dyDescent="0.2">
      <c r="T1" t="s">
        <v>48</v>
      </c>
      <c r="U1" t="s">
        <v>48</v>
      </c>
    </row>
    <row r="2" spans="2:23" x14ac:dyDescent="0.2">
      <c r="T2" s="9">
        <f>+SUM(T5:T72)</f>
        <v>0.23140786185419146</v>
      </c>
      <c r="U2" s="9">
        <f>+SUM(U5:U72)</f>
        <v>0.74541938996819423</v>
      </c>
      <c r="W2" t="s">
        <v>385</v>
      </c>
    </row>
    <row r="3" spans="2:23" x14ac:dyDescent="0.2">
      <c r="B3" t="s">
        <v>366</v>
      </c>
      <c r="C3" s="24">
        <v>0.05</v>
      </c>
      <c r="D3" s="24">
        <v>0.1</v>
      </c>
      <c r="E3" s="24">
        <v>0.15</v>
      </c>
      <c r="I3" s="35">
        <v>5.5E-2</v>
      </c>
      <c r="J3" s="24">
        <v>0.09</v>
      </c>
      <c r="K3" s="35">
        <v>5.5E-2</v>
      </c>
      <c r="L3" s="24">
        <v>0.09</v>
      </c>
      <c r="O3" s="38" t="s">
        <v>309</v>
      </c>
      <c r="P3" s="38"/>
      <c r="Q3" s="38" t="s">
        <v>41</v>
      </c>
      <c r="R3" s="38"/>
      <c r="W3">
        <v>5.5E-2</v>
      </c>
    </row>
    <row r="4" spans="2:23" x14ac:dyDescent="0.2">
      <c r="B4">
        <v>1</v>
      </c>
      <c r="C4">
        <v>11.480162444061929</v>
      </c>
      <c r="D4">
        <v>13.675370092509265</v>
      </c>
      <c r="I4" s="38" t="s">
        <v>309</v>
      </c>
      <c r="J4" s="38"/>
      <c r="K4" s="38" t="s">
        <v>41</v>
      </c>
      <c r="L4" s="38"/>
      <c r="O4" t="s">
        <v>382</v>
      </c>
      <c r="P4" t="s">
        <v>384</v>
      </c>
      <c r="Q4" t="s">
        <v>382</v>
      </c>
      <c r="R4" t="s">
        <v>383</v>
      </c>
      <c r="T4" t="s">
        <v>309</v>
      </c>
      <c r="U4" t="s">
        <v>41</v>
      </c>
    </row>
    <row r="5" spans="2:23" x14ac:dyDescent="0.2">
      <c r="B5">
        <v>2</v>
      </c>
      <c r="C5">
        <v>7.748422302624558</v>
      </c>
      <c r="D5">
        <v>9.0679026537862697</v>
      </c>
      <c r="I5">
        <f>+Conv!L6</f>
        <v>3.3720696605982703E-2</v>
      </c>
      <c r="J5">
        <f>+Conv!AW6</f>
        <v>1.8953812956013026E-2</v>
      </c>
      <c r="K5">
        <f>+Conv!Y6</f>
        <v>0.10862232982029039</v>
      </c>
      <c r="L5">
        <f>+Conv!BJ6</f>
        <v>0.12336948309604598</v>
      </c>
      <c r="O5">
        <f>+SLOPE(I5:J5,$I$3:$J$3)</f>
        <v>-0.42191096142770507</v>
      </c>
      <c r="P5">
        <f>+INTERCEPT(I5:J5,$I$3:$J$3)</f>
        <v>5.6925799484506476E-2</v>
      </c>
      <c r="Q5">
        <f>+SLOPE(K5:L5,$K$3:$L$3)</f>
        <v>0.42134723645015965</v>
      </c>
      <c r="R5">
        <f>+INTERCEPT(K5:L5,$K$3:$L$3)</f>
        <v>8.54482318155316E-2</v>
      </c>
      <c r="T5">
        <f>+O5*$W$3+P5</f>
        <v>3.3720696605982696E-2</v>
      </c>
      <c r="U5">
        <f>+Q5*$W$3+R5</f>
        <v>0.10862232982029038</v>
      </c>
    </row>
    <row r="6" spans="2:23" x14ac:dyDescent="0.2">
      <c r="B6">
        <v>3</v>
      </c>
      <c r="C6">
        <v>10.523417024091515</v>
      </c>
      <c r="D6">
        <v>12.151740042685217</v>
      </c>
      <c r="I6">
        <f>+Conv!L7</f>
        <v>1.9274301408368005E-3</v>
      </c>
      <c r="J6">
        <f>+Conv!AW7</f>
        <v>1.3795724056439142E-3</v>
      </c>
      <c r="K6">
        <f>+Conv!Y7</f>
        <v>6.2087078125900533E-3</v>
      </c>
      <c r="L6">
        <f>+Conv!BJ7</f>
        <v>8.9795723410821121E-3</v>
      </c>
      <c r="O6">
        <f>+SLOPE(I6:J6,$I$3:$J$3)</f>
        <v>-1.565307814836818E-2</v>
      </c>
      <c r="P6">
        <f t="shared" ref="P6:P69" si="0">+INTERCEPT(I6:J6,$I$3:$J$3)</f>
        <v>2.7883494389970504E-3</v>
      </c>
      <c r="Q6">
        <f t="shared" ref="Q6:Q69" si="1">+SLOPE(K6:L6,$K$3:$L$3)</f>
        <v>7.9167557956915963E-2</v>
      </c>
      <c r="R6">
        <f t="shared" ref="R6:R69" si="2">+INTERCEPT(K6:L6,$K$3:$L$3)</f>
        <v>1.8544921249596755E-3</v>
      </c>
      <c r="T6">
        <f t="shared" ref="T6:T69" si="3">+O6*$W$3+P6</f>
        <v>1.9274301408368005E-3</v>
      </c>
      <c r="U6">
        <f t="shared" ref="U6:U69" si="4">+Q6*$W$3+R6</f>
        <v>6.2087078125900533E-3</v>
      </c>
    </row>
    <row r="7" spans="2:23" x14ac:dyDescent="0.2">
      <c r="B7">
        <v>4</v>
      </c>
      <c r="C7">
        <v>8.7544194237415063</v>
      </c>
      <c r="D7">
        <v>9.8909643076389226</v>
      </c>
      <c r="I7">
        <f>+Conv!L8</f>
        <v>4.4976514496276694E-3</v>
      </c>
      <c r="J7">
        <f>+Conv!AW8</f>
        <v>2.5254610208827744E-3</v>
      </c>
      <c r="K7">
        <f>+Conv!Y8</f>
        <v>1.4487997827763929E-2</v>
      </c>
      <c r="L7">
        <f>+Conv!BJ8</f>
        <v>1.6438107807045636E-2</v>
      </c>
      <c r="O7">
        <f t="shared" ref="O7:O69" si="5">+SLOPE(I7:J7,$I$3:$J$3)</f>
        <v>-5.6348297964139857E-2</v>
      </c>
      <c r="P7">
        <f t="shared" si="0"/>
        <v>7.5968078376553606E-3</v>
      </c>
      <c r="Q7">
        <f t="shared" si="1"/>
        <v>5.5717427979477333E-2</v>
      </c>
      <c r="R7">
        <f t="shared" si="2"/>
        <v>1.1423539288892677E-2</v>
      </c>
      <c r="T7">
        <f t="shared" si="3"/>
        <v>4.4976514496276685E-3</v>
      </c>
      <c r="U7">
        <f t="shared" si="4"/>
        <v>1.4487997827763929E-2</v>
      </c>
    </row>
    <row r="8" spans="2:23" x14ac:dyDescent="0.2">
      <c r="B8">
        <v>5</v>
      </c>
      <c r="C8">
        <v>8.1545512951124035</v>
      </c>
      <c r="D8">
        <v>8.1091381769103226</v>
      </c>
      <c r="I8">
        <f>+Conv!L9</f>
        <v>1.7729998181027246E-2</v>
      </c>
      <c r="J8">
        <f>+Conv!AW9</f>
        <v>1.1073163962558736E-2</v>
      </c>
      <c r="K8">
        <f>+Conv!Y9</f>
        <v>5.711251261016366E-2</v>
      </c>
      <c r="L8">
        <f>+Conv!BJ9</f>
        <v>7.2074706945192704E-2</v>
      </c>
      <c r="O8">
        <f t="shared" si="5"/>
        <v>-0.19019526338481457</v>
      </c>
      <c r="P8">
        <f t="shared" si="0"/>
        <v>2.8190737667192045E-2</v>
      </c>
      <c r="Q8">
        <f t="shared" si="1"/>
        <v>0.42749126671511556</v>
      </c>
      <c r="R8">
        <f t="shared" si="2"/>
        <v>3.3600492940832311E-2</v>
      </c>
      <c r="T8">
        <f t="shared" si="3"/>
        <v>1.7729998181027246E-2</v>
      </c>
      <c r="U8">
        <f t="shared" si="4"/>
        <v>5.7112512610163667E-2</v>
      </c>
    </row>
    <row r="9" spans="2:23" x14ac:dyDescent="0.2">
      <c r="B9">
        <v>6</v>
      </c>
      <c r="C9">
        <v>5.9653867968408427</v>
      </c>
      <c r="D9">
        <v>6.5805558859871054</v>
      </c>
      <c r="I9">
        <f>+Conv!L10</f>
        <v>2.9235784943332011E-3</v>
      </c>
      <c r="J9">
        <f>+Conv!AW10</f>
        <v>1.7358701245349076E-3</v>
      </c>
      <c r="K9">
        <f>+Conv!Y10</f>
        <v>9.417536985597939E-3</v>
      </c>
      <c r="L9">
        <f>+Conv!BJ10</f>
        <v>1.1298697548758976E-2</v>
      </c>
      <c r="O9">
        <f t="shared" si="5"/>
        <v>-3.3934524851379815E-2</v>
      </c>
      <c r="P9">
        <f t="shared" si="0"/>
        <v>4.7899773611590913E-3</v>
      </c>
      <c r="Q9">
        <f t="shared" si="1"/>
        <v>5.3747444661743908E-2</v>
      </c>
      <c r="R9">
        <f t="shared" si="2"/>
        <v>6.461427529202023E-3</v>
      </c>
      <c r="T9">
        <f t="shared" si="3"/>
        <v>2.9235784943332016E-3</v>
      </c>
      <c r="U9">
        <f t="shared" si="4"/>
        <v>9.4175369855979373E-3</v>
      </c>
    </row>
    <row r="10" spans="2:23" x14ac:dyDescent="0.2">
      <c r="B10">
        <v>7</v>
      </c>
      <c r="C10">
        <v>4.1818169482805789</v>
      </c>
      <c r="D10">
        <v>3.9175019728170488</v>
      </c>
      <c r="I10">
        <f>+Conv!L11</f>
        <v>2.673746185555859E-2</v>
      </c>
      <c r="J10">
        <f>+Conv!AW11</f>
        <v>1.6551063437402778E-2</v>
      </c>
      <c r="K10">
        <f>+Conv!Y11</f>
        <v>8.6127680995672029E-2</v>
      </c>
      <c r="L10">
        <f>+Conv!BJ11</f>
        <v>0.10773009872477733</v>
      </c>
      <c r="O10">
        <f t="shared" si="5"/>
        <v>-0.29103995480445183</v>
      </c>
      <c r="P10">
        <f t="shared" si="0"/>
        <v>4.2744659369803442E-2</v>
      </c>
      <c r="Q10">
        <f t="shared" si="1"/>
        <v>0.61721193511729444</v>
      </c>
      <c r="R10">
        <f t="shared" si="2"/>
        <v>5.2181024564220843E-2</v>
      </c>
      <c r="T10">
        <f t="shared" si="3"/>
        <v>2.673746185555859E-2</v>
      </c>
      <c r="U10">
        <f t="shared" si="4"/>
        <v>8.6127680995672029E-2</v>
      </c>
    </row>
    <row r="11" spans="2:23" x14ac:dyDescent="0.2">
      <c r="B11">
        <v>8</v>
      </c>
      <c r="C11">
        <v>5.5572888564200777</v>
      </c>
      <c r="D11">
        <v>5.2185092451084092</v>
      </c>
      <c r="I11">
        <f>+Conv!L12</f>
        <v>2.8029811826290321E-3</v>
      </c>
      <c r="J11">
        <f>+Conv!AW12</f>
        <v>1.6645289263144351E-3</v>
      </c>
      <c r="K11">
        <f>+Conv!Y12</f>
        <v>9.0290645551367437E-3</v>
      </c>
      <c r="L11">
        <f>+Conv!BJ12</f>
        <v>1.0834341022273363E-2</v>
      </c>
      <c r="O11">
        <f t="shared" si="5"/>
        <v>-3.2527207323274202E-2</v>
      </c>
      <c r="P11">
        <f t="shared" si="0"/>
        <v>4.5919775854091132E-3</v>
      </c>
      <c r="Q11">
        <f t="shared" si="1"/>
        <v>5.1579327632474838E-2</v>
      </c>
      <c r="R11">
        <f t="shared" si="2"/>
        <v>6.192201535350628E-3</v>
      </c>
      <c r="T11">
        <f t="shared" si="3"/>
        <v>2.8029811826290321E-3</v>
      </c>
      <c r="U11">
        <f t="shared" si="4"/>
        <v>9.0290645551367437E-3</v>
      </c>
    </row>
    <row r="12" spans="2:23" x14ac:dyDescent="0.2">
      <c r="B12">
        <v>9</v>
      </c>
      <c r="C12">
        <v>5.6774426656605854</v>
      </c>
      <c r="D12">
        <v>5.1379563487981272</v>
      </c>
      <c r="I12">
        <f>+Conv!L13</f>
        <v>8.3381496679779018E-5</v>
      </c>
      <c r="J12">
        <f>+Conv!AW13</f>
        <v>4.5669883394406514E-5</v>
      </c>
      <c r="K12">
        <f>+Conv!Y13</f>
        <v>2.6859149854138839E-4</v>
      </c>
      <c r="L12">
        <f>+Conv!BJ13</f>
        <v>2.9726313752807051E-4</v>
      </c>
      <c r="O12">
        <f t="shared" si="5"/>
        <v>-1.0774746652963574E-3</v>
      </c>
      <c r="P12">
        <f t="shared" si="0"/>
        <v>1.4264260327107866E-4</v>
      </c>
      <c r="Q12">
        <f t="shared" si="1"/>
        <v>8.1918968533377476E-4</v>
      </c>
      <c r="R12">
        <f t="shared" si="2"/>
        <v>2.2353606584803079E-4</v>
      </c>
      <c r="T12">
        <f t="shared" si="3"/>
        <v>8.3381496679779004E-5</v>
      </c>
      <c r="U12">
        <f t="shared" si="4"/>
        <v>2.6859149854138839E-4</v>
      </c>
    </row>
    <row r="13" spans="2:23" x14ac:dyDescent="0.2">
      <c r="B13">
        <v>10</v>
      </c>
      <c r="C13">
        <v>5.0040531640984742</v>
      </c>
      <c r="D13">
        <v>4.8319071184768339</v>
      </c>
      <c r="I13">
        <f>+Conv!L14</f>
        <v>2.1071610651295765E-2</v>
      </c>
      <c r="J13">
        <f>+Conv!AW14</f>
        <v>1.3105611024820846E-2</v>
      </c>
      <c r="K13">
        <f>+Conv!Y14</f>
        <v>6.7876635787046766E-2</v>
      </c>
      <c r="L13">
        <f>+Conv!BJ14</f>
        <v>8.5303809926912638E-2</v>
      </c>
      <c r="O13">
        <f t="shared" si="5"/>
        <v>-0.22759998932785483</v>
      </c>
      <c r="P13">
        <f t="shared" si="0"/>
        <v>3.3589610064327785E-2</v>
      </c>
      <c r="Q13">
        <f t="shared" si="1"/>
        <v>0.49791926113902496</v>
      </c>
      <c r="R13">
        <f t="shared" si="2"/>
        <v>4.0491076424400391E-2</v>
      </c>
      <c r="T13">
        <f t="shared" si="3"/>
        <v>2.1071610651295772E-2</v>
      </c>
      <c r="U13">
        <f t="shared" si="4"/>
        <v>6.7876635787046766E-2</v>
      </c>
    </row>
    <row r="14" spans="2:23" x14ac:dyDescent="0.2">
      <c r="B14">
        <v>11</v>
      </c>
      <c r="C14">
        <v>3.7565895334104153</v>
      </c>
      <c r="D14">
        <v>3.7645792885362162</v>
      </c>
      <c r="I14">
        <f>+Conv!L15</f>
        <v>2.261909607682952E-3</v>
      </c>
      <c r="J14">
        <f>+Conv!AW15</f>
        <v>1.947061823373091E-4</v>
      </c>
      <c r="K14">
        <f>+Conv!Y15</f>
        <v>7.2861451914913999E-3</v>
      </c>
      <c r="L14">
        <f>+Conv!BJ15</f>
        <v>1.2673334450595489E-3</v>
      </c>
      <c r="O14">
        <f t="shared" si="5"/>
        <v>-5.9062955009875517E-2</v>
      </c>
      <c r="P14">
        <f t="shared" si="0"/>
        <v>5.5103721332261059E-3</v>
      </c>
      <c r="Q14">
        <f t="shared" si="1"/>
        <v>-0.17196604989805289</v>
      </c>
      <c r="R14">
        <f t="shared" si="2"/>
        <v>1.6744277935884309E-2</v>
      </c>
      <c r="T14">
        <f t="shared" si="3"/>
        <v>2.2619096076829525E-3</v>
      </c>
      <c r="U14">
        <f t="shared" si="4"/>
        <v>7.2861451914913999E-3</v>
      </c>
    </row>
    <row r="15" spans="2:23" x14ac:dyDescent="0.2">
      <c r="B15">
        <v>12</v>
      </c>
      <c r="C15">
        <v>2.7501308321211804</v>
      </c>
      <c r="D15">
        <v>2.9197024154560451</v>
      </c>
      <c r="I15">
        <f>+Conv!L16</f>
        <v>3.0075813702351578E-4</v>
      </c>
      <c r="J15">
        <f>+Conv!AW16</f>
        <v>6.5137502489284933E-4</v>
      </c>
      <c r="K15">
        <f>+Conv!Y16</f>
        <v>9.6881300934062854E-4</v>
      </c>
      <c r="L15">
        <f>+Conv!BJ16</f>
        <v>4.239769607793405E-3</v>
      </c>
      <c r="O15">
        <f t="shared" si="5"/>
        <v>1.0017625367695245E-2</v>
      </c>
      <c r="P15">
        <f t="shared" si="0"/>
        <v>-2.5021125819972264E-4</v>
      </c>
      <c r="Q15">
        <f t="shared" si="1"/>
        <v>9.3455902812936475E-2</v>
      </c>
      <c r="R15">
        <f t="shared" si="2"/>
        <v>-4.1712616453708773E-3</v>
      </c>
      <c r="T15">
        <f t="shared" si="3"/>
        <v>3.0075813702351583E-4</v>
      </c>
      <c r="U15">
        <f t="shared" si="4"/>
        <v>9.6881300934062876E-4</v>
      </c>
    </row>
    <row r="16" spans="2:23" x14ac:dyDescent="0.2">
      <c r="B16">
        <v>13</v>
      </c>
      <c r="C16">
        <v>1.7059387047286318</v>
      </c>
      <c r="D16">
        <v>2.008457397463808</v>
      </c>
      <c r="I16">
        <f>+Conv!L17</f>
        <v>2.0543836491104365E-2</v>
      </c>
      <c r="J16">
        <f>+Conv!AW17</f>
        <v>1.0841203186115259E-2</v>
      </c>
      <c r="K16">
        <f>+Conv!Y17</f>
        <v>6.6176550537658266E-2</v>
      </c>
      <c r="L16">
        <f>+Conv!BJ17</f>
        <v>7.056488508745877E-2</v>
      </c>
      <c r="O16">
        <f t="shared" si="5"/>
        <v>-0.27721809442826018</v>
      </c>
      <c r="P16">
        <f t="shared" si="0"/>
        <v>3.5790831684658672E-2</v>
      </c>
      <c r="Q16">
        <f t="shared" si="1"/>
        <v>0.12538098713715728</v>
      </c>
      <c r="R16">
        <f t="shared" si="2"/>
        <v>5.9280596245114614E-2</v>
      </c>
      <c r="T16">
        <f t="shared" si="3"/>
        <v>2.0543836491104361E-2</v>
      </c>
      <c r="U16">
        <f t="shared" si="4"/>
        <v>6.6176550537658266E-2</v>
      </c>
    </row>
    <row r="17" spans="2:21" x14ac:dyDescent="0.2">
      <c r="B17">
        <v>14</v>
      </c>
      <c r="C17">
        <v>1.4263637155003654</v>
      </c>
      <c r="D17">
        <v>1.7765787864755529</v>
      </c>
      <c r="I17">
        <f>+Conv!L18</f>
        <v>1.2579686190674019E-4</v>
      </c>
      <c r="J17">
        <f>+Conv!AW18</f>
        <v>6.8901713730647646E-5</v>
      </c>
      <c r="K17">
        <f>+Conv!Y18</f>
        <v>4.0522140998614881E-4</v>
      </c>
      <c r="L17">
        <f>+Conv!BJ18</f>
        <v>4.4847803590279835E-4</v>
      </c>
      <c r="O17">
        <f t="shared" si="5"/>
        <v>-1.6255756621740729E-3</v>
      </c>
      <c r="P17">
        <f t="shared" si="0"/>
        <v>2.1520352332631422E-4</v>
      </c>
      <c r="Q17">
        <f t="shared" si="1"/>
        <v>1.2359035976185586E-3</v>
      </c>
      <c r="R17">
        <f t="shared" si="2"/>
        <v>3.372467121171281E-4</v>
      </c>
      <c r="T17">
        <f t="shared" si="3"/>
        <v>1.2579686190674022E-4</v>
      </c>
      <c r="U17">
        <f t="shared" si="4"/>
        <v>4.0522140998614881E-4</v>
      </c>
    </row>
    <row r="18" spans="2:21" x14ac:dyDescent="0.2">
      <c r="B18">
        <v>15</v>
      </c>
      <c r="C18">
        <v>1.3460003018717062</v>
      </c>
      <c r="D18">
        <v>1.6800239646777726</v>
      </c>
      <c r="I18">
        <f>+Conv!L19</f>
        <v>7.4213140675966037E-3</v>
      </c>
      <c r="J18">
        <f>+Conv!AW19</f>
        <v>3.062443160156574E-3</v>
      </c>
      <c r="K18">
        <f>+Conv!Y19</f>
        <v>2.3905805795465619E-2</v>
      </c>
      <c r="L18">
        <f>+Conv!BJ19</f>
        <v>1.9933299466252181E-2</v>
      </c>
      <c r="O18">
        <f t="shared" si="5"/>
        <v>-0.12453916878400087</v>
      </c>
      <c r="P18">
        <f t="shared" si="0"/>
        <v>1.427096835071665E-2</v>
      </c>
      <c r="Q18">
        <f t="shared" si="1"/>
        <v>-0.1135001808346697</v>
      </c>
      <c r="R18">
        <f t="shared" si="2"/>
        <v>3.0148315741372455E-2</v>
      </c>
      <c r="T18">
        <f t="shared" si="3"/>
        <v>7.4213140675966028E-3</v>
      </c>
      <c r="U18">
        <f t="shared" si="4"/>
        <v>2.3905805795465623E-2</v>
      </c>
    </row>
    <row r="19" spans="2:21" x14ac:dyDescent="0.2">
      <c r="B19">
        <v>16</v>
      </c>
      <c r="C19">
        <v>1.3240188731704929</v>
      </c>
      <c r="D19">
        <v>1.5998769169154572</v>
      </c>
      <c r="I19">
        <f>+Conv!L20</f>
        <v>8.9733177074555461E-5</v>
      </c>
      <c r="J19">
        <f>+Conv!AW20</f>
        <v>4.3704834455365592E-5</v>
      </c>
      <c r="K19">
        <f>+Conv!Y20</f>
        <v>2.8905176159040469E-4</v>
      </c>
      <c r="L19">
        <f>+Conv!BJ20</f>
        <v>2.8447272578186817E-4</v>
      </c>
      <c r="O19">
        <f t="shared" si="5"/>
        <v>-1.3150955034054251E-3</v>
      </c>
      <c r="P19">
        <f t="shared" si="0"/>
        <v>1.6206342976185384E-4</v>
      </c>
      <c r="Q19">
        <f t="shared" si="1"/>
        <v>-1.3082959452961505E-4</v>
      </c>
      <c r="R19">
        <f t="shared" si="2"/>
        <v>2.9624738928953358E-4</v>
      </c>
      <c r="T19">
        <f t="shared" si="3"/>
        <v>8.9733177074555461E-5</v>
      </c>
      <c r="U19">
        <f t="shared" si="4"/>
        <v>2.8905176159040475E-4</v>
      </c>
    </row>
    <row r="20" spans="2:21" x14ac:dyDescent="0.2">
      <c r="B20">
        <v>17</v>
      </c>
      <c r="C20">
        <v>1.0992941296813241</v>
      </c>
      <c r="D20">
        <v>1.3643889021391038</v>
      </c>
      <c r="I20">
        <f>+Conv!L21</f>
        <v>7.5713316807712464E-3</v>
      </c>
      <c r="J20">
        <f>+Conv!AW21</f>
        <v>5.6107690254003084E-3</v>
      </c>
      <c r="K20">
        <f>+Conv!Y21</f>
        <v>2.4389047967106219E-2</v>
      </c>
      <c r="L20">
        <f>+Conv!BJ21</f>
        <v>3.6520233477103328E-2</v>
      </c>
      <c r="O20">
        <f t="shared" si="5"/>
        <v>-5.6016075867741086E-2</v>
      </c>
      <c r="P20">
        <f t="shared" si="0"/>
        <v>1.0652215853497005E-2</v>
      </c>
      <c r="Q20">
        <f t="shared" si="1"/>
        <v>0.34660530028563175</v>
      </c>
      <c r="R20">
        <f t="shared" si="2"/>
        <v>5.3257564513964732E-3</v>
      </c>
      <c r="T20">
        <f t="shared" si="3"/>
        <v>7.5713316807712455E-3</v>
      </c>
      <c r="U20">
        <f t="shared" si="4"/>
        <v>2.4389047967106219E-2</v>
      </c>
    </row>
    <row r="21" spans="2:21" x14ac:dyDescent="0.2">
      <c r="B21">
        <v>18</v>
      </c>
      <c r="C21">
        <v>0.9864688227423144</v>
      </c>
      <c r="D21">
        <v>1.2535174223950181</v>
      </c>
      <c r="I21">
        <f>+Conv!L22</f>
        <v>4.0443733231905739E-5</v>
      </c>
      <c r="J21">
        <f>+Conv!AW22</f>
        <v>2.2151924039324094E-5</v>
      </c>
      <c r="K21">
        <f>+Conv!Y22</f>
        <v>1.3027881901764998E-4</v>
      </c>
      <c r="L21">
        <f>+Conv!BJ22</f>
        <v>1.4418583873633171E-4</v>
      </c>
      <c r="O21">
        <f t="shared" si="5"/>
        <v>-5.2262311978804716E-4</v>
      </c>
      <c r="P21">
        <f t="shared" si="0"/>
        <v>6.9188004820248329E-5</v>
      </c>
      <c r="Q21">
        <f t="shared" si="1"/>
        <v>3.9734342053376361E-4</v>
      </c>
      <c r="R21">
        <f t="shared" si="2"/>
        <v>1.0842493088829298E-4</v>
      </c>
      <c r="T21">
        <f t="shared" si="3"/>
        <v>4.0443733231905739E-5</v>
      </c>
      <c r="U21">
        <f t="shared" si="4"/>
        <v>1.3027881901764998E-4</v>
      </c>
    </row>
    <row r="22" spans="2:21" x14ac:dyDescent="0.2">
      <c r="B22">
        <v>19</v>
      </c>
      <c r="C22">
        <v>0.38627856231038582</v>
      </c>
      <c r="D22">
        <v>0.49084866808837091</v>
      </c>
      <c r="I22">
        <f>+Conv!L23</f>
        <v>4.8739754011100413E-4</v>
      </c>
      <c r="J22">
        <f>+Conv!AW23</f>
        <v>2.6695837457890454E-4</v>
      </c>
      <c r="K22">
        <f>+Conv!Y23</f>
        <v>1.5700226176864544E-3</v>
      </c>
      <c r="L22">
        <f>+Conv!BJ23</f>
        <v>1.7376195890712175E-3</v>
      </c>
      <c r="O22">
        <f t="shared" si="5"/>
        <v>-6.2982618723457029E-3</v>
      </c>
      <c r="P22">
        <f t="shared" si="0"/>
        <v>8.3380194309001776E-4</v>
      </c>
      <c r="Q22">
        <f t="shared" si="1"/>
        <v>4.7884848967075172E-3</v>
      </c>
      <c r="R22">
        <f t="shared" si="2"/>
        <v>1.3066559483675411E-3</v>
      </c>
      <c r="T22">
        <f t="shared" si="3"/>
        <v>4.8739754011100408E-4</v>
      </c>
      <c r="U22">
        <f t="shared" si="4"/>
        <v>1.5700226176864544E-3</v>
      </c>
    </row>
    <row r="23" spans="2:21" x14ac:dyDescent="0.2">
      <c r="B23">
        <v>20</v>
      </c>
      <c r="C23">
        <v>0.31821574927171625</v>
      </c>
      <c r="D23">
        <v>0.40436045883710497</v>
      </c>
      <c r="I23">
        <f>+Conv!L24</f>
        <v>7.6440504587844699E-7</v>
      </c>
      <c r="J23">
        <f>+Conv!AW24</f>
        <v>1.5940395171939082E-7</v>
      </c>
      <c r="K23">
        <f>+Conv!Y24</f>
        <v>2.4623292329901479E-6</v>
      </c>
      <c r="L23">
        <f>+Conv!BJ24</f>
        <v>1.0375528751247638E-6</v>
      </c>
      <c r="O23">
        <f t="shared" si="5"/>
        <v>-1.7285745547401604E-5</v>
      </c>
      <c r="P23">
        <f t="shared" si="0"/>
        <v>1.7151210509855351E-6</v>
      </c>
      <c r="Q23">
        <f t="shared" si="1"/>
        <v>-4.0707895939010984E-5</v>
      </c>
      <c r="R23">
        <f t="shared" si="2"/>
        <v>4.7012635096357523E-6</v>
      </c>
      <c r="T23">
        <f t="shared" si="3"/>
        <v>7.6440504587844688E-7</v>
      </c>
      <c r="U23">
        <f t="shared" si="4"/>
        <v>2.4623292329901483E-6</v>
      </c>
    </row>
    <row r="24" spans="2:21" x14ac:dyDescent="0.2">
      <c r="B24">
        <v>21</v>
      </c>
      <c r="C24">
        <v>0.2784387806127499</v>
      </c>
      <c r="D24">
        <v>0.35381540148246465</v>
      </c>
      <c r="I24">
        <f>+Conv!L25</f>
        <v>4.8261998655697146E-3</v>
      </c>
      <c r="J24">
        <f>+Conv!AW25</f>
        <v>2.6490602780515193E-3</v>
      </c>
      <c r="K24">
        <f>+Conv!Y25</f>
        <v>1.5546329890573661E-2</v>
      </c>
      <c r="L24">
        <f>+Conv!BJ25</f>
        <v>1.7242609597970287E-2</v>
      </c>
      <c r="O24">
        <f t="shared" si="5"/>
        <v>-6.2203988214805585E-2</v>
      </c>
      <c r="P24">
        <f t="shared" si="0"/>
        <v>8.2474192173840211E-3</v>
      </c>
      <c r="Q24">
        <f t="shared" si="1"/>
        <v>4.846513449704646E-2</v>
      </c>
      <c r="R24">
        <f t="shared" si="2"/>
        <v>1.2880747493236104E-2</v>
      </c>
      <c r="T24">
        <f t="shared" si="3"/>
        <v>4.8261998655697138E-3</v>
      </c>
      <c r="U24">
        <f t="shared" si="4"/>
        <v>1.5546329890573659E-2</v>
      </c>
    </row>
    <row r="25" spans="2:21" x14ac:dyDescent="0.2">
      <c r="B25">
        <v>22</v>
      </c>
      <c r="C25">
        <v>0.27225125215468715</v>
      </c>
      <c r="D25">
        <v>0.3459528370050744</v>
      </c>
      <c r="I25">
        <f>+Conv!L26</f>
        <v>3.3762727602283551E-3</v>
      </c>
      <c r="J25">
        <f>+Conv!AW26</f>
        <v>1.9555626293473595E-3</v>
      </c>
      <c r="K25">
        <f>+Conv!Y26</f>
        <v>1.0875772158862223E-2</v>
      </c>
      <c r="L25">
        <f>+Conv!BJ26</f>
        <v>1.2728665799563593E-2</v>
      </c>
      <c r="O25">
        <f t="shared" si="5"/>
        <v>-4.0591718025171315E-2</v>
      </c>
      <c r="P25">
        <f t="shared" si="0"/>
        <v>5.6088172516127778E-3</v>
      </c>
      <c r="Q25">
        <f t="shared" si="1"/>
        <v>5.2939818305753443E-2</v>
      </c>
      <c r="R25">
        <f t="shared" si="2"/>
        <v>7.964082152045783E-3</v>
      </c>
      <c r="T25">
        <f t="shared" si="3"/>
        <v>3.3762727602283556E-3</v>
      </c>
      <c r="U25">
        <f t="shared" si="4"/>
        <v>1.0875772158862223E-2</v>
      </c>
    </row>
    <row r="26" spans="2:21" x14ac:dyDescent="0.2">
      <c r="B26">
        <v>23</v>
      </c>
      <c r="C26">
        <v>0.26429585842289532</v>
      </c>
      <c r="D26">
        <v>0.33584382553414821</v>
      </c>
      <c r="I26">
        <f>+Conv!L27</f>
        <v>1.26159170350276E-4</v>
      </c>
      <c r="J26">
        <f>+Conv!AW27</f>
        <v>6.9100158050166608E-5</v>
      </c>
      <c r="K26">
        <f>+Conv!Y27</f>
        <v>4.0638849107318194E-4</v>
      </c>
      <c r="L26">
        <f>+Conv!BJ27</f>
        <v>4.4976970070814476E-4</v>
      </c>
      <c r="O26">
        <f t="shared" si="5"/>
        <v>-1.6302574942888399E-3</v>
      </c>
      <c r="P26">
        <f t="shared" si="0"/>
        <v>2.158233325361622E-4</v>
      </c>
      <c r="Q26">
        <f t="shared" si="1"/>
        <v>1.2394631324275092E-3</v>
      </c>
      <c r="R26">
        <f t="shared" si="2"/>
        <v>3.3821801878966892E-4</v>
      </c>
      <c r="T26">
        <f t="shared" si="3"/>
        <v>1.2615917035027602E-4</v>
      </c>
      <c r="U26">
        <f t="shared" si="4"/>
        <v>4.0638849107318194E-4</v>
      </c>
    </row>
    <row r="27" spans="2:21" x14ac:dyDescent="0.2">
      <c r="B27">
        <v>24</v>
      </c>
      <c r="C27">
        <v>0.29700136598693444</v>
      </c>
      <c r="D27">
        <v>0.37740309491463048</v>
      </c>
      <c r="I27">
        <f>+Conv!L28</f>
        <v>5.1348374804558328E-4</v>
      </c>
      <c r="J27">
        <f>+Conv!AW28</f>
        <v>2.8124636558426856E-4</v>
      </c>
      <c r="K27">
        <f>+Conv!Y28</f>
        <v>1.6540524559528387E-3</v>
      </c>
      <c r="L27">
        <f>+Conv!BJ28</f>
        <v>1.8306194550561515E-3</v>
      </c>
      <c r="O27">
        <f t="shared" si="5"/>
        <v>-6.6353537846089933E-3</v>
      </c>
      <c r="P27">
        <f t="shared" si="0"/>
        <v>8.7842820619907789E-4</v>
      </c>
      <c r="Q27">
        <f t="shared" si="1"/>
        <v>5.0447714029517969E-3</v>
      </c>
      <c r="R27">
        <f t="shared" si="2"/>
        <v>1.37659002879049E-3</v>
      </c>
      <c r="T27">
        <f t="shared" si="3"/>
        <v>5.1348374804558328E-4</v>
      </c>
      <c r="U27">
        <f t="shared" si="4"/>
        <v>1.6540524559528389E-3</v>
      </c>
    </row>
    <row r="28" spans="2:21" x14ac:dyDescent="0.2">
      <c r="B28">
        <v>25</v>
      </c>
      <c r="C28">
        <v>0.41986800251129092</v>
      </c>
      <c r="D28">
        <v>0.53353116096562292</v>
      </c>
      <c r="I28">
        <f>+Conv!L29</f>
        <v>3.9886146420976484E-4</v>
      </c>
      <c r="J28">
        <f>+Conv!AW29</f>
        <v>2.9725325938297656E-4</v>
      </c>
      <c r="K28">
        <f>+Conv!Y29</f>
        <v>1.2848270017740467E-3</v>
      </c>
      <c r="L28">
        <f>+Conv!BJ29</f>
        <v>1.9348075790237575E-3</v>
      </c>
      <c r="O28">
        <f t="shared" si="5"/>
        <v>-2.9030915664796653E-3</v>
      </c>
      <c r="P28">
        <f t="shared" si="0"/>
        <v>5.5853150036614643E-4</v>
      </c>
      <c r="Q28">
        <f t="shared" si="1"/>
        <v>1.8570873635706024E-2</v>
      </c>
      <c r="R28">
        <f t="shared" si="2"/>
        <v>2.6342895181021551E-4</v>
      </c>
      <c r="T28">
        <f t="shared" si="3"/>
        <v>3.9886146420976484E-4</v>
      </c>
      <c r="U28">
        <f t="shared" si="4"/>
        <v>1.2848270017740469E-3</v>
      </c>
    </row>
    <row r="29" spans="2:21" x14ac:dyDescent="0.2">
      <c r="B29">
        <v>26</v>
      </c>
      <c r="C29">
        <v>0.57455621396281731</v>
      </c>
      <c r="D29">
        <v>0.73009527290032383</v>
      </c>
      <c r="I29">
        <f>+Conv!L30</f>
        <v>2.3029335764467667E-3</v>
      </c>
      <c r="J29">
        <f>+Conv!AW30</f>
        <v>1.2613674746725133E-3</v>
      </c>
      <c r="K29">
        <f>+Conv!Y30</f>
        <v>7.4182930862300208E-3</v>
      </c>
      <c r="L29">
        <f>+Conv!BJ30</f>
        <v>8.2101819673779559E-3</v>
      </c>
      <c r="O29">
        <f t="shared" si="5"/>
        <v>-2.9759031479264383E-2</v>
      </c>
      <c r="P29">
        <f t="shared" si="0"/>
        <v>3.9396803078063074E-3</v>
      </c>
      <c r="Q29">
        <f t="shared" si="1"/>
        <v>2.262539660422672E-2</v>
      </c>
      <c r="R29">
        <f t="shared" si="2"/>
        <v>6.1738962729975507E-3</v>
      </c>
      <c r="T29">
        <f t="shared" si="3"/>
        <v>2.3029335764467663E-3</v>
      </c>
      <c r="U29">
        <f t="shared" si="4"/>
        <v>7.4182930862300208E-3</v>
      </c>
    </row>
    <row r="30" spans="2:21" x14ac:dyDescent="0.2">
      <c r="B30">
        <v>27</v>
      </c>
      <c r="C30">
        <v>0.26252799314916286</v>
      </c>
      <c r="D30">
        <v>0.33359737854060778</v>
      </c>
      <c r="I30">
        <f>+Conv!L31</f>
        <v>6.3222317850335609E-3</v>
      </c>
      <c r="J30">
        <f>+Conv!AW31</f>
        <v>3.4628256857005429E-3</v>
      </c>
      <c r="K30">
        <f>+Conv!Y31</f>
        <v>2.0365402120204084E-2</v>
      </c>
      <c r="L30">
        <f>+Conv!BJ31</f>
        <v>2.2539370620994609E-2</v>
      </c>
      <c r="O30">
        <f t="shared" si="5"/>
        <v>-8.1697317123800517E-2</v>
      </c>
      <c r="P30">
        <f t="shared" si="0"/>
        <v>1.0815584226842589E-2</v>
      </c>
      <c r="Q30">
        <f t="shared" si="1"/>
        <v>6.2113385736872161E-2</v>
      </c>
      <c r="R30">
        <f t="shared" si="2"/>
        <v>1.6949165904676114E-2</v>
      </c>
      <c r="T30">
        <f t="shared" si="3"/>
        <v>6.3222317850335609E-3</v>
      </c>
      <c r="U30">
        <f t="shared" si="4"/>
        <v>2.0365402120204084E-2</v>
      </c>
    </row>
    <row r="31" spans="2:21" x14ac:dyDescent="0.2">
      <c r="B31" t="s">
        <v>41</v>
      </c>
      <c r="C31">
        <f>+'5% CO'!E6</f>
        <v>13.424828135682759</v>
      </c>
      <c r="D31">
        <f>+'10% CO'!E6</f>
        <v>8.8726193456611924</v>
      </c>
      <c r="I31">
        <f>+Conv!L32</f>
        <v>1.0337418214075109E-3</v>
      </c>
      <c r="J31">
        <f>+Conv!AW32</f>
        <v>5.6620317844512384E-4</v>
      </c>
      <c r="K31">
        <f>+Conv!Y32</f>
        <v>3.3299266140911338E-3</v>
      </c>
      <c r="L31">
        <f>+Conv!BJ32</f>
        <v>3.6853900381006383E-3</v>
      </c>
      <c r="O31">
        <f t="shared" si="5"/>
        <v>-1.3358246941782491E-2</v>
      </c>
      <c r="P31">
        <f t="shared" si="0"/>
        <v>1.7684454032055479E-3</v>
      </c>
      <c r="Q31">
        <f t="shared" si="1"/>
        <v>1.0156097828842985E-2</v>
      </c>
      <c r="R31">
        <f t="shared" si="2"/>
        <v>2.7713412335047694E-3</v>
      </c>
      <c r="T31">
        <f t="shared" si="3"/>
        <v>1.0337418214075109E-3</v>
      </c>
      <c r="U31">
        <f t="shared" si="4"/>
        <v>3.3299266140911334E-3</v>
      </c>
    </row>
    <row r="32" spans="2:21" x14ac:dyDescent="0.2">
      <c r="B32" t="s">
        <v>309</v>
      </c>
      <c r="C32">
        <f>+'5% CO'!E7</f>
        <v>126.64217325013112</v>
      </c>
      <c r="D32">
        <f>+'10% CO'!E7</f>
        <v>107.29879781672375</v>
      </c>
      <c r="I32">
        <f>+Conv!L33</f>
        <v>2.2055441296487321E-3</v>
      </c>
      <c r="J32">
        <f>+Conv!AW33</f>
        <v>1.0723246477483146E-3</v>
      </c>
      <c r="K32">
        <f>+Conv!Y33</f>
        <v>7.1045786711714997E-3</v>
      </c>
      <c r="L32">
        <f>+Conv!BJ33</f>
        <v>6.979711038136523E-3</v>
      </c>
      <c r="O32">
        <f t="shared" si="5"/>
        <v>-3.2377699482869081E-2</v>
      </c>
      <c r="P32">
        <f t="shared" si="0"/>
        <v>3.9863176012065321E-3</v>
      </c>
      <c r="Q32">
        <f t="shared" si="1"/>
        <v>-3.5676466581421921E-3</v>
      </c>
      <c r="R32">
        <f t="shared" si="2"/>
        <v>7.3007992373693197E-3</v>
      </c>
      <c r="T32">
        <f t="shared" si="3"/>
        <v>2.205544129648733E-3</v>
      </c>
      <c r="U32">
        <f t="shared" si="4"/>
        <v>7.1045786711714989E-3</v>
      </c>
    </row>
    <row r="33" spans="2:21" x14ac:dyDescent="0.2">
      <c r="I33">
        <f>+Conv!L34</f>
        <v>1.0687387998477725E-3</v>
      </c>
      <c r="J33">
        <f>+Conv!AW34</f>
        <v>6.9528111739599599E-4</v>
      </c>
      <c r="K33">
        <f>+Conv!Y34</f>
        <v>3.4426601492037277E-3</v>
      </c>
      <c r="L33">
        <f>+Conv!BJ34</f>
        <v>4.5255523128064339E-3</v>
      </c>
      <c r="O33">
        <f t="shared" si="5"/>
        <v>-1.0670219498622187E-2</v>
      </c>
      <c r="P33">
        <f t="shared" si="0"/>
        <v>1.6556008722719926E-3</v>
      </c>
      <c r="Q33">
        <f t="shared" si="1"/>
        <v>3.0939776102934472E-2</v>
      </c>
      <c r="R33">
        <f t="shared" si="2"/>
        <v>1.7409724635423316E-3</v>
      </c>
      <c r="T33">
        <f t="shared" si="3"/>
        <v>1.0687387998477723E-3</v>
      </c>
      <c r="U33">
        <f t="shared" si="4"/>
        <v>3.4426601492037277E-3</v>
      </c>
    </row>
    <row r="34" spans="2:21" x14ac:dyDescent="0.2">
      <c r="I34">
        <f>+Conv!L35</f>
        <v>6.8118368789168039E-3</v>
      </c>
      <c r="J34">
        <f>+Conv!AW35</f>
        <v>3.7309931861332591E-3</v>
      </c>
      <c r="K34">
        <f>+Conv!Y35</f>
        <v>2.1942535790095242E-2</v>
      </c>
      <c r="L34">
        <f>+Conv!BJ35</f>
        <v>2.428486035376351E-2</v>
      </c>
      <c r="O34">
        <f t="shared" si="5"/>
        <v>-8.8024105508101289E-2</v>
      </c>
      <c r="P34">
        <f t="shared" si="0"/>
        <v>1.1653162681862374E-2</v>
      </c>
      <c r="Q34">
        <f t="shared" si="1"/>
        <v>6.6923558961950513E-2</v>
      </c>
      <c r="R34">
        <f t="shared" si="2"/>
        <v>1.826174004718796E-2</v>
      </c>
      <c r="T34">
        <f t="shared" si="3"/>
        <v>6.811836878916803E-3</v>
      </c>
      <c r="U34">
        <f t="shared" si="4"/>
        <v>2.1942535790095238E-2</v>
      </c>
    </row>
    <row r="35" spans="2:21" x14ac:dyDescent="0.2">
      <c r="I35">
        <f>+Conv!L36</f>
        <v>1.2553229248518146E-3</v>
      </c>
      <c r="J35">
        <f>+Conv!AW36</f>
        <v>6.8756803227557105E-4</v>
      </c>
      <c r="K35">
        <f>+Conv!Y36</f>
        <v>4.0436916937840843E-3</v>
      </c>
      <c r="L35">
        <f>+Conv!BJ36</f>
        <v>4.4753482020773172E-3</v>
      </c>
      <c r="O35">
        <f t="shared" si="5"/>
        <v>-1.6221568359321245E-2</v>
      </c>
      <c r="P35">
        <f t="shared" si="0"/>
        <v>2.1475091846144831E-3</v>
      </c>
      <c r="Q35">
        <f t="shared" si="1"/>
        <v>1.2333043094092371E-2</v>
      </c>
      <c r="R35">
        <f t="shared" si="2"/>
        <v>3.3653743236090041E-3</v>
      </c>
      <c r="T35">
        <f t="shared" si="3"/>
        <v>1.2553229248518146E-3</v>
      </c>
      <c r="U35">
        <f t="shared" si="4"/>
        <v>4.0436916937840843E-3</v>
      </c>
    </row>
    <row r="36" spans="2:21" x14ac:dyDescent="0.2">
      <c r="I36">
        <f>+Conv!L37</f>
        <v>7.0766422222527073E-4</v>
      </c>
      <c r="J36">
        <f>+Conv!AW37</f>
        <v>3.8760329087807335E-4</v>
      </c>
      <c r="K36">
        <f>+Conv!Y37</f>
        <v>2.2795536357613304E-3</v>
      </c>
      <c r="L36">
        <f>+Conv!BJ37</f>
        <v>2.5228917132889641E-3</v>
      </c>
      <c r="O36">
        <f t="shared" si="5"/>
        <v>-9.1445980384913562E-3</v>
      </c>
      <c r="P36">
        <f t="shared" si="0"/>
        <v>1.2106171143422954E-3</v>
      </c>
      <c r="Q36">
        <f t="shared" si="1"/>
        <v>6.9525165007895346E-3</v>
      </c>
      <c r="R36">
        <f t="shared" si="2"/>
        <v>1.8971652282179061E-3</v>
      </c>
      <c r="T36">
        <f t="shared" si="3"/>
        <v>7.0766422222527084E-4</v>
      </c>
      <c r="U36">
        <f t="shared" si="4"/>
        <v>2.2795536357613304E-3</v>
      </c>
    </row>
    <row r="37" spans="2:21" x14ac:dyDescent="0.2">
      <c r="I37">
        <f>+Conv!L38</f>
        <v>2.5841562675723729E-3</v>
      </c>
      <c r="J37">
        <f>+Conv!AW38</f>
        <v>9.7274355030126981E-4</v>
      </c>
      <c r="K37">
        <f>+Conv!Y38</f>
        <v>8.324177809352129E-3</v>
      </c>
      <c r="L37">
        <f>+Conv!BJ38</f>
        <v>6.3315423268228742E-3</v>
      </c>
      <c r="O37">
        <f t="shared" si="5"/>
        <v>-4.604036335060295E-2</v>
      </c>
      <c r="P37">
        <f t="shared" si="0"/>
        <v>5.1163762518555353E-3</v>
      </c>
      <c r="Q37">
        <f t="shared" si="1"/>
        <v>-5.6932442357978716E-2</v>
      </c>
      <c r="R37">
        <f t="shared" si="2"/>
        <v>1.1455462139040959E-2</v>
      </c>
      <c r="T37">
        <f t="shared" si="3"/>
        <v>2.5841562675723729E-3</v>
      </c>
      <c r="U37">
        <f t="shared" si="4"/>
        <v>8.324177809352129E-3</v>
      </c>
    </row>
    <row r="38" spans="2:21" x14ac:dyDescent="0.2">
      <c r="I38">
        <f>+Conv!L39</f>
        <v>1.6165025468583907E-3</v>
      </c>
      <c r="J38">
        <f>+Conv!AW39</f>
        <v>1.155762274048038E-3</v>
      </c>
      <c r="K38">
        <f>+Conv!Y39</f>
        <v>5.2071365800028819E-3</v>
      </c>
      <c r="L38">
        <f>+Conv!BJ39</f>
        <v>7.5228026499007047E-3</v>
      </c>
      <c r="O38">
        <f t="shared" si="5"/>
        <v>-1.3164007794581507E-2</v>
      </c>
      <c r="P38">
        <f t="shared" si="0"/>
        <v>2.3405229755603736E-3</v>
      </c>
      <c r="Q38">
        <f t="shared" si="1"/>
        <v>6.6161887711366371E-2</v>
      </c>
      <c r="R38">
        <f t="shared" si="2"/>
        <v>1.5682327558777321E-3</v>
      </c>
      <c r="T38">
        <f t="shared" si="3"/>
        <v>1.6165025468583907E-3</v>
      </c>
      <c r="U38">
        <f t="shared" si="4"/>
        <v>5.2071365800028819E-3</v>
      </c>
    </row>
    <row r="39" spans="2:21" x14ac:dyDescent="0.2">
      <c r="I39">
        <f>+Conv!L40</f>
        <v>2.5728954957697373E-3</v>
      </c>
      <c r="J39">
        <f>+Conv!AW40</f>
        <v>1.4092315676350012E-3</v>
      </c>
      <c r="K39">
        <f>+Conv!Y40</f>
        <v>8.2879042031728332E-3</v>
      </c>
      <c r="L39">
        <f>+Conv!BJ40</f>
        <v>9.172622440942968E-3</v>
      </c>
      <c r="O39">
        <f t="shared" si="5"/>
        <v>-3.3247540803849604E-2</v>
      </c>
      <c r="P39">
        <f t="shared" si="0"/>
        <v>4.4015102399814652E-3</v>
      </c>
      <c r="Q39">
        <f t="shared" si="1"/>
        <v>2.5277663936289566E-2</v>
      </c>
      <c r="R39">
        <f t="shared" si="2"/>
        <v>6.8976326866769062E-3</v>
      </c>
      <c r="T39">
        <f t="shared" si="3"/>
        <v>2.5728954957697373E-3</v>
      </c>
      <c r="U39">
        <f t="shared" si="4"/>
        <v>8.2879042031728314E-3</v>
      </c>
    </row>
    <row r="40" spans="2:21" x14ac:dyDescent="0.2">
      <c r="I40">
        <f>+Conv!L41</f>
        <v>2.8070625278097845E-3</v>
      </c>
      <c r="J40">
        <f>+Conv!AW41</f>
        <v>1.5374819778543379E-3</v>
      </c>
      <c r="K40">
        <f>+Conv!Y41</f>
        <v>9.0422115321258101E-3</v>
      </c>
      <c r="L40">
        <f>+Conv!BJ41</f>
        <v>1.0007398369793523E-2</v>
      </c>
      <c r="O40">
        <f t="shared" si="5"/>
        <v>-3.627372999872705E-2</v>
      </c>
      <c r="P40">
        <f t="shared" si="0"/>
        <v>4.8021176777397721E-3</v>
      </c>
      <c r="Q40">
        <f t="shared" si="1"/>
        <v>2.7576766790506083E-2</v>
      </c>
      <c r="R40">
        <f t="shared" si="2"/>
        <v>7.5254893586479757E-3</v>
      </c>
      <c r="T40">
        <f t="shared" si="3"/>
        <v>2.8070625278097845E-3</v>
      </c>
      <c r="U40">
        <f t="shared" si="4"/>
        <v>9.0422115321258101E-3</v>
      </c>
    </row>
    <row r="41" spans="2:21" x14ac:dyDescent="0.2">
      <c r="I41">
        <f>+Conv!L42</f>
        <v>1.633084244793327E-3</v>
      </c>
      <c r="J41">
        <f>+Conv!AW42</f>
        <v>8.9447623277120753E-4</v>
      </c>
      <c r="K41">
        <f>+Conv!Y42</f>
        <v>5.2605501462501909E-3</v>
      </c>
      <c r="L41">
        <f>+Conv!BJ42</f>
        <v>5.82210401330746E-3</v>
      </c>
      <c r="O41">
        <f t="shared" si="5"/>
        <v>-2.1103086057774844E-2</v>
      </c>
      <c r="P41">
        <f t="shared" si="0"/>
        <v>2.7937539779709433E-3</v>
      </c>
      <c r="Q41">
        <f t="shared" si="1"/>
        <v>1.6044396201636262E-2</v>
      </c>
      <c r="R41">
        <f t="shared" si="2"/>
        <v>4.3781083551601967E-3</v>
      </c>
      <c r="T41">
        <f t="shared" si="3"/>
        <v>1.6330842447933268E-3</v>
      </c>
      <c r="U41">
        <f t="shared" si="4"/>
        <v>5.2605501462501909E-3</v>
      </c>
    </row>
    <row r="42" spans="2:21" x14ac:dyDescent="0.2">
      <c r="I42">
        <f>+Conv!L43</f>
        <v>1.9991000305420747E-3</v>
      </c>
      <c r="J42">
        <f>+Conv!AW43</f>
        <v>1.0949511453270907E-3</v>
      </c>
      <c r="K42">
        <f>+Conv!Y43</f>
        <v>6.4395734583599252E-3</v>
      </c>
      <c r="L42">
        <f>+Conv!BJ43</f>
        <v>7.1269858538712634E-3</v>
      </c>
      <c r="O42">
        <f t="shared" si="5"/>
        <v>-2.5832825291856685E-2</v>
      </c>
      <c r="P42">
        <f t="shared" si="0"/>
        <v>3.4199054215941918E-3</v>
      </c>
      <c r="Q42">
        <f t="shared" si="1"/>
        <v>1.9640354157466806E-2</v>
      </c>
      <c r="R42">
        <f t="shared" si="2"/>
        <v>5.3593539796992504E-3</v>
      </c>
      <c r="T42">
        <f t="shared" si="3"/>
        <v>1.9991000305420743E-3</v>
      </c>
      <c r="U42">
        <f t="shared" si="4"/>
        <v>6.4395734583599252E-3</v>
      </c>
    </row>
    <row r="43" spans="2:21" x14ac:dyDescent="0.2">
      <c r="I43">
        <f>+Conv!L44</f>
        <v>1.9601439197672187E-3</v>
      </c>
      <c r="J43">
        <f>+Conv!AW44</f>
        <v>1.4679481893225411E-3</v>
      </c>
      <c r="K43">
        <f>+Conv!Y44</f>
        <v>6.3140866227068488E-3</v>
      </c>
      <c r="L43">
        <f>+Conv!BJ44</f>
        <v>9.5548061885376602E-3</v>
      </c>
      <c r="O43">
        <f t="shared" si="5"/>
        <v>-1.4062735155562219E-2</v>
      </c>
      <c r="P43">
        <f t="shared" si="0"/>
        <v>2.7335943533231405E-3</v>
      </c>
      <c r="Q43">
        <f t="shared" si="1"/>
        <v>9.2591987595166056E-2</v>
      </c>
      <c r="R43">
        <f t="shared" si="2"/>
        <v>1.2215273049727155E-3</v>
      </c>
      <c r="T43">
        <f t="shared" si="3"/>
        <v>1.9601439197672182E-3</v>
      </c>
      <c r="U43">
        <f t="shared" si="4"/>
        <v>6.3140866227068488E-3</v>
      </c>
    </row>
    <row r="44" spans="2:21" x14ac:dyDescent="0.2">
      <c r="B44">
        <v>5</v>
      </c>
      <c r="C44" s="2">
        <f>++'5% CO'!F6</f>
        <v>0.74541938996819412</v>
      </c>
      <c r="D44" s="2">
        <f>+'5% CO'!F7</f>
        <v>0.23140786185419143</v>
      </c>
      <c r="I44">
        <f>+Conv!L45</f>
        <v>2.9316735384255252E-3</v>
      </c>
      <c r="J44">
        <f>+Conv!AW45</f>
        <v>1.6057422087846806E-3</v>
      </c>
      <c r="K44">
        <f>+Conv!Y45</f>
        <v>9.4436130349625329E-3</v>
      </c>
      <c r="L44">
        <f>+Conv!BJ45</f>
        <v>1.045170102411625E-2</v>
      </c>
      <c r="O44">
        <f t="shared" si="5"/>
        <v>-3.7883752275452702E-2</v>
      </c>
      <c r="P44">
        <f t="shared" si="0"/>
        <v>5.0152799135754229E-3</v>
      </c>
      <c r="Q44">
        <f t="shared" si="1"/>
        <v>2.8802513975820485E-2</v>
      </c>
      <c r="R44">
        <f t="shared" si="2"/>
        <v>7.8594747662924062E-3</v>
      </c>
      <c r="T44">
        <f t="shared" si="3"/>
        <v>2.9316735384255243E-3</v>
      </c>
      <c r="U44">
        <f t="shared" si="4"/>
        <v>9.4436130349625329E-3</v>
      </c>
    </row>
    <row r="45" spans="2:21" x14ac:dyDescent="0.2">
      <c r="B45">
        <v>10</v>
      </c>
      <c r="C45" s="26">
        <f>+'10% CO'!F6</f>
        <v>0.8949760009233918</v>
      </c>
      <c r="D45" s="26">
        <f>+'10% CO'!F7</f>
        <v>0.13749922019545349</v>
      </c>
      <c r="I45">
        <f>+Conv!L46</f>
        <v>1.1751347979418042E-3</v>
      </c>
      <c r="J45">
        <f>+Conv!AW46</f>
        <v>6.4364722788343566E-4</v>
      </c>
      <c r="K45">
        <f>+Conv!Y46</f>
        <v>3.7853867936609624E-3</v>
      </c>
      <c r="L45">
        <f>+Conv!BJ46</f>
        <v>4.1894697380661329E-3</v>
      </c>
      <c r="O45">
        <f t="shared" si="5"/>
        <v>-1.5185359144524818E-2</v>
      </c>
      <c r="P45">
        <f t="shared" si="0"/>
        <v>2.010329550890669E-3</v>
      </c>
      <c r="Q45">
        <f t="shared" si="1"/>
        <v>1.1545226983004872E-2</v>
      </c>
      <c r="R45">
        <f t="shared" si="2"/>
        <v>3.1503993095956945E-3</v>
      </c>
      <c r="T45">
        <f t="shared" si="3"/>
        <v>1.175134797941804E-3</v>
      </c>
      <c r="U45">
        <f t="shared" si="4"/>
        <v>3.7853867936609624E-3</v>
      </c>
    </row>
    <row r="46" spans="2:21" x14ac:dyDescent="0.2">
      <c r="B46">
        <v>15</v>
      </c>
      <c r="I46">
        <f>+Conv!L47</f>
        <v>1.8875006041552849E-3</v>
      </c>
      <c r="J46">
        <f>+Conv!AW47</f>
        <v>1.0338256799310808E-3</v>
      </c>
      <c r="K46">
        <f>+Conv!Y47</f>
        <v>6.0800853421330969E-3</v>
      </c>
      <c r="L46">
        <f>+Conv!BJ47</f>
        <v>6.7291230551081976E-3</v>
      </c>
      <c r="O46">
        <f t="shared" si="5"/>
        <v>-2.4390712120691549E-2</v>
      </c>
      <c r="P46">
        <f t="shared" si="0"/>
        <v>3.22898977079332E-3</v>
      </c>
      <c r="Q46">
        <f t="shared" si="1"/>
        <v>1.8543934656431452E-2</v>
      </c>
      <c r="R46">
        <f t="shared" si="2"/>
        <v>5.0601689360293672E-3</v>
      </c>
      <c r="T46">
        <f t="shared" si="3"/>
        <v>1.8875006041552849E-3</v>
      </c>
      <c r="U46">
        <f t="shared" si="4"/>
        <v>6.0800853421330969E-3</v>
      </c>
    </row>
    <row r="47" spans="2:21" x14ac:dyDescent="0.2">
      <c r="I47">
        <f>+Conv!L48</f>
        <v>2.2543336903464257E-3</v>
      </c>
      <c r="J47">
        <f>+Conv!AW48</f>
        <v>1.234748245951925E-3</v>
      </c>
      <c r="K47">
        <f>+Conv!Y48</f>
        <v>7.2617413720438093E-3</v>
      </c>
      <c r="L47">
        <f>+Conv!BJ48</f>
        <v>8.0369186511631292E-3</v>
      </c>
      <c r="O47">
        <f t="shared" si="5"/>
        <v>-2.9131012696985741E-2</v>
      </c>
      <c r="P47">
        <f t="shared" si="0"/>
        <v>3.8565393886806415E-3</v>
      </c>
      <c r="Q47">
        <f t="shared" si="1"/>
        <v>2.2147922260551997E-2</v>
      </c>
      <c r="R47">
        <f t="shared" si="2"/>
        <v>6.0436056477134494E-3</v>
      </c>
      <c r="T47">
        <f t="shared" si="3"/>
        <v>2.2543336903464257E-3</v>
      </c>
      <c r="U47">
        <f t="shared" si="4"/>
        <v>7.2617413720438093E-3</v>
      </c>
    </row>
    <row r="48" spans="2:21" x14ac:dyDescent="0.2">
      <c r="I48">
        <f>+Conv!L49</f>
        <v>2.3714157112761599E-3</v>
      </c>
      <c r="J48">
        <f>+Conv!AW49</f>
        <v>1.7952413317092557E-3</v>
      </c>
      <c r="K48">
        <f>+Conv!Y49</f>
        <v>7.6388902204812788E-3</v>
      </c>
      <c r="L48">
        <f>+Conv!BJ49</f>
        <v>1.168514196270809E-2</v>
      </c>
      <c r="O48">
        <f t="shared" si="5"/>
        <v>-1.646212513048298E-2</v>
      </c>
      <c r="P48">
        <f t="shared" si="0"/>
        <v>3.276832593452724E-3</v>
      </c>
      <c r="Q48">
        <f t="shared" si="1"/>
        <v>0.11560719263505176</v>
      </c>
      <c r="R48">
        <f t="shared" si="2"/>
        <v>1.280494625553432E-3</v>
      </c>
      <c r="T48">
        <f>+O48*$W$3+P48</f>
        <v>2.3714157112761599E-3</v>
      </c>
      <c r="U48">
        <f t="shared" si="4"/>
        <v>7.6388902204812788E-3</v>
      </c>
    </row>
    <row r="49" spans="9:21" x14ac:dyDescent="0.2">
      <c r="I49">
        <f>+Conv!L50</f>
        <v>2.2142943944468397E-4</v>
      </c>
      <c r="J49">
        <f>+Conv!AW50</f>
        <v>1.2128178411529943E-4</v>
      </c>
      <c r="K49">
        <f>+Conv!Y50</f>
        <v>7.1327653412163374E-4</v>
      </c>
      <c r="L49">
        <f>+Conv!BJ50</f>
        <v>7.8941746708141624E-4</v>
      </c>
      <c r="O49">
        <f t="shared" si="5"/>
        <v>-2.8613615808395585E-3</v>
      </c>
      <c r="P49">
        <f t="shared" si="0"/>
        <v>3.7880432639085971E-4</v>
      </c>
      <c r="Q49">
        <f t="shared" si="1"/>
        <v>2.1754552274223572E-3</v>
      </c>
      <c r="R49">
        <f t="shared" si="2"/>
        <v>5.9362649661340414E-4</v>
      </c>
      <c r="T49">
        <f t="shared" si="3"/>
        <v>2.2142943944468399E-4</v>
      </c>
      <c r="U49">
        <f t="shared" si="4"/>
        <v>7.1327653412163374E-4</v>
      </c>
    </row>
    <row r="50" spans="9:21" x14ac:dyDescent="0.2">
      <c r="I50">
        <f>+Conv!L51</f>
        <v>7.8046294204270133E-4</v>
      </c>
      <c r="J50">
        <f>+Conv!AW51</f>
        <v>4.2747675414885679E-4</v>
      </c>
      <c r="K50">
        <f>+Conv!Y51</f>
        <v>2.514055509993101E-3</v>
      </c>
      <c r="L50">
        <f>+Conv!BJ51</f>
        <v>2.7824262230143615E-3</v>
      </c>
      <c r="O50">
        <f t="shared" si="5"/>
        <v>-1.0085319654109845E-2</v>
      </c>
      <c r="P50">
        <f t="shared" si="0"/>
        <v>1.3351555230187427E-3</v>
      </c>
      <c r="Q50">
        <f t="shared" si="1"/>
        <v>7.6677346577503011E-3</v>
      </c>
      <c r="R50">
        <f t="shared" si="2"/>
        <v>2.0923301038168344E-3</v>
      </c>
      <c r="T50">
        <f t="shared" si="3"/>
        <v>7.8046294204270122E-4</v>
      </c>
      <c r="U50">
        <f t="shared" si="4"/>
        <v>2.514055509993101E-3</v>
      </c>
    </row>
    <row r="51" spans="9:21" x14ac:dyDescent="0.2">
      <c r="I51">
        <f>+Conv!L52</f>
        <v>2.0282532215800734E-4</v>
      </c>
      <c r="J51">
        <f>+Conv!AW52</f>
        <v>1.1109189905721035E-4</v>
      </c>
      <c r="K51">
        <f>+Conv!Y52</f>
        <v>6.5334827737351477E-4</v>
      </c>
      <c r="L51">
        <f>+Conv!BJ52</f>
        <v>7.230919812627035E-4</v>
      </c>
      <c r="O51">
        <f t="shared" si="5"/>
        <v>-2.6209549457370568E-3</v>
      </c>
      <c r="P51">
        <f t="shared" si="0"/>
        <v>3.4697784417354546E-4</v>
      </c>
      <c r="Q51">
        <f t="shared" si="1"/>
        <v>1.9926772539768213E-3</v>
      </c>
      <c r="R51">
        <f t="shared" si="2"/>
        <v>5.4375102840478967E-4</v>
      </c>
      <c r="T51">
        <f t="shared" si="3"/>
        <v>2.0282532215800734E-4</v>
      </c>
      <c r="U51">
        <f t="shared" si="4"/>
        <v>6.5334827737351488E-4</v>
      </c>
    </row>
    <row r="52" spans="9:21" x14ac:dyDescent="0.2">
      <c r="I52">
        <f>+Conv!L53</f>
        <v>8.8219578267645761E-4</v>
      </c>
      <c r="J52">
        <f>+Conv!AW53</f>
        <v>4.8319807307610669E-4</v>
      </c>
      <c r="K52">
        <f>+Conv!Y53</f>
        <v>2.8417610226637484E-3</v>
      </c>
      <c r="L52">
        <f>+Conv!BJ53</f>
        <v>3.1451136848690427E-3</v>
      </c>
      <c r="O52">
        <f t="shared" si="5"/>
        <v>-1.1399934560010027E-2</v>
      </c>
      <c r="P52">
        <f t="shared" si="0"/>
        <v>1.5091921834770091E-3</v>
      </c>
      <c r="Q52">
        <f t="shared" si="1"/>
        <v>8.6672189201512668E-3</v>
      </c>
      <c r="R52">
        <f t="shared" si="2"/>
        <v>2.3650639820554284E-3</v>
      </c>
      <c r="T52">
        <f t="shared" si="3"/>
        <v>8.8219578267645761E-4</v>
      </c>
      <c r="U52">
        <f t="shared" si="4"/>
        <v>2.841761022663748E-3</v>
      </c>
    </row>
    <row r="53" spans="9:21" x14ac:dyDescent="0.2">
      <c r="I53">
        <f>+Conv!L54</f>
        <v>7.6236437142142315E-5</v>
      </c>
      <c r="J53">
        <f>+Conv!AW54</f>
        <v>4.175637681412592E-5</v>
      </c>
      <c r="K53">
        <f>+Conv!Y54</f>
        <v>2.4557557384827016E-4</v>
      </c>
      <c r="L53">
        <f>+Conv!BJ54</f>
        <v>2.717903060179852E-4</v>
      </c>
      <c r="O53">
        <f t="shared" si="5"/>
        <v>-9.8514458080046856E-4</v>
      </c>
      <c r="P53">
        <f t="shared" si="0"/>
        <v>1.304193890861681E-4</v>
      </c>
      <c r="Q53">
        <f t="shared" si="1"/>
        <v>7.4899234770614402E-4</v>
      </c>
      <c r="R53">
        <f t="shared" si="2"/>
        <v>2.0438099472443224E-4</v>
      </c>
      <c r="T53">
        <f t="shared" si="3"/>
        <v>7.6236437142142315E-5</v>
      </c>
      <c r="U53">
        <f t="shared" si="4"/>
        <v>2.4557557384827016E-4</v>
      </c>
    </row>
    <row r="54" spans="9:21" x14ac:dyDescent="0.2">
      <c r="I54">
        <f>+Conv!L55</f>
        <v>2.6669016372050142E-3</v>
      </c>
      <c r="J54">
        <f>+Conv!AW55</f>
        <v>2.0189341008190593E-3</v>
      </c>
      <c r="K54">
        <f>+Conv!Y55</f>
        <v>8.5907201923983902E-3</v>
      </c>
      <c r="L54">
        <f>+Conv!BJ55</f>
        <v>1.314114774695029E-2</v>
      </c>
      <c r="O54">
        <f t="shared" si="5"/>
        <v>-1.8513358182455857E-2</v>
      </c>
      <c r="P54">
        <f t="shared" si="0"/>
        <v>3.685136337240086E-3</v>
      </c>
      <c r="Q54">
        <f t="shared" si="1"/>
        <v>0.13001221584434</v>
      </c>
      <c r="R54">
        <f t="shared" si="2"/>
        <v>1.4400483209596904E-3</v>
      </c>
      <c r="T54">
        <f t="shared" si="3"/>
        <v>2.6669016372050137E-3</v>
      </c>
      <c r="U54">
        <f t="shared" si="4"/>
        <v>8.5907201923983902E-3</v>
      </c>
    </row>
    <row r="55" spans="9:21" x14ac:dyDescent="0.2">
      <c r="I55">
        <f>+Conv!L56</f>
        <v>2.1610434790248298E-4</v>
      </c>
      <c r="J55">
        <f>+Conv!AW56</f>
        <v>1.1836511411678838E-4</v>
      </c>
      <c r="K55">
        <f>+Conv!Y56</f>
        <v>6.9612315628430948E-4</v>
      </c>
      <c r="L55">
        <f>+Conv!BJ56</f>
        <v>7.7043299831446542E-4</v>
      </c>
      <c r="O55">
        <f t="shared" si="5"/>
        <v>-2.7925495367341316E-3</v>
      </c>
      <c r="P55">
        <f t="shared" si="0"/>
        <v>3.696945724228602E-4</v>
      </c>
      <c r="Q55">
        <f t="shared" si="1"/>
        <v>2.1231383437187415E-3</v>
      </c>
      <c r="R55">
        <f t="shared" si="2"/>
        <v>5.7935054737977873E-4</v>
      </c>
      <c r="T55">
        <f t="shared" si="3"/>
        <v>2.1610434790248295E-4</v>
      </c>
      <c r="U55">
        <f t="shared" si="4"/>
        <v>6.9612315628430948E-4</v>
      </c>
    </row>
    <row r="56" spans="9:21" x14ac:dyDescent="0.2">
      <c r="I56">
        <f>+Conv!L57</f>
        <v>2.8193497900727681E-3</v>
      </c>
      <c r="J56">
        <f>+Conv!AW57</f>
        <v>2.1343424721432264E-3</v>
      </c>
      <c r="K56">
        <f>+Conv!Y57</f>
        <v>9.0817917065721902E-3</v>
      </c>
      <c r="L56">
        <f>+Conv!BJ57</f>
        <v>1.3892335444552956E-2</v>
      </c>
      <c r="O56">
        <f t="shared" si="5"/>
        <v>-1.9571637655129766E-2</v>
      </c>
      <c r="P56">
        <f t="shared" si="0"/>
        <v>3.8957898611049055E-3</v>
      </c>
      <c r="Q56">
        <f t="shared" si="1"/>
        <v>0.13744410679945043</v>
      </c>
      <c r="R56">
        <f t="shared" si="2"/>
        <v>1.522365832602417E-3</v>
      </c>
      <c r="T56">
        <f t="shared" si="3"/>
        <v>2.8193497900727681E-3</v>
      </c>
      <c r="U56">
        <f t="shared" si="4"/>
        <v>9.0817917065721919E-3</v>
      </c>
    </row>
    <row r="57" spans="9:21" x14ac:dyDescent="0.2">
      <c r="I57">
        <f>+Conv!L58</f>
        <v>1.8262873287532439E-4</v>
      </c>
      <c r="J57">
        <f>+Conv!AW58</f>
        <v>1.0002978199007289E-4</v>
      </c>
      <c r="K57">
        <f>+Conv!Y58</f>
        <v>5.8829029212657574E-4</v>
      </c>
      <c r="L57">
        <f>+Conv!BJ58</f>
        <v>6.5108917804374792E-4</v>
      </c>
      <c r="O57">
        <f t="shared" si="5"/>
        <v>-2.3599700252929004E-3</v>
      </c>
      <c r="P57">
        <f t="shared" si="0"/>
        <v>3.1242708426643389E-4</v>
      </c>
      <c r="Q57">
        <f t="shared" si="1"/>
        <v>1.7942538833477764E-3</v>
      </c>
      <c r="R57">
        <f t="shared" si="2"/>
        <v>4.8960632854244809E-4</v>
      </c>
      <c r="T57">
        <f t="shared" si="3"/>
        <v>1.8262873287532437E-4</v>
      </c>
      <c r="U57">
        <f t="shared" si="4"/>
        <v>5.8829029212657574E-4</v>
      </c>
    </row>
    <row r="58" spans="9:21" x14ac:dyDescent="0.2">
      <c r="I58">
        <f>+Conv!L59</f>
        <v>2.6819582448956571E-3</v>
      </c>
      <c r="J58">
        <f>+Conv!AW59</f>
        <v>2.0303324584807058E-3</v>
      </c>
      <c r="K58">
        <f>+Conv!Y59</f>
        <v>8.6392210826871617E-3</v>
      </c>
      <c r="L58">
        <f>+Conv!BJ59</f>
        <v>1.3215339124491294E-2</v>
      </c>
      <c r="O58">
        <f t="shared" si="5"/>
        <v>-1.861787961185575E-2</v>
      </c>
      <c r="P58">
        <f t="shared" si="0"/>
        <v>3.7059416235477234E-3</v>
      </c>
      <c r="Q58">
        <f t="shared" si="1"/>
        <v>0.13074622976583233</v>
      </c>
      <c r="R58">
        <f t="shared" si="2"/>
        <v>1.4481784455663855E-3</v>
      </c>
      <c r="T58">
        <f t="shared" si="3"/>
        <v>2.6819582448956571E-3</v>
      </c>
      <c r="U58">
        <f t="shared" si="4"/>
        <v>8.6392210826871652E-3</v>
      </c>
    </row>
    <row r="59" spans="9:21" x14ac:dyDescent="0.2">
      <c r="I59">
        <f>+Conv!L60</f>
        <v>4.9678385653190876E-4</v>
      </c>
      <c r="J59">
        <f>+Conv!AW60</f>
        <v>2.7209946694969759E-4</v>
      </c>
      <c r="K59">
        <f>+Conv!Y60</f>
        <v>1.6002581602668003E-3</v>
      </c>
      <c r="L59">
        <f>+Conv!BJ60</f>
        <v>1.7710827191446074E-3</v>
      </c>
      <c r="O59">
        <f t="shared" si="5"/>
        <v>-6.419553988063177E-3</v>
      </c>
      <c r="P59">
        <f t="shared" si="0"/>
        <v>8.4985932587538344E-4</v>
      </c>
      <c r="Q59">
        <f t="shared" si="1"/>
        <v>4.8807016822230596E-3</v>
      </c>
      <c r="R59">
        <f t="shared" si="2"/>
        <v>1.3318195677445321E-3</v>
      </c>
      <c r="T59">
        <f t="shared" si="3"/>
        <v>4.9678385653190876E-4</v>
      </c>
      <c r="U59">
        <f t="shared" si="4"/>
        <v>1.6002581602668005E-3</v>
      </c>
    </row>
    <row r="60" spans="9:21" x14ac:dyDescent="0.2">
      <c r="I60">
        <f>+Conv!L61</f>
        <v>2.3187175843589129E-3</v>
      </c>
      <c r="J60">
        <f>+Conv!AW61</f>
        <v>1.7553470798934948E-3</v>
      </c>
      <c r="K60">
        <f>+Conv!Y61</f>
        <v>7.4691371044705883E-3</v>
      </c>
      <c r="L60">
        <f>+Conv!BJ61</f>
        <v>1.1425472141314581E-2</v>
      </c>
      <c r="O60">
        <f t="shared" si="5"/>
        <v>-1.6096300127583375E-2</v>
      </c>
      <c r="P60">
        <f t="shared" si="0"/>
        <v>3.2040140913759986E-3</v>
      </c>
      <c r="Q60">
        <f t="shared" si="1"/>
        <v>0.11303814390982837</v>
      </c>
      <c r="R60">
        <f t="shared" si="2"/>
        <v>1.2520391894300289E-3</v>
      </c>
      <c r="T60">
        <f t="shared" si="3"/>
        <v>2.3187175843589129E-3</v>
      </c>
      <c r="U60">
        <f t="shared" si="4"/>
        <v>7.4691371044705891E-3</v>
      </c>
    </row>
    <row r="61" spans="9:21" x14ac:dyDescent="0.2">
      <c r="I61">
        <f>+Conv!L62</f>
        <v>1.9552017284299434E-4</v>
      </c>
      <c r="J61">
        <f>+Conv!AW62</f>
        <v>1.0709070777760743E-4</v>
      </c>
      <c r="K61">
        <f>+Conv!Y62</f>
        <v>6.2981666568845147E-4</v>
      </c>
      <c r="L61">
        <f>+Conv!BJ62</f>
        <v>6.9704841414095354E-4</v>
      </c>
      <c r="O61">
        <f t="shared" si="5"/>
        <v>-2.5265561447253408E-3</v>
      </c>
      <c r="P61">
        <f t="shared" si="0"/>
        <v>3.3448076080288809E-4</v>
      </c>
      <c r="Q61">
        <f t="shared" si="1"/>
        <v>1.9209070986429167E-3</v>
      </c>
      <c r="R61">
        <f t="shared" si="2"/>
        <v>5.2416677526309109E-4</v>
      </c>
      <c r="T61">
        <f t="shared" si="3"/>
        <v>1.9552017284299434E-4</v>
      </c>
      <c r="U61">
        <f t="shared" si="4"/>
        <v>6.2981666568845147E-4</v>
      </c>
    </row>
    <row r="62" spans="9:21" x14ac:dyDescent="0.2">
      <c r="I62">
        <f>+Conv!L63</f>
        <v>2.1436845199551916E-3</v>
      </c>
      <c r="J62">
        <f>+Conv!AW63</f>
        <v>1.6228411720768561E-3</v>
      </c>
      <c r="K62">
        <f>+Conv!Y63</f>
        <v>6.9053142548636216E-3</v>
      </c>
      <c r="L62">
        <f>+Conv!BJ63</f>
        <v>1.056299737740039E-2</v>
      </c>
      <c r="O62">
        <f t="shared" si="5"/>
        <v>-1.4881238510809587E-2</v>
      </c>
      <c r="P62">
        <f t="shared" si="0"/>
        <v>2.962152638049719E-3</v>
      </c>
      <c r="Q62">
        <f t="shared" si="1"/>
        <v>0.10450523207247911</v>
      </c>
      <c r="R62">
        <f t="shared" si="2"/>
        <v>1.157526490877271E-3</v>
      </c>
      <c r="T62">
        <f t="shared" si="3"/>
        <v>2.1436845199551916E-3</v>
      </c>
      <c r="U62">
        <f t="shared" si="4"/>
        <v>6.9053142548636225E-3</v>
      </c>
    </row>
    <row r="63" spans="9:21" x14ac:dyDescent="0.2">
      <c r="I63">
        <f>+Conv!L64</f>
        <v>2.1003967728445995E-3</v>
      </c>
      <c r="J63">
        <f>+Conv!AW64</f>
        <v>1.5900708937996273E-3</v>
      </c>
      <c r="K63">
        <f>+Conv!Y64</f>
        <v>6.7658741952834212E-3</v>
      </c>
      <c r="L63">
        <f>+Conv!BJ64</f>
        <v>1.0349697166970028E-2</v>
      </c>
      <c r="O63">
        <f t="shared" si="5"/>
        <v>-1.4580739401284924E-2</v>
      </c>
      <c r="P63">
        <f t="shared" si="0"/>
        <v>2.9023374399152705E-3</v>
      </c>
      <c r="Q63">
        <f t="shared" si="1"/>
        <v>0.10239494204818878</v>
      </c>
      <c r="R63">
        <f t="shared" si="2"/>
        <v>1.1341523826330392E-3</v>
      </c>
      <c r="T63">
        <f t="shared" si="3"/>
        <v>2.1003967728445995E-3</v>
      </c>
      <c r="U63">
        <f t="shared" si="4"/>
        <v>6.7658741952834221E-3</v>
      </c>
    </row>
    <row r="64" spans="9:21" x14ac:dyDescent="0.2">
      <c r="I64">
        <f>+Conv!L65</f>
        <v>1.0012644114277118E-3</v>
      </c>
      <c r="J64">
        <f>+Conv!AW65</f>
        <v>7.5799078449946338E-4</v>
      </c>
      <c r="K64">
        <f>+Conv!Y65</f>
        <v>3.2253092042032068E-3</v>
      </c>
      <c r="L64">
        <f>+Conv!BJ65</f>
        <v>4.9337266064767484E-3</v>
      </c>
      <c r="O64">
        <f t="shared" si="5"/>
        <v>-6.9506750550928113E-3</v>
      </c>
      <c r="P64">
        <f t="shared" si="0"/>
        <v>1.3835515394578163E-3</v>
      </c>
      <c r="Q64">
        <f t="shared" si="1"/>
        <v>4.8811925779244043E-2</v>
      </c>
      <c r="R64">
        <f t="shared" si="2"/>
        <v>5.40653286344785E-4</v>
      </c>
      <c r="T64">
        <f t="shared" si="3"/>
        <v>1.0012644114277118E-3</v>
      </c>
      <c r="U64">
        <f t="shared" si="4"/>
        <v>3.2253092042032073E-3</v>
      </c>
    </row>
    <row r="65" spans="9:21" x14ac:dyDescent="0.2">
      <c r="I65">
        <f>+Conv!L66</f>
        <v>8.281134229853257E-4</v>
      </c>
      <c r="J65">
        <f>+Conv!AW66</f>
        <v>6.269096713905337E-4</v>
      </c>
      <c r="K65">
        <f>+Conv!Y66</f>
        <v>2.6675489658823516E-3</v>
      </c>
      <c r="L65">
        <f>+Conv!BJ66</f>
        <v>4.080525764755206E-3</v>
      </c>
      <c r="O65">
        <f t="shared" si="5"/>
        <v>-5.7486786169940575E-3</v>
      </c>
      <c r="P65">
        <f t="shared" si="0"/>
        <v>1.1442907469199988E-3</v>
      </c>
      <c r="Q65">
        <f t="shared" si="1"/>
        <v>4.0370765682081561E-2</v>
      </c>
      <c r="R65">
        <f t="shared" si="2"/>
        <v>4.4715685336786572E-4</v>
      </c>
      <c r="T65">
        <f t="shared" si="3"/>
        <v>8.281134229853257E-4</v>
      </c>
      <c r="U65">
        <f t="shared" si="4"/>
        <v>2.6675489658823516E-3</v>
      </c>
    </row>
    <row r="66" spans="9:21" x14ac:dyDescent="0.2">
      <c r="I66">
        <f>+Conv!L67</f>
        <v>7.9047190375872004E-4</v>
      </c>
      <c r="J66">
        <f>+Conv!AW67</f>
        <v>5.9841377723641846E-4</v>
      </c>
      <c r="K66">
        <f>+Conv!Y67</f>
        <v>2.5462967401604268E-3</v>
      </c>
      <c r="L66">
        <f>+Conv!BJ67</f>
        <v>3.8950473209026963E-3</v>
      </c>
      <c r="O66">
        <f t="shared" si="5"/>
        <v>-5.4873750434943315E-3</v>
      </c>
      <c r="P66">
        <f t="shared" si="0"/>
        <v>1.0922775311509084E-3</v>
      </c>
      <c r="Q66">
        <f t="shared" si="1"/>
        <v>3.8535730878350556E-2</v>
      </c>
      <c r="R66">
        <f t="shared" si="2"/>
        <v>4.2683154185114633E-4</v>
      </c>
      <c r="T66">
        <f t="shared" si="3"/>
        <v>7.9047190375872026E-4</v>
      </c>
      <c r="U66">
        <f t="shared" si="4"/>
        <v>2.5462967401604268E-3</v>
      </c>
    </row>
    <row r="67" spans="9:21" x14ac:dyDescent="0.2">
      <c r="I67">
        <f>+Conv!L68</f>
        <v>7.4530208068679317E-4</v>
      </c>
      <c r="J67">
        <f>+Conv!AW68</f>
        <v>5.6421870425148028E-4</v>
      </c>
      <c r="K67">
        <f>+Conv!Y68</f>
        <v>2.4007940692941164E-3</v>
      </c>
      <c r="L67">
        <f>+Conv!BJ68</f>
        <v>3.6724731882796847E-3</v>
      </c>
      <c r="O67">
        <f t="shared" si="5"/>
        <v>-5.173810755294655E-3</v>
      </c>
      <c r="P67">
        <f t="shared" si="0"/>
        <v>1.0298616722279991E-3</v>
      </c>
      <c r="Q67">
        <f t="shared" si="1"/>
        <v>3.6333689113873385E-2</v>
      </c>
      <c r="R67">
        <f t="shared" si="2"/>
        <v>4.0244116803108028E-4</v>
      </c>
      <c r="T67">
        <f t="shared" si="3"/>
        <v>7.4530208068679317E-4</v>
      </c>
      <c r="U67">
        <f t="shared" si="4"/>
        <v>2.4007940692941164E-3</v>
      </c>
    </row>
    <row r="68" spans="9:21" x14ac:dyDescent="0.2">
      <c r="I68">
        <f>+Conv!L69</f>
        <v>6.9260395376954519E-4</v>
      </c>
      <c r="J68">
        <f>+Conv!AW69</f>
        <v>5.2432445243571916E-4</v>
      </c>
      <c r="K68">
        <f>+Conv!Y69</f>
        <v>2.2310409532834215E-3</v>
      </c>
      <c r="L68">
        <f>+Conv!BJ69</f>
        <v>3.4128033668861728E-3</v>
      </c>
      <c r="O68">
        <f t="shared" si="5"/>
        <v>-4.8079857523950298E-3</v>
      </c>
      <c r="P68">
        <f t="shared" si="0"/>
        <v>9.5704317015127174E-4</v>
      </c>
      <c r="Q68">
        <f t="shared" si="1"/>
        <v>3.3764640388650041E-2</v>
      </c>
      <c r="R68">
        <f t="shared" si="2"/>
        <v>3.7398573190766931E-4</v>
      </c>
      <c r="T68">
        <f t="shared" si="3"/>
        <v>6.9260395376954508E-4</v>
      </c>
      <c r="U68">
        <f t="shared" si="4"/>
        <v>2.2310409532834215E-3</v>
      </c>
    </row>
    <row r="69" spans="9:21" x14ac:dyDescent="0.2">
      <c r="I69">
        <f>+Conv!L70</f>
        <v>6.7754734607890286E-4</v>
      </c>
      <c r="J69">
        <f>+Conv!AW70</f>
        <v>5.1292609477407306E-4</v>
      </c>
      <c r="K69">
        <f>+Conv!Y70</f>
        <v>2.1825400629946518E-3</v>
      </c>
      <c r="L69">
        <f>+Conv!BJ70</f>
        <v>3.3386119893451683E-3</v>
      </c>
      <c r="O69">
        <f t="shared" si="5"/>
        <v>-4.7034643229951377E-3</v>
      </c>
      <c r="P69">
        <f t="shared" si="0"/>
        <v>9.3623788384363535E-4</v>
      </c>
      <c r="Q69">
        <f t="shared" si="1"/>
        <v>3.3030626467157612E-2</v>
      </c>
      <c r="R69">
        <f t="shared" si="2"/>
        <v>3.6585560730098294E-4</v>
      </c>
      <c r="T69">
        <f t="shared" si="3"/>
        <v>6.7754734607890275E-4</v>
      </c>
      <c r="U69">
        <f t="shared" si="4"/>
        <v>2.1825400629946513E-3</v>
      </c>
    </row>
    <row r="70" spans="9:21" x14ac:dyDescent="0.2">
      <c r="I70">
        <f>+Conv!L71</f>
        <v>6.1167468743234291E-4</v>
      </c>
      <c r="J70">
        <f>+Conv!AW71</f>
        <v>4.6305828000437138E-4</v>
      </c>
      <c r="K70">
        <f>+Conv!Y71</f>
        <v>1.9703486679812825E-3</v>
      </c>
      <c r="L70">
        <f>+Conv!BJ71</f>
        <v>3.0140247126032769E-3</v>
      </c>
      <c r="O70">
        <f t="shared" ref="O70:O72" si="6">+SLOPE(I70:J70,$I$3:$J$3)</f>
        <v>-4.2461830693706149E-3</v>
      </c>
      <c r="P70">
        <f t="shared" ref="P70:P72" si="7">+INTERCEPT(I70:J70,$I$3:$J$3)</f>
        <v>8.4521475624772672E-4</v>
      </c>
      <c r="Q70">
        <f t="shared" ref="Q70:Q72" si="8">+SLOPE(K70:L70,$K$3:$L$3)</f>
        <v>2.9819315560628418E-2</v>
      </c>
      <c r="R70">
        <f t="shared" ref="R70:R72" si="9">+INTERCEPT(K70:L70,$K$3:$L$3)</f>
        <v>3.3028631214671944E-4</v>
      </c>
      <c r="T70">
        <f t="shared" ref="T70:T72" si="10">+O70*$W$3+P70</f>
        <v>6.1167468743234291E-4</v>
      </c>
      <c r="U70">
        <f t="shared" ref="U70:U72" si="11">+Q70*$W$3+R70</f>
        <v>1.9703486679812825E-3</v>
      </c>
    </row>
    <row r="71" spans="9:21" x14ac:dyDescent="0.2">
      <c r="I71">
        <f>+Conv!L72</f>
        <v>5.3827372494046164E-4</v>
      </c>
      <c r="J71">
        <f>+Conv!AW72</f>
        <v>4.0749128640384688E-4</v>
      </c>
      <c r="K71">
        <f>+Conv!Y72</f>
        <v>1.7339068278235286E-3</v>
      </c>
      <c r="L71">
        <f>+Conv!BJ72</f>
        <v>2.6523417470908838E-3</v>
      </c>
      <c r="O71">
        <f t="shared" si="6"/>
        <v>-3.7366411010461365E-3</v>
      </c>
      <c r="P71">
        <f t="shared" si="7"/>
        <v>7.4378898549799918E-4</v>
      </c>
      <c r="Q71">
        <f t="shared" si="8"/>
        <v>2.6240997693353009E-2</v>
      </c>
      <c r="R71">
        <f t="shared" si="9"/>
        <v>2.9065195468911341E-4</v>
      </c>
      <c r="T71">
        <f t="shared" si="10"/>
        <v>5.3827372494046164E-4</v>
      </c>
      <c r="U71">
        <f t="shared" si="11"/>
        <v>1.7339068278235288E-3</v>
      </c>
    </row>
    <row r="72" spans="9:21" x14ac:dyDescent="0.2">
      <c r="I72">
        <f>+Conv!L73</f>
        <v>4.5734445860325942E-4</v>
      </c>
      <c r="J72">
        <f>+Conv!AW73</f>
        <v>3.4622511397249922E-4</v>
      </c>
      <c r="K72">
        <f>+Conv!Y73</f>
        <v>1.4732145425213896E-3</v>
      </c>
      <c r="L72">
        <f>+Conv!BJ73</f>
        <v>2.2535630928079888E-3</v>
      </c>
      <c r="O72">
        <f t="shared" si="6"/>
        <v>-3.1748384180217202E-3</v>
      </c>
      <c r="P72">
        <f t="shared" si="7"/>
        <v>6.3196057159445405E-4</v>
      </c>
      <c r="Q72">
        <f t="shared" si="8"/>
        <v>2.229567286533141E-2</v>
      </c>
      <c r="R72">
        <f t="shared" si="9"/>
        <v>2.4695253492816203E-4</v>
      </c>
      <c r="T72">
        <f t="shared" si="10"/>
        <v>4.5734445860325947E-4</v>
      </c>
      <c r="U72">
        <f t="shared" si="11"/>
        <v>1.4732145425213896E-3</v>
      </c>
    </row>
  </sheetData>
  <mergeCells count="4">
    <mergeCell ref="O3:P3"/>
    <mergeCell ref="Q3:R3"/>
    <mergeCell ref="I4:J4"/>
    <mergeCell ref="K4:L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1A72-13E0-5E4D-97F8-61F74BCE635C}">
  <dimension ref="A1:AV80"/>
  <sheetViews>
    <sheetView tabSelected="1" zoomScaleNormal="90" workbookViewId="0">
      <selection activeCell="K2" sqref="K2"/>
    </sheetView>
  </sheetViews>
  <sheetFormatPr baseColWidth="10" defaultRowHeight="16" x14ac:dyDescent="0.2"/>
  <cols>
    <col min="11" max="11" width="8.6640625" customWidth="1"/>
    <col min="13" max="14" width="14.33203125" customWidth="1"/>
    <col min="15" max="15" width="12.83203125" bestFit="1" customWidth="1"/>
    <col min="16" max="16" width="14.5" customWidth="1"/>
    <col min="17" max="17" width="8.5" customWidth="1"/>
    <col min="18" max="19" width="14.5" customWidth="1"/>
    <col min="21" max="21" width="5.1640625" customWidth="1"/>
    <col min="22" max="22" width="4.83203125" bestFit="1" customWidth="1"/>
    <col min="23" max="23" width="2.1640625" bestFit="1" customWidth="1"/>
    <col min="24" max="24" width="4.83203125" bestFit="1" customWidth="1"/>
    <col min="25" max="25" width="3.5" bestFit="1" customWidth="1"/>
    <col min="26" max="26" width="2.1640625" bestFit="1" customWidth="1"/>
    <col min="27" max="27" width="2.33203125" bestFit="1" customWidth="1"/>
    <col min="28" max="28" width="7.83203125" bestFit="1" customWidth="1"/>
    <col min="29" max="29" width="2.1640625" bestFit="1" customWidth="1"/>
    <col min="30" max="31" width="4.83203125" bestFit="1" customWidth="1"/>
    <col min="32" max="32" width="8.83203125" bestFit="1" customWidth="1"/>
    <col min="33" max="33" width="12.1640625" customWidth="1"/>
    <col min="34" max="34" width="4.83203125" customWidth="1"/>
    <col min="35" max="35" width="8.1640625" customWidth="1"/>
    <col min="36" max="36" width="5.1640625" customWidth="1"/>
    <col min="37" max="37" width="4.83203125" bestFit="1" customWidth="1"/>
    <col min="38" max="38" width="2.1640625" bestFit="1" customWidth="1"/>
    <col min="39" max="39" width="4.83203125" bestFit="1" customWidth="1"/>
    <col min="40" max="40" width="3.5" bestFit="1" customWidth="1"/>
    <col min="41" max="41" width="2.1640625" bestFit="1" customWidth="1"/>
    <col min="42" max="42" width="2.33203125" bestFit="1" customWidth="1"/>
    <col min="43" max="43" width="7.83203125" bestFit="1" customWidth="1"/>
    <col min="44" max="44" width="2.1640625" bestFit="1" customWidth="1"/>
    <col min="45" max="46" width="4.83203125" bestFit="1" customWidth="1"/>
    <col min="47" max="47" width="8.83203125" bestFit="1" customWidth="1"/>
    <col min="48" max="48" width="12.1640625" customWidth="1"/>
  </cols>
  <sheetData>
    <row r="1" spans="1:48" ht="17" customHeight="1" x14ac:dyDescent="0.2">
      <c r="J1" s="28" t="s">
        <v>387</v>
      </c>
      <c r="K1" s="29">
        <v>6.6000000000000003E-2</v>
      </c>
      <c r="L1" t="b">
        <f>AND(K1&gt;=0.03,K1&lt;=0.12)</f>
        <v>1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x14ac:dyDescent="0.2">
      <c r="F2" t="s">
        <v>309</v>
      </c>
      <c r="H2" t="s">
        <v>41</v>
      </c>
      <c r="M2" s="9">
        <f>+SUM(M4:M71)</f>
        <v>0.20189243241067428</v>
      </c>
      <c r="N2" s="9">
        <f>+SUM(N4:N71)</f>
        <v>0.79241453276982787</v>
      </c>
    </row>
    <row r="3" spans="1:48" x14ac:dyDescent="0.2">
      <c r="A3" t="s">
        <v>365</v>
      </c>
      <c r="B3" t="s">
        <v>366</v>
      </c>
      <c r="C3" t="s">
        <v>336</v>
      </c>
      <c r="D3" t="s">
        <v>367</v>
      </c>
      <c r="E3" t="s">
        <v>368</v>
      </c>
      <c r="F3" t="s">
        <v>382</v>
      </c>
      <c r="G3" t="s">
        <v>384</v>
      </c>
      <c r="H3" t="s">
        <v>382</v>
      </c>
      <c r="I3" t="s">
        <v>383</v>
      </c>
      <c r="K3" s="39" t="s">
        <v>394</v>
      </c>
      <c r="L3" s="40"/>
      <c r="M3" t="s">
        <v>390</v>
      </c>
      <c r="N3" t="s">
        <v>391</v>
      </c>
      <c r="O3" t="s">
        <v>392</v>
      </c>
      <c r="P3" t="s">
        <v>393</v>
      </c>
      <c r="Q3" s="41" t="s">
        <v>44</v>
      </c>
      <c r="R3" s="42"/>
      <c r="AF3" t="s">
        <v>388</v>
      </c>
      <c r="AG3" t="s">
        <v>389</v>
      </c>
      <c r="AU3" t="s">
        <v>388</v>
      </c>
      <c r="AV3" t="s">
        <v>389</v>
      </c>
    </row>
    <row r="4" spans="1:48" x14ac:dyDescent="0.2">
      <c r="A4">
        <v>1</v>
      </c>
      <c r="B4">
        <v>1</v>
      </c>
      <c r="C4" t="s">
        <v>113</v>
      </c>
      <c r="D4" t="s">
        <v>114</v>
      </c>
      <c r="E4" t="s">
        <v>114</v>
      </c>
      <c r="F4">
        <v>-0.42191096142770507</v>
      </c>
      <c r="G4">
        <v>5.6925799484506476E-2</v>
      </c>
      <c r="H4">
        <v>0.42134723645015965</v>
      </c>
      <c r="I4">
        <v>8.54482318155316E-2</v>
      </c>
      <c r="K4" s="30" t="s">
        <v>114</v>
      </c>
      <c r="L4" s="30">
        <v>140</v>
      </c>
      <c r="M4" s="37">
        <f t="shared" ref="M4:M35" si="0">IF($L$1,F4*$K$1+G4,0)</f>
        <v>2.9079676030277939E-2</v>
      </c>
      <c r="N4" s="37">
        <f t="shared" ref="N4:N35" si="1">IF($L$1,H4*$K$1+I4,0)</f>
        <v>0.11325714942124214</v>
      </c>
      <c r="O4" s="34">
        <f t="shared" ref="O4:O35" si="2">+M4*$L$72/U4</f>
        <v>6.6592458109336476</v>
      </c>
      <c r="P4" s="34">
        <f t="shared" ref="P4:P35" si="3">+N4*$L$73/AJ4</f>
        <v>16.988572413186322</v>
      </c>
      <c r="Q4" s="31" t="s">
        <v>114</v>
      </c>
      <c r="R4" s="32">
        <f>+L4+O4+P4</f>
        <v>163.64781822411996</v>
      </c>
      <c r="S4" s="33">
        <f>+R4-L4</f>
        <v>23.647818224119959</v>
      </c>
      <c r="U4" s="13">
        <v>1</v>
      </c>
      <c r="V4" s="13" t="s">
        <v>309</v>
      </c>
      <c r="W4" s="13" t="s">
        <v>310</v>
      </c>
      <c r="X4" s="13">
        <v>4</v>
      </c>
      <c r="Y4" s="13" t="s">
        <v>42</v>
      </c>
      <c r="Z4" s="13" t="s">
        <v>311</v>
      </c>
      <c r="AA4" s="13">
        <v>1</v>
      </c>
      <c r="AB4" s="13" t="s">
        <v>114</v>
      </c>
      <c r="AC4" s="13" t="s">
        <v>310</v>
      </c>
      <c r="AD4" s="13">
        <v>2</v>
      </c>
      <c r="AE4" s="13" t="s">
        <v>312</v>
      </c>
      <c r="AF4" s="1">
        <f t="shared" ref="AF4:AF35" si="4">+O4*X4</f>
        <v>26.636983243734591</v>
      </c>
      <c r="AG4" s="1">
        <f>+AD4*O4</f>
        <v>13.318491621867295</v>
      </c>
      <c r="AH4" s="1"/>
      <c r="AI4" s="1"/>
      <c r="AJ4" s="13">
        <f t="shared" ref="AJ4:AJ35" si="5">U4</f>
        <v>1</v>
      </c>
      <c r="AK4" s="13" t="s">
        <v>41</v>
      </c>
      <c r="AL4" s="13" t="str">
        <f t="shared" ref="AL4:AL35" si="6">W4</f>
        <v>+</v>
      </c>
      <c r="AM4" s="13">
        <f t="shared" ref="AM4:AM35" si="7">+X4-AJ4</f>
        <v>3</v>
      </c>
      <c r="AN4" s="13" t="str">
        <f t="shared" ref="AN4:AN35" si="8">Y4</f>
        <v>H2</v>
      </c>
      <c r="AO4" s="13" t="str">
        <f t="shared" ref="AO4:AO35" si="9">Z4</f>
        <v>=</v>
      </c>
      <c r="AP4" s="13">
        <f t="shared" ref="AP4:AP35" si="10">AA4</f>
        <v>1</v>
      </c>
      <c r="AQ4" s="13" t="str">
        <f t="shared" ref="AQ4:AQ35" si="11">AB4</f>
        <v>CH4</v>
      </c>
      <c r="AR4" s="13" t="str">
        <f t="shared" ref="AR4:AR35" si="12">AC4</f>
        <v>+</v>
      </c>
      <c r="AS4" s="13">
        <f>+AJ4</f>
        <v>1</v>
      </c>
      <c r="AT4" s="13" t="str">
        <f t="shared" ref="AT4:AT35" si="13">+AE4</f>
        <v>H2O</v>
      </c>
      <c r="AU4" s="1">
        <f>+P4*AM4</f>
        <v>50.96571723955897</v>
      </c>
      <c r="AV4" s="1">
        <f>+AS4*P4</f>
        <v>16.988572413186322</v>
      </c>
    </row>
    <row r="5" spans="1:48" x14ac:dyDescent="0.2">
      <c r="A5">
        <v>2</v>
      </c>
      <c r="B5">
        <v>1</v>
      </c>
      <c r="C5" t="s">
        <v>115</v>
      </c>
      <c r="D5" t="s">
        <v>116</v>
      </c>
      <c r="E5" t="s">
        <v>117</v>
      </c>
      <c r="F5">
        <v>-1.565307814836818E-2</v>
      </c>
      <c r="G5">
        <v>2.7883494389970504E-3</v>
      </c>
      <c r="H5">
        <v>7.9167557956915963E-2</v>
      </c>
      <c r="I5">
        <v>1.8544921249596755E-3</v>
      </c>
      <c r="K5" s="30" t="s">
        <v>117</v>
      </c>
      <c r="L5" s="30"/>
      <c r="M5" s="37">
        <f t="shared" si="0"/>
        <v>1.7552462812047505E-3</v>
      </c>
      <c r="N5" s="37">
        <f t="shared" si="1"/>
        <v>7.0795509501161294E-3</v>
      </c>
      <c r="O5" s="34">
        <f t="shared" si="2"/>
        <v>0.40195139839588784</v>
      </c>
      <c r="P5" s="34">
        <f t="shared" si="3"/>
        <v>1.0619326425174194</v>
      </c>
      <c r="Q5" s="31" t="s">
        <v>117</v>
      </c>
      <c r="R5" s="32">
        <f t="shared" ref="R4:R35" si="14">+L5+O5+P5</f>
        <v>1.4638840409133071</v>
      </c>
      <c r="S5">
        <f>+R5*U5</f>
        <v>1.4638840409133071</v>
      </c>
      <c r="U5" s="13">
        <v>1</v>
      </c>
      <c r="V5" s="13" t="s">
        <v>309</v>
      </c>
      <c r="W5" s="13" t="s">
        <v>310</v>
      </c>
      <c r="X5" s="13">
        <v>3</v>
      </c>
      <c r="Y5" s="13" t="s">
        <v>42</v>
      </c>
      <c r="Z5" s="13" t="s">
        <v>311</v>
      </c>
      <c r="AA5" s="13">
        <v>1</v>
      </c>
      <c r="AB5" s="13" t="s">
        <v>116</v>
      </c>
      <c r="AC5" s="13" t="s">
        <v>310</v>
      </c>
      <c r="AD5" s="13">
        <v>1</v>
      </c>
      <c r="AE5" s="13" t="s">
        <v>312</v>
      </c>
      <c r="AF5" s="1">
        <f t="shared" si="4"/>
        <v>1.2058541951876636</v>
      </c>
      <c r="AG5" s="1">
        <f t="shared" ref="AG5:AG68" si="15">+AD5*O5</f>
        <v>0.40195139839588784</v>
      </c>
      <c r="AH5" s="1"/>
      <c r="AI5" s="1"/>
      <c r="AJ5" s="13">
        <f t="shared" si="5"/>
        <v>1</v>
      </c>
      <c r="AK5" s="13" t="s">
        <v>41</v>
      </c>
      <c r="AL5" s="13" t="str">
        <f t="shared" si="6"/>
        <v>+</v>
      </c>
      <c r="AM5" s="13">
        <f t="shared" si="7"/>
        <v>2</v>
      </c>
      <c r="AN5" s="13" t="str">
        <f t="shared" si="8"/>
        <v>H2</v>
      </c>
      <c r="AO5" s="13" t="str">
        <f t="shared" si="9"/>
        <v>=</v>
      </c>
      <c r="AP5" s="13">
        <f t="shared" si="10"/>
        <v>1</v>
      </c>
      <c r="AQ5" s="13" t="str">
        <f t="shared" si="11"/>
        <v>CH4O</v>
      </c>
      <c r="AR5" s="13" t="str">
        <f t="shared" si="12"/>
        <v>+</v>
      </c>
      <c r="AS5" s="13">
        <v>0</v>
      </c>
      <c r="AT5" s="13" t="str">
        <f t="shared" si="13"/>
        <v>H2O</v>
      </c>
      <c r="AU5" s="1">
        <f t="shared" ref="AU5:AU68" si="16">+P5*AM5</f>
        <v>2.1238652850348387</v>
      </c>
      <c r="AV5" s="1">
        <f t="shared" ref="AV5:AV68" si="17">+AS5*P5</f>
        <v>0</v>
      </c>
    </row>
    <row r="6" spans="1:48" x14ac:dyDescent="0.2">
      <c r="A6">
        <v>3</v>
      </c>
      <c r="B6">
        <v>2</v>
      </c>
      <c r="C6" t="s">
        <v>118</v>
      </c>
      <c r="D6" t="s">
        <v>119</v>
      </c>
      <c r="E6" t="s">
        <v>120</v>
      </c>
      <c r="F6">
        <v>-5.6348297964139857E-2</v>
      </c>
      <c r="G6">
        <v>7.5968078376553606E-3</v>
      </c>
      <c r="H6">
        <v>5.5717427979477333E-2</v>
      </c>
      <c r="I6">
        <v>1.1423539288892677E-2</v>
      </c>
      <c r="K6" s="30" t="s">
        <v>120</v>
      </c>
      <c r="L6" s="30"/>
      <c r="M6" s="37">
        <f t="shared" si="0"/>
        <v>3.8778201720221298E-3</v>
      </c>
      <c r="N6" s="37">
        <f t="shared" si="1"/>
        <v>1.5100889535538181E-2</v>
      </c>
      <c r="O6" s="34">
        <f t="shared" si="2"/>
        <v>0.44401040969653388</v>
      </c>
      <c r="P6" s="34">
        <f t="shared" si="3"/>
        <v>1.1325667151653636</v>
      </c>
      <c r="Q6" s="31" t="s">
        <v>120</v>
      </c>
      <c r="R6" s="32">
        <f t="shared" si="14"/>
        <v>1.5765771248618974</v>
      </c>
      <c r="S6">
        <f t="shared" ref="S6:S69" si="18">+R6*U6</f>
        <v>3.1531542497237948</v>
      </c>
      <c r="U6" s="13">
        <v>2</v>
      </c>
      <c r="V6" s="13" t="s">
        <v>309</v>
      </c>
      <c r="W6" s="13" t="s">
        <v>310</v>
      </c>
      <c r="X6" s="13">
        <v>7</v>
      </c>
      <c r="Y6" s="13" t="s">
        <v>42</v>
      </c>
      <c r="Z6" s="13" t="s">
        <v>311</v>
      </c>
      <c r="AA6" s="13">
        <v>1</v>
      </c>
      <c r="AB6" s="13" t="s">
        <v>119</v>
      </c>
      <c r="AC6" s="13" t="s">
        <v>310</v>
      </c>
      <c r="AD6" s="13">
        <v>4</v>
      </c>
      <c r="AE6" s="13" t="s">
        <v>312</v>
      </c>
      <c r="AF6" s="1">
        <f t="shared" si="4"/>
        <v>3.108072867875737</v>
      </c>
      <c r="AG6" s="1">
        <f t="shared" si="15"/>
        <v>1.7760416387861355</v>
      </c>
      <c r="AH6" s="1"/>
      <c r="AI6" s="1"/>
      <c r="AJ6" s="13">
        <f t="shared" si="5"/>
        <v>2</v>
      </c>
      <c r="AK6" s="13" t="s">
        <v>41</v>
      </c>
      <c r="AL6" s="13" t="str">
        <f t="shared" si="6"/>
        <v>+</v>
      </c>
      <c r="AM6" s="13">
        <f t="shared" si="7"/>
        <v>5</v>
      </c>
      <c r="AN6" s="13" t="str">
        <f t="shared" si="8"/>
        <v>H2</v>
      </c>
      <c r="AO6" s="13" t="str">
        <f t="shared" si="9"/>
        <v>=</v>
      </c>
      <c r="AP6" s="13">
        <f t="shared" si="10"/>
        <v>1</v>
      </c>
      <c r="AQ6" s="13" t="str">
        <f t="shared" si="11"/>
        <v>C2H6</v>
      </c>
      <c r="AR6" s="13" t="str">
        <f t="shared" si="12"/>
        <v>+</v>
      </c>
      <c r="AS6" s="13">
        <f t="shared" ref="AS6:AS69" si="19">+AJ6</f>
        <v>2</v>
      </c>
      <c r="AT6" s="13" t="str">
        <f t="shared" si="13"/>
        <v>H2O</v>
      </c>
      <c r="AU6" s="1">
        <f t="shared" si="16"/>
        <v>5.6628335758268182</v>
      </c>
      <c r="AV6" s="1">
        <f t="shared" si="17"/>
        <v>2.2651334303307271</v>
      </c>
    </row>
    <row r="7" spans="1:48" x14ac:dyDescent="0.2">
      <c r="A7">
        <v>4</v>
      </c>
      <c r="B7">
        <v>2</v>
      </c>
      <c r="C7" t="s">
        <v>121</v>
      </c>
      <c r="D7" t="s">
        <v>122</v>
      </c>
      <c r="E7" t="s">
        <v>123</v>
      </c>
      <c r="F7">
        <v>-0.19019526338481457</v>
      </c>
      <c r="G7">
        <v>2.8190737667192045E-2</v>
      </c>
      <c r="H7">
        <v>0.42749126671511556</v>
      </c>
      <c r="I7">
        <v>3.3600492940832311E-2</v>
      </c>
      <c r="K7" s="30" t="s">
        <v>123</v>
      </c>
      <c r="L7" s="30"/>
      <c r="M7" s="37">
        <f t="shared" si="0"/>
        <v>1.5637850283794281E-2</v>
      </c>
      <c r="N7" s="37">
        <f t="shared" si="1"/>
        <v>6.1814916544029944E-2</v>
      </c>
      <c r="O7" s="34">
        <f t="shared" si="2"/>
        <v>1.7905338574944452</v>
      </c>
      <c r="P7" s="34">
        <f t="shared" si="3"/>
        <v>4.636118740802246</v>
      </c>
      <c r="Q7" s="31" t="s">
        <v>123</v>
      </c>
      <c r="R7" s="32">
        <f t="shared" si="14"/>
        <v>6.4266525982966911</v>
      </c>
      <c r="S7">
        <f t="shared" si="18"/>
        <v>12.853305196593382</v>
      </c>
      <c r="U7" s="13">
        <v>2</v>
      </c>
      <c r="V7" s="13" t="s">
        <v>309</v>
      </c>
      <c r="W7" s="13" t="s">
        <v>310</v>
      </c>
      <c r="X7" s="13">
        <v>6</v>
      </c>
      <c r="Y7" s="13" t="s">
        <v>42</v>
      </c>
      <c r="Z7" s="13" t="s">
        <v>311</v>
      </c>
      <c r="AA7" s="13">
        <v>1</v>
      </c>
      <c r="AB7" s="13" t="s">
        <v>122</v>
      </c>
      <c r="AC7" s="13" t="s">
        <v>310</v>
      </c>
      <c r="AD7" s="13">
        <v>4</v>
      </c>
      <c r="AE7" s="13" t="s">
        <v>312</v>
      </c>
      <c r="AF7" s="1">
        <f t="shared" si="4"/>
        <v>10.743203144966671</v>
      </c>
      <c r="AG7" s="1">
        <f t="shared" si="15"/>
        <v>7.1621354299777806</v>
      </c>
      <c r="AH7" s="1"/>
      <c r="AI7" s="1"/>
      <c r="AJ7" s="13">
        <f t="shared" si="5"/>
        <v>2</v>
      </c>
      <c r="AK7" s="13" t="s">
        <v>41</v>
      </c>
      <c r="AL7" s="13" t="str">
        <f t="shared" si="6"/>
        <v>+</v>
      </c>
      <c r="AM7" s="13">
        <f t="shared" si="7"/>
        <v>4</v>
      </c>
      <c r="AN7" s="13" t="str">
        <f t="shared" si="8"/>
        <v>H2</v>
      </c>
      <c r="AO7" s="13" t="str">
        <f t="shared" si="9"/>
        <v>=</v>
      </c>
      <c r="AP7" s="13">
        <f t="shared" si="10"/>
        <v>1</v>
      </c>
      <c r="AQ7" s="13" t="str">
        <f t="shared" si="11"/>
        <v>C2H4</v>
      </c>
      <c r="AR7" s="13" t="str">
        <f t="shared" si="12"/>
        <v>+</v>
      </c>
      <c r="AS7" s="13">
        <f t="shared" si="19"/>
        <v>2</v>
      </c>
      <c r="AT7" s="13" t="str">
        <f t="shared" si="13"/>
        <v>H2O</v>
      </c>
      <c r="AU7" s="1">
        <f t="shared" si="16"/>
        <v>18.544474963208984</v>
      </c>
      <c r="AV7" s="1">
        <f t="shared" si="17"/>
        <v>9.2722374816044919</v>
      </c>
    </row>
    <row r="8" spans="1:48" x14ac:dyDescent="0.2">
      <c r="A8">
        <v>5</v>
      </c>
      <c r="B8">
        <v>3</v>
      </c>
      <c r="C8" t="s">
        <v>124</v>
      </c>
      <c r="D8" t="s">
        <v>125</v>
      </c>
      <c r="E8" t="s">
        <v>126</v>
      </c>
      <c r="F8">
        <v>-3.3934524851379815E-2</v>
      </c>
      <c r="G8">
        <v>4.7899773611590913E-3</v>
      </c>
      <c r="H8">
        <v>5.3747444661743908E-2</v>
      </c>
      <c r="I8">
        <v>6.461427529202023E-3</v>
      </c>
      <c r="K8" s="30" t="s">
        <v>126</v>
      </c>
      <c r="L8" s="30"/>
      <c r="M8" s="37">
        <f t="shared" si="0"/>
        <v>2.5502987209680235E-3</v>
      </c>
      <c r="N8" s="37">
        <f t="shared" si="1"/>
        <v>1.0008758876877121E-2</v>
      </c>
      <c r="O8" s="34">
        <f t="shared" si="2"/>
        <v>0.19467280236722581</v>
      </c>
      <c r="P8" s="34">
        <f t="shared" si="3"/>
        <v>0.50043794384385609</v>
      </c>
      <c r="Q8" s="31" t="s">
        <v>126</v>
      </c>
      <c r="R8" s="32">
        <f t="shared" si="14"/>
        <v>0.69511074621108193</v>
      </c>
      <c r="S8">
        <f t="shared" si="18"/>
        <v>2.0853322386332458</v>
      </c>
      <c r="U8" s="13">
        <v>3</v>
      </c>
      <c r="V8" s="13" t="s">
        <v>309</v>
      </c>
      <c r="W8" s="13" t="s">
        <v>310</v>
      </c>
      <c r="X8" s="13">
        <v>10</v>
      </c>
      <c r="Y8" s="13" t="s">
        <v>42</v>
      </c>
      <c r="Z8" s="13" t="s">
        <v>311</v>
      </c>
      <c r="AA8" s="13">
        <v>1</v>
      </c>
      <c r="AB8" s="13" t="s">
        <v>125</v>
      </c>
      <c r="AC8" s="13" t="s">
        <v>310</v>
      </c>
      <c r="AD8" s="13">
        <v>6</v>
      </c>
      <c r="AE8" s="13" t="s">
        <v>312</v>
      </c>
      <c r="AF8" s="1">
        <f t="shared" si="4"/>
        <v>1.9467280236722582</v>
      </c>
      <c r="AG8" s="1">
        <f t="shared" si="15"/>
        <v>1.1680368142033548</v>
      </c>
      <c r="AH8" s="1"/>
      <c r="AI8" s="1"/>
      <c r="AJ8" s="13">
        <f t="shared" si="5"/>
        <v>3</v>
      </c>
      <c r="AK8" s="13" t="s">
        <v>41</v>
      </c>
      <c r="AL8" s="13" t="str">
        <f t="shared" si="6"/>
        <v>+</v>
      </c>
      <c r="AM8" s="13">
        <f t="shared" si="7"/>
        <v>7</v>
      </c>
      <c r="AN8" s="13" t="str">
        <f t="shared" si="8"/>
        <v>H2</v>
      </c>
      <c r="AO8" s="13" t="str">
        <f t="shared" si="9"/>
        <v>=</v>
      </c>
      <c r="AP8" s="13">
        <f t="shared" si="10"/>
        <v>1</v>
      </c>
      <c r="AQ8" s="13" t="str">
        <f t="shared" si="11"/>
        <v>C3H8</v>
      </c>
      <c r="AR8" s="13" t="str">
        <f t="shared" si="12"/>
        <v>+</v>
      </c>
      <c r="AS8" s="13">
        <f t="shared" si="19"/>
        <v>3</v>
      </c>
      <c r="AT8" s="13" t="str">
        <f t="shared" si="13"/>
        <v>H2O</v>
      </c>
      <c r="AU8" s="1">
        <f t="shared" si="16"/>
        <v>3.5030656069069925</v>
      </c>
      <c r="AV8" s="1">
        <f t="shared" si="17"/>
        <v>1.5013138315315682</v>
      </c>
    </row>
    <row r="9" spans="1:48" x14ac:dyDescent="0.2">
      <c r="A9">
        <v>6</v>
      </c>
      <c r="B9">
        <v>3</v>
      </c>
      <c r="C9" t="s">
        <v>127</v>
      </c>
      <c r="D9" t="s">
        <v>128</v>
      </c>
      <c r="E9" t="s">
        <v>129</v>
      </c>
      <c r="F9">
        <v>-0.29103995480445183</v>
      </c>
      <c r="G9">
        <v>4.2744659369803442E-2</v>
      </c>
      <c r="H9">
        <v>0.61721193511729444</v>
      </c>
      <c r="I9">
        <v>5.2181024564220843E-2</v>
      </c>
      <c r="K9" s="30" t="s">
        <v>129</v>
      </c>
      <c r="L9" s="30"/>
      <c r="M9" s="37">
        <f t="shared" si="0"/>
        <v>2.3536022352709622E-2</v>
      </c>
      <c r="N9" s="37">
        <f t="shared" si="1"/>
        <v>9.291701228196228E-2</v>
      </c>
      <c r="O9" s="34">
        <f t="shared" si="2"/>
        <v>1.7965830395901679</v>
      </c>
      <c r="P9" s="34">
        <f t="shared" si="3"/>
        <v>4.645850614098114</v>
      </c>
      <c r="Q9" s="31" t="s">
        <v>129</v>
      </c>
      <c r="R9" s="32">
        <f>+L9+O9+P9</f>
        <v>6.4424336536882816</v>
      </c>
      <c r="S9">
        <f t="shared" si="18"/>
        <v>19.327300961064843</v>
      </c>
      <c r="U9" s="13">
        <v>3</v>
      </c>
      <c r="V9" s="13" t="s">
        <v>309</v>
      </c>
      <c r="W9" s="13" t="s">
        <v>310</v>
      </c>
      <c r="X9" s="13">
        <v>9</v>
      </c>
      <c r="Y9" s="13" t="s">
        <v>42</v>
      </c>
      <c r="Z9" s="13" t="s">
        <v>311</v>
      </c>
      <c r="AA9" s="13">
        <v>1</v>
      </c>
      <c r="AB9" s="13" t="s">
        <v>313</v>
      </c>
      <c r="AC9" s="13" t="s">
        <v>310</v>
      </c>
      <c r="AD9" s="13">
        <v>6</v>
      </c>
      <c r="AE9" s="13" t="s">
        <v>312</v>
      </c>
      <c r="AF9" s="1">
        <f t="shared" si="4"/>
        <v>16.169247356311512</v>
      </c>
      <c r="AG9" s="1">
        <f t="shared" si="15"/>
        <v>10.779498237541008</v>
      </c>
      <c r="AH9" s="1"/>
      <c r="AI9" s="1"/>
      <c r="AJ9" s="13">
        <f t="shared" si="5"/>
        <v>3</v>
      </c>
      <c r="AK9" s="13" t="s">
        <v>41</v>
      </c>
      <c r="AL9" s="13" t="str">
        <f t="shared" si="6"/>
        <v>+</v>
      </c>
      <c r="AM9" s="13">
        <f t="shared" si="7"/>
        <v>6</v>
      </c>
      <c r="AN9" s="13" t="str">
        <f t="shared" si="8"/>
        <v>H2</v>
      </c>
      <c r="AO9" s="13" t="str">
        <f t="shared" si="9"/>
        <v>=</v>
      </c>
      <c r="AP9" s="13">
        <f t="shared" si="10"/>
        <v>1</v>
      </c>
      <c r="AQ9" s="13" t="str">
        <f t="shared" si="11"/>
        <v>C3H6</v>
      </c>
      <c r="AR9" s="13" t="str">
        <f t="shared" si="12"/>
        <v>+</v>
      </c>
      <c r="AS9" s="13">
        <f t="shared" si="19"/>
        <v>3</v>
      </c>
      <c r="AT9" s="13" t="str">
        <f t="shared" si="13"/>
        <v>H2O</v>
      </c>
      <c r="AU9" s="1">
        <f t="shared" si="16"/>
        <v>27.875103684588684</v>
      </c>
      <c r="AV9" s="1">
        <f t="shared" si="17"/>
        <v>13.937551842294342</v>
      </c>
    </row>
    <row r="10" spans="1:48" x14ac:dyDescent="0.2">
      <c r="A10">
        <v>7</v>
      </c>
      <c r="B10">
        <v>4</v>
      </c>
      <c r="C10" t="s">
        <v>130</v>
      </c>
      <c r="D10" t="s">
        <v>131</v>
      </c>
      <c r="E10" t="s">
        <v>132</v>
      </c>
      <c r="F10">
        <v>-3.2527207323274202E-2</v>
      </c>
      <c r="G10">
        <v>4.5919775854091132E-3</v>
      </c>
      <c r="H10">
        <v>5.1579327632474838E-2</v>
      </c>
      <c r="I10">
        <v>6.192201535350628E-3</v>
      </c>
      <c r="K10" s="30" t="s">
        <v>132</v>
      </c>
      <c r="L10" s="30"/>
      <c r="M10" s="37">
        <f t="shared" si="0"/>
        <v>2.4451819020730159E-3</v>
      </c>
      <c r="N10" s="37">
        <f t="shared" si="1"/>
        <v>9.5964371590939665E-3</v>
      </c>
      <c r="O10" s="34">
        <f t="shared" si="2"/>
        <v>0.13998666389368017</v>
      </c>
      <c r="P10" s="34">
        <f t="shared" si="3"/>
        <v>0.35986639346602373</v>
      </c>
      <c r="Q10" s="31" t="s">
        <v>132</v>
      </c>
      <c r="R10" s="32">
        <f t="shared" si="14"/>
        <v>0.49985305735970387</v>
      </c>
      <c r="S10">
        <f t="shared" si="18"/>
        <v>1.9994122294388155</v>
      </c>
      <c r="U10" s="13">
        <v>4</v>
      </c>
      <c r="V10" s="13" t="s">
        <v>309</v>
      </c>
      <c r="W10" s="13" t="s">
        <v>310</v>
      </c>
      <c r="X10" s="13">
        <v>13</v>
      </c>
      <c r="Y10" s="13" t="s">
        <v>42</v>
      </c>
      <c r="Z10" s="13" t="s">
        <v>311</v>
      </c>
      <c r="AA10" s="13">
        <v>1</v>
      </c>
      <c r="AB10" s="13" t="s">
        <v>314</v>
      </c>
      <c r="AC10" s="13" t="s">
        <v>310</v>
      </c>
      <c r="AD10" s="13">
        <v>8</v>
      </c>
      <c r="AE10" s="13" t="s">
        <v>312</v>
      </c>
      <c r="AF10" s="1">
        <f t="shared" si="4"/>
        <v>1.8198266306178421</v>
      </c>
      <c r="AG10" s="1">
        <f t="shared" si="15"/>
        <v>1.1198933111494414</v>
      </c>
      <c r="AH10" s="1"/>
      <c r="AI10" s="1"/>
      <c r="AJ10" s="13">
        <f t="shared" si="5"/>
        <v>4</v>
      </c>
      <c r="AK10" s="13" t="s">
        <v>41</v>
      </c>
      <c r="AL10" s="13" t="str">
        <f t="shared" si="6"/>
        <v>+</v>
      </c>
      <c r="AM10" s="13">
        <f t="shared" si="7"/>
        <v>9</v>
      </c>
      <c r="AN10" s="13" t="str">
        <f t="shared" si="8"/>
        <v>H2</v>
      </c>
      <c r="AO10" s="13" t="str">
        <f t="shared" si="9"/>
        <v>=</v>
      </c>
      <c r="AP10" s="13">
        <f t="shared" si="10"/>
        <v>1</v>
      </c>
      <c r="AQ10" s="13" t="str">
        <f t="shared" si="11"/>
        <v>C4H10</v>
      </c>
      <c r="AR10" s="13" t="str">
        <f t="shared" si="12"/>
        <v>+</v>
      </c>
      <c r="AS10" s="13">
        <f t="shared" si="19"/>
        <v>4</v>
      </c>
      <c r="AT10" s="13" t="str">
        <f t="shared" si="13"/>
        <v>H2O</v>
      </c>
      <c r="AU10" s="1">
        <f t="shared" si="16"/>
        <v>3.2387975411942134</v>
      </c>
      <c r="AV10" s="1">
        <f t="shared" si="17"/>
        <v>1.4394655738640949</v>
      </c>
    </row>
    <row r="11" spans="1:48" x14ac:dyDescent="0.2">
      <c r="A11">
        <v>8</v>
      </c>
      <c r="B11">
        <v>4</v>
      </c>
      <c r="C11" t="s">
        <v>133</v>
      </c>
      <c r="D11" t="s">
        <v>134</v>
      </c>
      <c r="E11" t="s">
        <v>135</v>
      </c>
      <c r="F11">
        <v>-1.0774746652963574E-3</v>
      </c>
      <c r="G11">
        <v>1.4264260327107866E-4</v>
      </c>
      <c r="H11">
        <v>8.1918968533377476E-4</v>
      </c>
      <c r="I11">
        <v>2.2353606584803079E-4</v>
      </c>
      <c r="K11" s="30" t="s">
        <v>135</v>
      </c>
      <c r="L11" s="30"/>
      <c r="M11" s="37">
        <f t="shared" si="0"/>
        <v>7.1529275361519067E-5</v>
      </c>
      <c r="N11" s="37">
        <f t="shared" si="1"/>
        <v>2.7760258508005992E-4</v>
      </c>
      <c r="O11" s="34">
        <f t="shared" si="2"/>
        <v>4.0950510144469668E-3</v>
      </c>
      <c r="P11" s="34">
        <f t="shared" si="3"/>
        <v>1.0410096940502248E-2</v>
      </c>
      <c r="Q11" s="31" t="s">
        <v>135</v>
      </c>
      <c r="R11" s="32">
        <f t="shared" si="14"/>
        <v>1.4505147954949215E-2</v>
      </c>
      <c r="S11">
        <f t="shared" si="18"/>
        <v>5.8020591819796859E-2</v>
      </c>
      <c r="U11" s="13">
        <v>4</v>
      </c>
      <c r="V11" s="13" t="s">
        <v>309</v>
      </c>
      <c r="W11" s="13" t="s">
        <v>310</v>
      </c>
      <c r="X11" s="13">
        <v>13</v>
      </c>
      <c r="Y11" s="13" t="s">
        <v>42</v>
      </c>
      <c r="Z11" s="13" t="s">
        <v>311</v>
      </c>
      <c r="AA11" s="13">
        <v>1</v>
      </c>
      <c r="AB11" s="13" t="s">
        <v>314</v>
      </c>
      <c r="AC11" s="13" t="s">
        <v>310</v>
      </c>
      <c r="AD11" s="13">
        <v>8</v>
      </c>
      <c r="AE11" s="13" t="s">
        <v>312</v>
      </c>
      <c r="AF11" s="1">
        <f t="shared" si="4"/>
        <v>5.3235663187810568E-2</v>
      </c>
      <c r="AG11" s="1">
        <f t="shared" si="15"/>
        <v>3.2760408115575734E-2</v>
      </c>
      <c r="AH11" s="1"/>
      <c r="AI11" s="1"/>
      <c r="AJ11" s="13">
        <f t="shared" si="5"/>
        <v>4</v>
      </c>
      <c r="AK11" s="13" t="s">
        <v>41</v>
      </c>
      <c r="AL11" s="13" t="str">
        <f t="shared" si="6"/>
        <v>+</v>
      </c>
      <c r="AM11" s="13">
        <f t="shared" si="7"/>
        <v>9</v>
      </c>
      <c r="AN11" s="13" t="str">
        <f t="shared" si="8"/>
        <v>H2</v>
      </c>
      <c r="AO11" s="13" t="str">
        <f t="shared" si="9"/>
        <v>=</v>
      </c>
      <c r="AP11" s="13">
        <f t="shared" si="10"/>
        <v>1</v>
      </c>
      <c r="AQ11" s="13" t="str">
        <f t="shared" si="11"/>
        <v>C4H10</v>
      </c>
      <c r="AR11" s="13" t="str">
        <f t="shared" si="12"/>
        <v>+</v>
      </c>
      <c r="AS11" s="13">
        <f t="shared" si="19"/>
        <v>4</v>
      </c>
      <c r="AT11" s="13" t="str">
        <f t="shared" si="13"/>
        <v>H2O</v>
      </c>
      <c r="AU11" s="1">
        <f t="shared" si="16"/>
        <v>9.3690872464520236E-2</v>
      </c>
      <c r="AV11" s="1">
        <f t="shared" si="17"/>
        <v>4.1640387762008992E-2</v>
      </c>
    </row>
    <row r="12" spans="1:48" x14ac:dyDescent="0.2">
      <c r="A12">
        <v>9</v>
      </c>
      <c r="B12">
        <v>4</v>
      </c>
      <c r="C12" t="s">
        <v>136</v>
      </c>
      <c r="D12" t="s">
        <v>137</v>
      </c>
      <c r="E12" t="s">
        <v>138</v>
      </c>
      <c r="F12">
        <v>-0.22759998932785483</v>
      </c>
      <c r="G12">
        <v>3.3589610064327785E-2</v>
      </c>
      <c r="H12">
        <v>0.49791926113902496</v>
      </c>
      <c r="I12">
        <v>4.0491076424400391E-2</v>
      </c>
      <c r="K12" s="30" t="s">
        <v>138</v>
      </c>
      <c r="L12" s="30"/>
      <c r="M12" s="37">
        <f t="shared" si="0"/>
        <v>1.8568010768689365E-2</v>
      </c>
      <c r="N12" s="37">
        <f t="shared" si="1"/>
        <v>7.335374765957603E-2</v>
      </c>
      <c r="O12" s="34">
        <f t="shared" si="2"/>
        <v>1.0630186165074662</v>
      </c>
      <c r="P12" s="34">
        <f t="shared" si="3"/>
        <v>2.7507655372341011</v>
      </c>
      <c r="Q12" s="31" t="s">
        <v>138</v>
      </c>
      <c r="R12" s="32">
        <f t="shared" si="14"/>
        <v>3.8137841537415671</v>
      </c>
      <c r="S12">
        <f t="shared" si="18"/>
        <v>15.255136614966268</v>
      </c>
      <c r="U12" s="13">
        <v>4</v>
      </c>
      <c r="V12" s="13" t="s">
        <v>309</v>
      </c>
      <c r="W12" s="13" t="s">
        <v>310</v>
      </c>
      <c r="X12" s="13">
        <v>12</v>
      </c>
      <c r="Y12" s="13" t="s">
        <v>42</v>
      </c>
      <c r="Z12" s="13" t="s">
        <v>311</v>
      </c>
      <c r="AA12" s="13">
        <v>1</v>
      </c>
      <c r="AB12" s="13" t="s">
        <v>315</v>
      </c>
      <c r="AC12" s="13" t="s">
        <v>310</v>
      </c>
      <c r="AD12" s="13">
        <v>8</v>
      </c>
      <c r="AE12" s="13" t="s">
        <v>312</v>
      </c>
      <c r="AF12" s="1">
        <f t="shared" si="4"/>
        <v>12.756223398089595</v>
      </c>
      <c r="AG12" s="1">
        <f t="shared" si="15"/>
        <v>8.5041489320597297</v>
      </c>
      <c r="AH12" s="1"/>
      <c r="AI12" s="1"/>
      <c r="AJ12" s="13">
        <f t="shared" si="5"/>
        <v>4</v>
      </c>
      <c r="AK12" s="13" t="s">
        <v>41</v>
      </c>
      <c r="AL12" s="13" t="str">
        <f t="shared" si="6"/>
        <v>+</v>
      </c>
      <c r="AM12" s="13">
        <f t="shared" si="7"/>
        <v>8</v>
      </c>
      <c r="AN12" s="13" t="str">
        <f t="shared" si="8"/>
        <v>H2</v>
      </c>
      <c r="AO12" s="13" t="str">
        <f t="shared" si="9"/>
        <v>=</v>
      </c>
      <c r="AP12" s="13">
        <f t="shared" si="10"/>
        <v>1</v>
      </c>
      <c r="AQ12" s="13" t="str">
        <f t="shared" si="11"/>
        <v>C4H8</v>
      </c>
      <c r="AR12" s="13" t="str">
        <f t="shared" si="12"/>
        <v>+</v>
      </c>
      <c r="AS12" s="13">
        <f t="shared" si="19"/>
        <v>4</v>
      </c>
      <c r="AT12" s="13" t="str">
        <f t="shared" si="13"/>
        <v>H2O</v>
      </c>
      <c r="AU12" s="1">
        <f t="shared" si="16"/>
        <v>22.006124297872809</v>
      </c>
      <c r="AV12" s="1">
        <f t="shared" si="17"/>
        <v>11.003062148936404</v>
      </c>
    </row>
    <row r="13" spans="1:48" x14ac:dyDescent="0.2">
      <c r="A13">
        <v>10</v>
      </c>
      <c r="B13">
        <v>5</v>
      </c>
      <c r="C13" t="s">
        <v>139</v>
      </c>
      <c r="D13" t="s">
        <v>140</v>
      </c>
      <c r="E13" t="s">
        <v>141</v>
      </c>
      <c r="F13">
        <v>-5.9062955009875517E-2</v>
      </c>
      <c r="G13">
        <v>5.5103721332261059E-3</v>
      </c>
      <c r="H13">
        <v>-0.17196604989805289</v>
      </c>
      <c r="I13">
        <v>1.6744277935884309E-2</v>
      </c>
      <c r="K13" s="30" t="s">
        <v>141</v>
      </c>
      <c r="L13" s="30"/>
      <c r="M13" s="37">
        <f t="shared" si="0"/>
        <v>1.6122171025743214E-3</v>
      </c>
      <c r="N13" s="37">
        <f t="shared" si="1"/>
        <v>5.394518642612818E-3</v>
      </c>
      <c r="O13" s="34">
        <f t="shared" si="2"/>
        <v>7.3839543297903917E-2</v>
      </c>
      <c r="P13" s="34">
        <f t="shared" si="3"/>
        <v>0.16183555927838453</v>
      </c>
      <c r="Q13" s="31" t="s">
        <v>141</v>
      </c>
      <c r="R13" s="32">
        <f t="shared" si="14"/>
        <v>0.23567510257628843</v>
      </c>
      <c r="S13">
        <f t="shared" si="18"/>
        <v>1.1783755128814422</v>
      </c>
      <c r="U13" s="13">
        <v>5</v>
      </c>
      <c r="V13" s="13" t="s">
        <v>309</v>
      </c>
      <c r="W13" s="13" t="s">
        <v>310</v>
      </c>
      <c r="X13" s="13">
        <v>16</v>
      </c>
      <c r="Y13" s="13" t="s">
        <v>42</v>
      </c>
      <c r="Z13" s="13" t="s">
        <v>311</v>
      </c>
      <c r="AA13" s="13">
        <v>1</v>
      </c>
      <c r="AB13" s="13" t="s">
        <v>316</v>
      </c>
      <c r="AC13" s="13" t="s">
        <v>310</v>
      </c>
      <c r="AD13" s="13">
        <v>10</v>
      </c>
      <c r="AE13" s="13" t="s">
        <v>312</v>
      </c>
      <c r="AF13" s="1">
        <f t="shared" si="4"/>
        <v>1.1814326927664627</v>
      </c>
      <c r="AG13" s="1">
        <f t="shared" si="15"/>
        <v>0.7383954329790392</v>
      </c>
      <c r="AH13" s="1"/>
      <c r="AI13" s="1"/>
      <c r="AJ13" s="13">
        <f t="shared" si="5"/>
        <v>5</v>
      </c>
      <c r="AK13" s="13" t="s">
        <v>41</v>
      </c>
      <c r="AL13" s="13" t="str">
        <f t="shared" si="6"/>
        <v>+</v>
      </c>
      <c r="AM13" s="13">
        <f t="shared" si="7"/>
        <v>11</v>
      </c>
      <c r="AN13" s="13" t="str">
        <f t="shared" si="8"/>
        <v>H2</v>
      </c>
      <c r="AO13" s="13" t="str">
        <f t="shared" si="9"/>
        <v>=</v>
      </c>
      <c r="AP13" s="13">
        <f t="shared" si="10"/>
        <v>1</v>
      </c>
      <c r="AQ13" s="13" t="str">
        <f t="shared" si="11"/>
        <v>C5H12</v>
      </c>
      <c r="AR13" s="13" t="str">
        <f t="shared" si="12"/>
        <v>+</v>
      </c>
      <c r="AS13" s="13">
        <f t="shared" si="19"/>
        <v>5</v>
      </c>
      <c r="AT13" s="13" t="str">
        <f t="shared" si="13"/>
        <v>H2O</v>
      </c>
      <c r="AU13" s="1">
        <f t="shared" si="16"/>
        <v>1.7801911520622298</v>
      </c>
      <c r="AV13" s="1">
        <f t="shared" si="17"/>
        <v>0.80917779639192267</v>
      </c>
    </row>
    <row r="14" spans="1:48" x14ac:dyDescent="0.2">
      <c r="A14">
        <v>11</v>
      </c>
      <c r="B14">
        <v>5</v>
      </c>
      <c r="C14" t="s">
        <v>370</v>
      </c>
      <c r="D14" t="s">
        <v>371</v>
      </c>
      <c r="E14" t="s">
        <v>142</v>
      </c>
      <c r="F14">
        <v>1.0017625367695245E-2</v>
      </c>
      <c r="G14">
        <v>-2.5021125819972264E-4</v>
      </c>
      <c r="H14">
        <v>9.3455902812936475E-2</v>
      </c>
      <c r="I14">
        <v>-4.1712616453708773E-3</v>
      </c>
      <c r="K14" s="30" t="s">
        <v>142</v>
      </c>
      <c r="L14" s="30"/>
      <c r="M14" s="37">
        <f t="shared" si="0"/>
        <v>4.1095201606816353E-4</v>
      </c>
      <c r="N14" s="37">
        <f t="shared" si="1"/>
        <v>1.9968279402829301E-3</v>
      </c>
      <c r="O14" s="34">
        <f t="shared" si="2"/>
        <v>1.8821602335921887E-2</v>
      </c>
      <c r="P14" s="34">
        <f t="shared" si="3"/>
        <v>5.9904838208487909E-2</v>
      </c>
      <c r="Q14" s="31" t="s">
        <v>142</v>
      </c>
      <c r="R14" s="32">
        <f t="shared" si="14"/>
        <v>7.8726440544409804E-2</v>
      </c>
      <c r="S14">
        <f t="shared" si="18"/>
        <v>0.39363220272204902</v>
      </c>
      <c r="U14" s="13">
        <v>5</v>
      </c>
      <c r="V14" s="13" t="s">
        <v>309</v>
      </c>
      <c r="W14" s="13" t="s">
        <v>310</v>
      </c>
      <c r="X14" s="13">
        <v>16</v>
      </c>
      <c r="Y14" s="13" t="s">
        <v>42</v>
      </c>
      <c r="Z14" s="13" t="s">
        <v>311</v>
      </c>
      <c r="AA14" s="13">
        <v>1</v>
      </c>
      <c r="AB14" s="13" t="s">
        <v>316</v>
      </c>
      <c r="AC14" s="13" t="s">
        <v>310</v>
      </c>
      <c r="AD14" s="13">
        <v>10</v>
      </c>
      <c r="AE14" s="13" t="s">
        <v>312</v>
      </c>
      <c r="AF14" s="1">
        <f t="shared" si="4"/>
        <v>0.3011456373747502</v>
      </c>
      <c r="AG14" s="1">
        <f t="shared" si="15"/>
        <v>0.18821602335921889</v>
      </c>
      <c r="AH14" s="1"/>
      <c r="AI14" s="1"/>
      <c r="AJ14" s="13">
        <f t="shared" si="5"/>
        <v>5</v>
      </c>
      <c r="AK14" s="13" t="s">
        <v>41</v>
      </c>
      <c r="AL14" s="13" t="str">
        <f t="shared" si="6"/>
        <v>+</v>
      </c>
      <c r="AM14" s="13">
        <f t="shared" si="7"/>
        <v>11</v>
      </c>
      <c r="AN14" s="13" t="str">
        <f t="shared" si="8"/>
        <v>H2</v>
      </c>
      <c r="AO14" s="13" t="str">
        <f t="shared" si="9"/>
        <v>=</v>
      </c>
      <c r="AP14" s="13">
        <f t="shared" si="10"/>
        <v>1</v>
      </c>
      <c r="AQ14" s="13" t="str">
        <f t="shared" si="11"/>
        <v>C5H12</v>
      </c>
      <c r="AR14" s="13" t="str">
        <f t="shared" si="12"/>
        <v>+</v>
      </c>
      <c r="AS14" s="13">
        <f t="shared" si="19"/>
        <v>5</v>
      </c>
      <c r="AT14" s="13" t="str">
        <f t="shared" si="13"/>
        <v>H2O</v>
      </c>
      <c r="AU14" s="1">
        <f t="shared" si="16"/>
        <v>0.658953220293367</v>
      </c>
      <c r="AV14" s="1">
        <f t="shared" si="17"/>
        <v>0.29952419104243955</v>
      </c>
    </row>
    <row r="15" spans="1:48" x14ac:dyDescent="0.2">
      <c r="A15">
        <v>12</v>
      </c>
      <c r="B15">
        <v>5</v>
      </c>
      <c r="C15" t="s">
        <v>143</v>
      </c>
      <c r="D15" t="s">
        <v>144</v>
      </c>
      <c r="E15" t="s">
        <v>145</v>
      </c>
      <c r="F15">
        <v>-0.27721809442826018</v>
      </c>
      <c r="G15">
        <v>3.5790831684658672E-2</v>
      </c>
      <c r="H15">
        <v>0.12538098713715728</v>
      </c>
      <c r="I15">
        <v>5.9280596245114614E-2</v>
      </c>
      <c r="K15" s="30" t="s">
        <v>145</v>
      </c>
      <c r="L15" s="30"/>
      <c r="M15" s="37">
        <f t="shared" si="0"/>
        <v>1.7494437452393499E-2</v>
      </c>
      <c r="N15" s="37">
        <f t="shared" si="1"/>
        <v>6.7555741396166991E-2</v>
      </c>
      <c r="O15" s="34">
        <f t="shared" si="2"/>
        <v>0.80124523531962222</v>
      </c>
      <c r="P15" s="34">
        <f t="shared" si="3"/>
        <v>2.0266722418850098</v>
      </c>
      <c r="Q15" s="31" t="s">
        <v>145</v>
      </c>
      <c r="R15" s="32">
        <f t="shared" si="14"/>
        <v>2.827917477204632</v>
      </c>
      <c r="S15">
        <f t="shared" si="18"/>
        <v>14.139587386023161</v>
      </c>
      <c r="U15" s="13">
        <v>5</v>
      </c>
      <c r="V15" s="13" t="s">
        <v>309</v>
      </c>
      <c r="W15" s="13" t="s">
        <v>310</v>
      </c>
      <c r="X15" s="13">
        <v>15</v>
      </c>
      <c r="Y15" s="13" t="s">
        <v>42</v>
      </c>
      <c r="Z15" s="13" t="s">
        <v>311</v>
      </c>
      <c r="AA15" s="13">
        <v>1</v>
      </c>
      <c r="AB15" s="13" t="s">
        <v>317</v>
      </c>
      <c r="AC15" s="13" t="s">
        <v>310</v>
      </c>
      <c r="AD15" s="13">
        <v>10</v>
      </c>
      <c r="AE15" s="13" t="s">
        <v>312</v>
      </c>
      <c r="AF15" s="1">
        <f t="shared" si="4"/>
        <v>12.018678529794332</v>
      </c>
      <c r="AG15" s="1">
        <f t="shared" si="15"/>
        <v>8.0124523531962222</v>
      </c>
      <c r="AH15" s="1"/>
      <c r="AI15" s="1"/>
      <c r="AJ15" s="13">
        <f t="shared" si="5"/>
        <v>5</v>
      </c>
      <c r="AK15" s="13" t="s">
        <v>41</v>
      </c>
      <c r="AL15" s="13" t="str">
        <f t="shared" si="6"/>
        <v>+</v>
      </c>
      <c r="AM15" s="13">
        <f t="shared" si="7"/>
        <v>10</v>
      </c>
      <c r="AN15" s="13" t="str">
        <f t="shared" si="8"/>
        <v>H2</v>
      </c>
      <c r="AO15" s="13" t="str">
        <f t="shared" si="9"/>
        <v>=</v>
      </c>
      <c r="AP15" s="13">
        <f t="shared" si="10"/>
        <v>1</v>
      </c>
      <c r="AQ15" s="13" t="str">
        <f t="shared" si="11"/>
        <v>C5H10</v>
      </c>
      <c r="AR15" s="13" t="str">
        <f t="shared" si="12"/>
        <v>+</v>
      </c>
      <c r="AS15" s="13">
        <f t="shared" si="19"/>
        <v>5</v>
      </c>
      <c r="AT15" s="13" t="str">
        <f t="shared" si="13"/>
        <v>H2O</v>
      </c>
      <c r="AU15" s="1">
        <f t="shared" si="16"/>
        <v>20.266722418850097</v>
      </c>
      <c r="AV15" s="1">
        <f t="shared" si="17"/>
        <v>10.133361209425049</v>
      </c>
    </row>
    <row r="16" spans="1:48" x14ac:dyDescent="0.2">
      <c r="A16">
        <v>13</v>
      </c>
      <c r="B16">
        <v>5</v>
      </c>
      <c r="C16" t="s">
        <v>349</v>
      </c>
      <c r="D16">
        <v>0</v>
      </c>
      <c r="E16" t="s">
        <v>350</v>
      </c>
      <c r="F16">
        <v>-1.6255756621740729E-3</v>
      </c>
      <c r="G16">
        <v>2.1520352332631422E-4</v>
      </c>
      <c r="H16">
        <v>1.2359035976185586E-3</v>
      </c>
      <c r="I16">
        <v>3.372467121171281E-4</v>
      </c>
      <c r="K16" s="30" t="s">
        <v>350</v>
      </c>
      <c r="L16" s="30"/>
      <c r="M16" s="37">
        <f t="shared" si="0"/>
        <v>1.079155296228254E-4</v>
      </c>
      <c r="N16" s="37">
        <f t="shared" si="1"/>
        <v>4.1881634955995295E-4</v>
      </c>
      <c r="O16" s="34">
        <f t="shared" si="2"/>
        <v>4.9425312567254031E-3</v>
      </c>
      <c r="P16" s="34">
        <f t="shared" si="3"/>
        <v>1.2564490486798589E-2</v>
      </c>
      <c r="Q16" s="31" t="s">
        <v>350</v>
      </c>
      <c r="R16" s="32">
        <f t="shared" si="14"/>
        <v>1.750702174352399E-2</v>
      </c>
      <c r="S16">
        <f t="shared" si="18"/>
        <v>8.753510871761995E-2</v>
      </c>
      <c r="U16" s="13">
        <v>5</v>
      </c>
      <c r="V16" s="13" t="s">
        <v>309</v>
      </c>
      <c r="W16" s="13" t="s">
        <v>310</v>
      </c>
      <c r="X16" s="13">
        <v>15</v>
      </c>
      <c r="Y16" s="13" t="s">
        <v>42</v>
      </c>
      <c r="Z16" s="13" t="s">
        <v>311</v>
      </c>
      <c r="AA16" s="13">
        <v>1</v>
      </c>
      <c r="AB16" s="13" t="s">
        <v>317</v>
      </c>
      <c r="AC16" s="13" t="s">
        <v>310</v>
      </c>
      <c r="AD16" s="13">
        <v>10</v>
      </c>
      <c r="AE16" s="13" t="s">
        <v>312</v>
      </c>
      <c r="AF16" s="1">
        <f t="shared" si="4"/>
        <v>7.4137968850881045E-2</v>
      </c>
      <c r="AG16" s="1">
        <f t="shared" si="15"/>
        <v>4.9425312567254034E-2</v>
      </c>
      <c r="AH16" s="1"/>
      <c r="AI16" s="1"/>
      <c r="AJ16" s="13">
        <f t="shared" si="5"/>
        <v>5</v>
      </c>
      <c r="AK16" s="13" t="s">
        <v>41</v>
      </c>
      <c r="AL16" s="13" t="str">
        <f t="shared" si="6"/>
        <v>+</v>
      </c>
      <c r="AM16" s="13">
        <f t="shared" si="7"/>
        <v>10</v>
      </c>
      <c r="AN16" s="13" t="str">
        <f t="shared" si="8"/>
        <v>H2</v>
      </c>
      <c r="AO16" s="13" t="str">
        <f t="shared" si="9"/>
        <v>=</v>
      </c>
      <c r="AP16" s="13">
        <f t="shared" si="10"/>
        <v>1</v>
      </c>
      <c r="AQ16" s="13" t="str">
        <f t="shared" si="11"/>
        <v>C5H10</v>
      </c>
      <c r="AR16" s="13" t="str">
        <f t="shared" si="12"/>
        <v>+</v>
      </c>
      <c r="AS16" s="13">
        <f t="shared" si="19"/>
        <v>5</v>
      </c>
      <c r="AT16" s="13" t="str">
        <f t="shared" si="13"/>
        <v>H2O</v>
      </c>
      <c r="AU16" s="1">
        <f t="shared" si="16"/>
        <v>0.12564490486798588</v>
      </c>
      <c r="AV16" s="1">
        <f t="shared" si="17"/>
        <v>6.282245243399294E-2</v>
      </c>
    </row>
    <row r="17" spans="1:48" x14ac:dyDescent="0.2">
      <c r="A17">
        <v>14</v>
      </c>
      <c r="B17">
        <v>6</v>
      </c>
      <c r="C17" t="s">
        <v>146</v>
      </c>
      <c r="D17" t="s">
        <v>147</v>
      </c>
      <c r="E17" t="s">
        <v>148</v>
      </c>
      <c r="F17">
        <v>-0.12453916878400087</v>
      </c>
      <c r="G17">
        <v>1.427096835071665E-2</v>
      </c>
      <c r="H17">
        <v>-0.1135001808346697</v>
      </c>
      <c r="I17">
        <v>3.0148315741372455E-2</v>
      </c>
      <c r="K17" s="30" t="s">
        <v>148</v>
      </c>
      <c r="L17" s="30"/>
      <c r="M17" s="37">
        <f t="shared" si="0"/>
        <v>6.0513832109725923E-3</v>
      </c>
      <c r="N17" s="37">
        <f t="shared" si="1"/>
        <v>2.2657303806284255E-2</v>
      </c>
      <c r="O17" s="34">
        <f t="shared" si="2"/>
        <v>0.23096112588545392</v>
      </c>
      <c r="P17" s="34">
        <f t="shared" si="3"/>
        <v>0.56643259515710642</v>
      </c>
      <c r="Q17" s="31" t="s">
        <v>148</v>
      </c>
      <c r="R17" s="32">
        <f t="shared" si="14"/>
        <v>0.79739372104256034</v>
      </c>
      <c r="S17">
        <f t="shared" si="18"/>
        <v>4.7843623262553621</v>
      </c>
      <c r="U17" s="13">
        <v>6</v>
      </c>
      <c r="V17" s="13" t="s">
        <v>309</v>
      </c>
      <c r="W17" s="13" t="s">
        <v>310</v>
      </c>
      <c r="X17" s="13">
        <v>19</v>
      </c>
      <c r="Y17" s="13" t="s">
        <v>42</v>
      </c>
      <c r="Z17" s="13" t="s">
        <v>311</v>
      </c>
      <c r="AA17" s="13">
        <v>1</v>
      </c>
      <c r="AB17" s="13" t="s">
        <v>318</v>
      </c>
      <c r="AC17" s="13" t="s">
        <v>310</v>
      </c>
      <c r="AD17" s="13">
        <v>12</v>
      </c>
      <c r="AE17" s="13" t="s">
        <v>312</v>
      </c>
      <c r="AF17" s="1">
        <f t="shared" si="4"/>
        <v>4.3882613918236242</v>
      </c>
      <c r="AG17" s="1">
        <f t="shared" si="15"/>
        <v>2.7715335106254471</v>
      </c>
      <c r="AH17" s="1"/>
      <c r="AI17" s="1"/>
      <c r="AJ17" s="13">
        <f t="shared" si="5"/>
        <v>6</v>
      </c>
      <c r="AK17" s="13" t="s">
        <v>41</v>
      </c>
      <c r="AL17" s="13" t="str">
        <f t="shared" si="6"/>
        <v>+</v>
      </c>
      <c r="AM17" s="13">
        <f t="shared" si="7"/>
        <v>13</v>
      </c>
      <c r="AN17" s="13" t="str">
        <f t="shared" si="8"/>
        <v>H2</v>
      </c>
      <c r="AO17" s="13" t="str">
        <f t="shared" si="9"/>
        <v>=</v>
      </c>
      <c r="AP17" s="13">
        <f t="shared" si="10"/>
        <v>1</v>
      </c>
      <c r="AQ17" s="13" t="str">
        <f t="shared" si="11"/>
        <v>C6H14</v>
      </c>
      <c r="AR17" s="13" t="str">
        <f t="shared" si="12"/>
        <v>+</v>
      </c>
      <c r="AS17" s="13">
        <f t="shared" si="19"/>
        <v>6</v>
      </c>
      <c r="AT17" s="13" t="str">
        <f t="shared" si="13"/>
        <v>H2O</v>
      </c>
      <c r="AU17" s="1">
        <f t="shared" si="16"/>
        <v>7.3636237370423832</v>
      </c>
      <c r="AV17" s="1">
        <f t="shared" si="17"/>
        <v>3.3985955709426383</v>
      </c>
    </row>
    <row r="18" spans="1:48" x14ac:dyDescent="0.2">
      <c r="A18">
        <v>15</v>
      </c>
      <c r="B18">
        <v>6</v>
      </c>
      <c r="C18" t="s">
        <v>149</v>
      </c>
      <c r="D18" t="s">
        <v>150</v>
      </c>
      <c r="E18" t="s">
        <v>151</v>
      </c>
      <c r="F18">
        <v>-1.3150955034054251E-3</v>
      </c>
      <c r="G18">
        <v>1.6206342976185384E-4</v>
      </c>
      <c r="H18">
        <v>-1.3082959452961505E-4</v>
      </c>
      <c r="I18">
        <v>2.9624738928953358E-4</v>
      </c>
      <c r="K18" s="30" t="s">
        <v>151</v>
      </c>
      <c r="L18" s="30"/>
      <c r="M18" s="37">
        <f t="shared" si="0"/>
        <v>7.526712653709578E-5</v>
      </c>
      <c r="N18" s="37">
        <f t="shared" si="1"/>
        <v>2.8761263605057898E-4</v>
      </c>
      <c r="O18" s="34">
        <f t="shared" si="2"/>
        <v>2.8726953294991556E-3</v>
      </c>
      <c r="P18" s="34">
        <f t="shared" si="3"/>
        <v>7.1903159012644746E-3</v>
      </c>
      <c r="Q18" s="31" t="s">
        <v>151</v>
      </c>
      <c r="R18" s="32">
        <f t="shared" si="14"/>
        <v>1.0063011230763631E-2</v>
      </c>
      <c r="S18">
        <f t="shared" si="18"/>
        <v>6.0378067384581784E-2</v>
      </c>
      <c r="U18" s="13">
        <v>6</v>
      </c>
      <c r="V18" s="13" t="s">
        <v>309</v>
      </c>
      <c r="W18" s="13" t="s">
        <v>310</v>
      </c>
      <c r="X18" s="13">
        <v>19</v>
      </c>
      <c r="Y18" s="13" t="s">
        <v>42</v>
      </c>
      <c r="Z18" s="13" t="s">
        <v>311</v>
      </c>
      <c r="AA18" s="13">
        <v>1</v>
      </c>
      <c r="AB18" s="13" t="s">
        <v>318</v>
      </c>
      <c r="AC18" s="13" t="s">
        <v>310</v>
      </c>
      <c r="AD18" s="13">
        <v>12</v>
      </c>
      <c r="AE18" s="13" t="s">
        <v>312</v>
      </c>
      <c r="AF18" s="1">
        <f t="shared" si="4"/>
        <v>5.4581211260483958E-2</v>
      </c>
      <c r="AG18" s="1">
        <f t="shared" si="15"/>
        <v>3.4472343953989869E-2</v>
      </c>
      <c r="AH18" s="1"/>
      <c r="AI18" s="1"/>
      <c r="AJ18" s="13">
        <f t="shared" si="5"/>
        <v>6</v>
      </c>
      <c r="AK18" s="13" t="s">
        <v>41</v>
      </c>
      <c r="AL18" s="13" t="str">
        <f t="shared" si="6"/>
        <v>+</v>
      </c>
      <c r="AM18" s="13">
        <f t="shared" si="7"/>
        <v>13</v>
      </c>
      <c r="AN18" s="13" t="str">
        <f t="shared" si="8"/>
        <v>H2</v>
      </c>
      <c r="AO18" s="13" t="str">
        <f t="shared" si="9"/>
        <v>=</v>
      </c>
      <c r="AP18" s="13">
        <f t="shared" si="10"/>
        <v>1</v>
      </c>
      <c r="AQ18" s="13" t="str">
        <f t="shared" si="11"/>
        <v>C6H14</v>
      </c>
      <c r="AR18" s="13" t="str">
        <f t="shared" si="12"/>
        <v>+</v>
      </c>
      <c r="AS18" s="13">
        <f t="shared" si="19"/>
        <v>6</v>
      </c>
      <c r="AT18" s="13" t="str">
        <f t="shared" si="13"/>
        <v>H2O</v>
      </c>
      <c r="AU18" s="1">
        <f t="shared" si="16"/>
        <v>9.3474106716438174E-2</v>
      </c>
      <c r="AV18" s="1">
        <f t="shared" si="17"/>
        <v>4.3141895407586846E-2</v>
      </c>
    </row>
    <row r="19" spans="1:48" x14ac:dyDescent="0.2">
      <c r="A19">
        <v>16</v>
      </c>
      <c r="B19">
        <v>6</v>
      </c>
      <c r="C19" t="s">
        <v>152</v>
      </c>
      <c r="D19" t="s">
        <v>153</v>
      </c>
      <c r="E19" t="s">
        <v>154</v>
      </c>
      <c r="F19">
        <v>-5.6016075867741086E-2</v>
      </c>
      <c r="G19">
        <v>1.0652215853497005E-2</v>
      </c>
      <c r="H19">
        <v>0.34660530028563175</v>
      </c>
      <c r="I19">
        <v>5.3257564513964732E-3</v>
      </c>
      <c r="K19" s="30" t="s">
        <v>154</v>
      </c>
      <c r="L19" s="30"/>
      <c r="M19" s="37">
        <f t="shared" si="0"/>
        <v>6.9551548462260934E-3</v>
      </c>
      <c r="N19" s="37">
        <f t="shared" si="1"/>
        <v>2.8201706270248171E-2</v>
      </c>
      <c r="O19" s="34">
        <f t="shared" si="2"/>
        <v>0.26545507663096257</v>
      </c>
      <c r="P19" s="34">
        <f t="shared" si="3"/>
        <v>0.70504265675620426</v>
      </c>
      <c r="Q19" s="31" t="s">
        <v>154</v>
      </c>
      <c r="R19" s="32">
        <f t="shared" si="14"/>
        <v>0.97049773338716683</v>
      </c>
      <c r="S19">
        <f t="shared" si="18"/>
        <v>5.8229864003230007</v>
      </c>
      <c r="U19" s="13">
        <v>6</v>
      </c>
      <c r="V19" s="13" t="s">
        <v>309</v>
      </c>
      <c r="W19" s="13" t="s">
        <v>310</v>
      </c>
      <c r="X19" s="13">
        <v>18</v>
      </c>
      <c r="Y19" s="13" t="s">
        <v>42</v>
      </c>
      <c r="Z19" s="13" t="s">
        <v>311</v>
      </c>
      <c r="AA19" s="13">
        <v>1</v>
      </c>
      <c r="AB19" s="13" t="s">
        <v>319</v>
      </c>
      <c r="AC19" s="13" t="s">
        <v>310</v>
      </c>
      <c r="AD19" s="13">
        <v>12</v>
      </c>
      <c r="AE19" s="13" t="s">
        <v>312</v>
      </c>
      <c r="AF19" s="1">
        <f t="shared" si="4"/>
        <v>4.7781913793573265</v>
      </c>
      <c r="AG19" s="1">
        <f t="shared" si="15"/>
        <v>3.1854609195715509</v>
      </c>
      <c r="AH19" s="1"/>
      <c r="AI19" s="1"/>
      <c r="AJ19" s="13">
        <f t="shared" si="5"/>
        <v>6</v>
      </c>
      <c r="AK19" s="13" t="s">
        <v>41</v>
      </c>
      <c r="AL19" s="13" t="str">
        <f t="shared" si="6"/>
        <v>+</v>
      </c>
      <c r="AM19" s="13">
        <f t="shared" si="7"/>
        <v>12</v>
      </c>
      <c r="AN19" s="13" t="str">
        <f t="shared" si="8"/>
        <v>H2</v>
      </c>
      <c r="AO19" s="13" t="str">
        <f t="shared" si="9"/>
        <v>=</v>
      </c>
      <c r="AP19" s="13">
        <f t="shared" si="10"/>
        <v>1</v>
      </c>
      <c r="AQ19" s="13" t="str">
        <f t="shared" si="11"/>
        <v>C6H12</v>
      </c>
      <c r="AR19" s="13" t="str">
        <f t="shared" si="12"/>
        <v>+</v>
      </c>
      <c r="AS19" s="13">
        <f t="shared" si="19"/>
        <v>6</v>
      </c>
      <c r="AT19" s="13" t="str">
        <f t="shared" si="13"/>
        <v>H2O</v>
      </c>
      <c r="AU19" s="1">
        <f t="shared" si="16"/>
        <v>8.4605118810744511</v>
      </c>
      <c r="AV19" s="1">
        <f t="shared" si="17"/>
        <v>4.2302559405372255</v>
      </c>
    </row>
    <row r="20" spans="1:48" x14ac:dyDescent="0.2">
      <c r="A20">
        <v>17</v>
      </c>
      <c r="B20">
        <v>6</v>
      </c>
      <c r="C20" t="s">
        <v>354</v>
      </c>
      <c r="D20">
        <v>0</v>
      </c>
      <c r="E20" t="s">
        <v>353</v>
      </c>
      <c r="F20">
        <v>-5.2262311978804716E-4</v>
      </c>
      <c r="G20">
        <v>6.9188004820248329E-5</v>
      </c>
      <c r="H20">
        <v>3.9734342053376361E-4</v>
      </c>
      <c r="I20">
        <v>1.0842493088829298E-4</v>
      </c>
      <c r="K20" s="30" t="s">
        <v>353</v>
      </c>
      <c r="L20" s="30"/>
      <c r="M20" s="37">
        <f t="shared" si="0"/>
        <v>3.4694878914237218E-5</v>
      </c>
      <c r="N20" s="37">
        <f t="shared" si="1"/>
        <v>1.3464959664352138E-4</v>
      </c>
      <c r="O20" s="34">
        <f t="shared" si="2"/>
        <v>1.3241878785600538E-3</v>
      </c>
      <c r="P20" s="34">
        <f t="shared" si="3"/>
        <v>3.366239916088034E-3</v>
      </c>
      <c r="Q20" s="31" t="s">
        <v>353</v>
      </c>
      <c r="R20" s="32">
        <f t="shared" si="14"/>
        <v>4.6904277946480874E-3</v>
      </c>
      <c r="S20">
        <f t="shared" si="18"/>
        <v>2.8142566767888524E-2</v>
      </c>
      <c r="U20" s="13">
        <v>6</v>
      </c>
      <c r="V20" s="13" t="s">
        <v>309</v>
      </c>
      <c r="W20" s="13" t="s">
        <v>310</v>
      </c>
      <c r="X20" s="13">
        <v>15</v>
      </c>
      <c r="Y20" s="13" t="s">
        <v>42</v>
      </c>
      <c r="Z20" s="13" t="s">
        <v>311</v>
      </c>
      <c r="AA20" s="13">
        <v>1</v>
      </c>
      <c r="AB20" s="13" t="s">
        <v>372</v>
      </c>
      <c r="AC20" s="13" t="s">
        <v>310</v>
      </c>
      <c r="AD20" s="13">
        <v>12</v>
      </c>
      <c r="AE20" s="13" t="s">
        <v>312</v>
      </c>
      <c r="AF20" s="1">
        <f t="shared" si="4"/>
        <v>1.9862818178400805E-2</v>
      </c>
      <c r="AG20" s="1">
        <f t="shared" si="15"/>
        <v>1.5890254542720646E-2</v>
      </c>
      <c r="AH20" s="1"/>
      <c r="AI20" s="1"/>
      <c r="AJ20" s="13">
        <f t="shared" si="5"/>
        <v>6</v>
      </c>
      <c r="AK20" s="13" t="s">
        <v>41</v>
      </c>
      <c r="AL20" s="13" t="str">
        <f t="shared" si="6"/>
        <v>+</v>
      </c>
      <c r="AM20" s="13">
        <f t="shared" si="7"/>
        <v>9</v>
      </c>
      <c r="AN20" s="13" t="str">
        <f t="shared" si="8"/>
        <v>H2</v>
      </c>
      <c r="AO20" s="13" t="str">
        <f t="shared" si="9"/>
        <v>=</v>
      </c>
      <c r="AP20" s="13">
        <f t="shared" si="10"/>
        <v>1</v>
      </c>
      <c r="AQ20" s="13" t="str">
        <f t="shared" si="11"/>
        <v>C6H6</v>
      </c>
      <c r="AR20" s="13" t="str">
        <f t="shared" si="12"/>
        <v>+</v>
      </c>
      <c r="AS20" s="13">
        <f t="shared" si="19"/>
        <v>6</v>
      </c>
      <c r="AT20" s="13" t="str">
        <f t="shared" si="13"/>
        <v>H2O</v>
      </c>
      <c r="AU20" s="1">
        <f t="shared" si="16"/>
        <v>3.0296159244792308E-2</v>
      </c>
      <c r="AV20" s="1">
        <f t="shared" si="17"/>
        <v>2.0197439496528205E-2</v>
      </c>
    </row>
    <row r="21" spans="1:48" x14ac:dyDescent="0.2">
      <c r="A21">
        <v>18</v>
      </c>
      <c r="B21">
        <v>6</v>
      </c>
      <c r="C21" t="s">
        <v>352</v>
      </c>
      <c r="D21">
        <v>0</v>
      </c>
      <c r="E21" t="s">
        <v>351</v>
      </c>
      <c r="F21">
        <v>-6.2982618723457029E-3</v>
      </c>
      <c r="G21">
        <v>8.3380194309001776E-4</v>
      </c>
      <c r="H21">
        <v>4.7884848967075172E-3</v>
      </c>
      <c r="I21">
        <v>1.3066559483675411E-3</v>
      </c>
      <c r="K21" s="30" t="s">
        <v>351</v>
      </c>
      <c r="L21" s="30"/>
      <c r="M21" s="37">
        <f t="shared" si="0"/>
        <v>4.1811665951520135E-4</v>
      </c>
      <c r="N21" s="37">
        <f t="shared" si="1"/>
        <v>1.6226959515502372E-3</v>
      </c>
      <c r="O21" s="34">
        <f t="shared" si="2"/>
        <v>1.5958119171496851E-2</v>
      </c>
      <c r="P21" s="34">
        <f t="shared" si="3"/>
        <v>4.0567398788755933E-2</v>
      </c>
      <c r="Q21" s="31" t="s">
        <v>351</v>
      </c>
      <c r="R21" s="32">
        <f t="shared" si="14"/>
        <v>5.6525517960252784E-2</v>
      </c>
      <c r="S21">
        <f t="shared" si="18"/>
        <v>0.33915310776151669</v>
      </c>
      <c r="U21" s="13">
        <v>6</v>
      </c>
      <c r="V21" s="13" t="s">
        <v>309</v>
      </c>
      <c r="W21" s="13" t="s">
        <v>310</v>
      </c>
      <c r="X21" s="13">
        <v>18</v>
      </c>
      <c r="Y21" s="13" t="s">
        <v>42</v>
      </c>
      <c r="Z21" s="13" t="s">
        <v>311</v>
      </c>
      <c r="AA21" s="13">
        <v>1</v>
      </c>
      <c r="AB21" s="13" t="s">
        <v>319</v>
      </c>
      <c r="AC21" s="13" t="s">
        <v>310</v>
      </c>
      <c r="AD21" s="13">
        <v>12</v>
      </c>
      <c r="AE21" s="13" t="s">
        <v>312</v>
      </c>
      <c r="AF21" s="1">
        <f t="shared" si="4"/>
        <v>0.28724614508694335</v>
      </c>
      <c r="AG21" s="1">
        <f t="shared" si="15"/>
        <v>0.19149743005796221</v>
      </c>
      <c r="AH21" s="1"/>
      <c r="AI21" s="1"/>
      <c r="AJ21" s="13">
        <f t="shared" si="5"/>
        <v>6</v>
      </c>
      <c r="AK21" s="13" t="s">
        <v>41</v>
      </c>
      <c r="AL21" s="13" t="str">
        <f t="shared" si="6"/>
        <v>+</v>
      </c>
      <c r="AM21" s="13">
        <f t="shared" si="7"/>
        <v>12</v>
      </c>
      <c r="AN21" s="13" t="str">
        <f t="shared" si="8"/>
        <v>H2</v>
      </c>
      <c r="AO21" s="13" t="str">
        <f t="shared" si="9"/>
        <v>=</v>
      </c>
      <c r="AP21" s="13">
        <f t="shared" si="10"/>
        <v>1</v>
      </c>
      <c r="AQ21" s="13" t="str">
        <f t="shared" si="11"/>
        <v>C6H12</v>
      </c>
      <c r="AR21" s="13" t="str">
        <f t="shared" si="12"/>
        <v>+</v>
      </c>
      <c r="AS21" s="13">
        <f t="shared" si="19"/>
        <v>6</v>
      </c>
      <c r="AT21" s="13" t="str">
        <f t="shared" si="13"/>
        <v>H2O</v>
      </c>
      <c r="AU21" s="1">
        <f t="shared" si="16"/>
        <v>0.48680878546507123</v>
      </c>
      <c r="AV21" s="1">
        <f t="shared" si="17"/>
        <v>0.24340439273253561</v>
      </c>
    </row>
    <row r="22" spans="1:48" x14ac:dyDescent="0.2">
      <c r="A22">
        <v>19</v>
      </c>
      <c r="B22">
        <v>7</v>
      </c>
      <c r="C22" t="s">
        <v>155</v>
      </c>
      <c r="D22" t="s">
        <v>156</v>
      </c>
      <c r="E22" t="s">
        <v>157</v>
      </c>
      <c r="F22">
        <v>-1.7285745547401604E-5</v>
      </c>
      <c r="G22">
        <v>1.7151210509855351E-6</v>
      </c>
      <c r="H22">
        <v>-4.0707895939010984E-5</v>
      </c>
      <c r="I22">
        <v>4.7012635096357523E-6</v>
      </c>
      <c r="K22" s="30" t="s">
        <v>157</v>
      </c>
      <c r="L22" s="30"/>
      <c r="M22" s="37">
        <f t="shared" si="0"/>
        <v>5.7426184485702923E-7</v>
      </c>
      <c r="N22" s="37">
        <f t="shared" si="1"/>
        <v>2.0145423776610273E-6</v>
      </c>
      <c r="O22" s="34">
        <f t="shared" si="2"/>
        <v>1.878656606746567E-5</v>
      </c>
      <c r="P22" s="34">
        <f t="shared" si="3"/>
        <v>4.3168765235593442E-5</v>
      </c>
      <c r="Q22" s="31" t="s">
        <v>157</v>
      </c>
      <c r="R22" s="32">
        <f t="shared" si="14"/>
        <v>6.1955331303059109E-5</v>
      </c>
      <c r="S22">
        <f t="shared" si="18"/>
        <v>4.3368731912141374E-4</v>
      </c>
      <c r="U22" s="13">
        <v>7</v>
      </c>
      <c r="V22" s="13" t="s">
        <v>309</v>
      </c>
      <c r="W22" s="13" t="s">
        <v>310</v>
      </c>
      <c r="X22" s="13">
        <v>22</v>
      </c>
      <c r="Y22" s="13" t="s">
        <v>42</v>
      </c>
      <c r="Z22" s="13" t="s">
        <v>311</v>
      </c>
      <c r="AA22" s="13">
        <v>1</v>
      </c>
      <c r="AB22" s="13" t="s">
        <v>320</v>
      </c>
      <c r="AC22" s="13" t="s">
        <v>310</v>
      </c>
      <c r="AD22" s="13">
        <v>14</v>
      </c>
      <c r="AE22" s="13" t="s">
        <v>312</v>
      </c>
      <c r="AF22" s="1">
        <f t="shared" si="4"/>
        <v>4.1330445348424476E-4</v>
      </c>
      <c r="AG22" s="1">
        <f t="shared" si="15"/>
        <v>2.6301192494451937E-4</v>
      </c>
      <c r="AH22" s="1"/>
      <c r="AI22" s="1"/>
      <c r="AJ22" s="13">
        <f t="shared" si="5"/>
        <v>7</v>
      </c>
      <c r="AK22" s="13" t="s">
        <v>41</v>
      </c>
      <c r="AL22" s="13" t="str">
        <f t="shared" si="6"/>
        <v>+</v>
      </c>
      <c r="AM22" s="13">
        <f t="shared" si="7"/>
        <v>15</v>
      </c>
      <c r="AN22" s="13" t="str">
        <f t="shared" si="8"/>
        <v>H2</v>
      </c>
      <c r="AO22" s="13" t="str">
        <f t="shared" si="9"/>
        <v>=</v>
      </c>
      <c r="AP22" s="13">
        <f t="shared" si="10"/>
        <v>1</v>
      </c>
      <c r="AQ22" s="13" t="str">
        <f t="shared" si="11"/>
        <v>C7H16</v>
      </c>
      <c r="AR22" s="13" t="str">
        <f t="shared" si="12"/>
        <v>+</v>
      </c>
      <c r="AS22" s="13">
        <f t="shared" si="19"/>
        <v>7</v>
      </c>
      <c r="AT22" s="13" t="str">
        <f t="shared" si="13"/>
        <v>H2O</v>
      </c>
      <c r="AU22" s="1">
        <f t="shared" si="16"/>
        <v>6.4753147853390165E-4</v>
      </c>
      <c r="AV22" s="1">
        <f t="shared" si="17"/>
        <v>3.0218135664915411E-4</v>
      </c>
    </row>
    <row r="23" spans="1:48" x14ac:dyDescent="0.2">
      <c r="A23">
        <v>20</v>
      </c>
      <c r="B23">
        <v>7</v>
      </c>
      <c r="C23" t="s">
        <v>158</v>
      </c>
      <c r="D23" t="s">
        <v>159</v>
      </c>
      <c r="E23" t="s">
        <v>160</v>
      </c>
      <c r="F23">
        <v>-6.2203988214805585E-2</v>
      </c>
      <c r="G23">
        <v>8.2474192173840211E-3</v>
      </c>
      <c r="H23">
        <v>4.846513449704646E-2</v>
      </c>
      <c r="I23">
        <v>1.2880747493236104E-2</v>
      </c>
      <c r="K23" s="30" t="s">
        <v>160</v>
      </c>
      <c r="L23" s="30"/>
      <c r="M23" s="37">
        <f t="shared" si="0"/>
        <v>4.1419559952068519E-3</v>
      </c>
      <c r="N23" s="37">
        <f t="shared" si="1"/>
        <v>1.6079446370041172E-2</v>
      </c>
      <c r="O23" s="34">
        <f t="shared" si="2"/>
        <v>0.13550113184319559</v>
      </c>
      <c r="P23" s="34">
        <f t="shared" si="3"/>
        <v>0.34455956507231084</v>
      </c>
      <c r="Q23" s="31" t="s">
        <v>160</v>
      </c>
      <c r="R23" s="32">
        <f t="shared" si="14"/>
        <v>0.48006069691550646</v>
      </c>
      <c r="S23">
        <f t="shared" si="18"/>
        <v>3.3604248784085451</v>
      </c>
      <c r="U23" s="13">
        <v>7</v>
      </c>
      <c r="V23" s="13" t="s">
        <v>309</v>
      </c>
      <c r="W23" s="13" t="s">
        <v>310</v>
      </c>
      <c r="X23" s="13">
        <v>22</v>
      </c>
      <c r="Y23" s="13" t="s">
        <v>42</v>
      </c>
      <c r="Z23" s="13" t="s">
        <v>311</v>
      </c>
      <c r="AA23" s="13">
        <v>1</v>
      </c>
      <c r="AB23" s="13" t="s">
        <v>320</v>
      </c>
      <c r="AC23" s="13" t="s">
        <v>310</v>
      </c>
      <c r="AD23" s="13">
        <v>14</v>
      </c>
      <c r="AE23" s="13" t="s">
        <v>312</v>
      </c>
      <c r="AF23" s="1">
        <f t="shared" si="4"/>
        <v>2.9810249005503029</v>
      </c>
      <c r="AG23" s="1">
        <f t="shared" si="15"/>
        <v>1.8970158458047384</v>
      </c>
      <c r="AH23" s="1"/>
      <c r="AI23" s="1"/>
      <c r="AJ23" s="13">
        <f t="shared" si="5"/>
        <v>7</v>
      </c>
      <c r="AK23" s="13" t="s">
        <v>41</v>
      </c>
      <c r="AL23" s="13" t="str">
        <f t="shared" si="6"/>
        <v>+</v>
      </c>
      <c r="AM23" s="13">
        <f t="shared" si="7"/>
        <v>15</v>
      </c>
      <c r="AN23" s="13" t="str">
        <f t="shared" si="8"/>
        <v>H2</v>
      </c>
      <c r="AO23" s="13" t="str">
        <f t="shared" si="9"/>
        <v>=</v>
      </c>
      <c r="AP23" s="13">
        <f t="shared" si="10"/>
        <v>1</v>
      </c>
      <c r="AQ23" s="13" t="str">
        <f t="shared" si="11"/>
        <v>C7H16</v>
      </c>
      <c r="AR23" s="13" t="str">
        <f t="shared" si="12"/>
        <v>+</v>
      </c>
      <c r="AS23" s="13">
        <f t="shared" si="19"/>
        <v>7</v>
      </c>
      <c r="AT23" s="13" t="str">
        <f t="shared" si="13"/>
        <v>H2O</v>
      </c>
      <c r="AU23" s="1">
        <f t="shared" si="16"/>
        <v>5.1683934760846624</v>
      </c>
      <c r="AV23" s="1">
        <f t="shared" si="17"/>
        <v>2.4119169555061757</v>
      </c>
    </row>
    <row r="24" spans="1:48" x14ac:dyDescent="0.2">
      <c r="A24">
        <v>21</v>
      </c>
      <c r="B24">
        <v>7</v>
      </c>
      <c r="C24" t="s">
        <v>161</v>
      </c>
      <c r="D24" t="s">
        <v>162</v>
      </c>
      <c r="E24" t="s">
        <v>163</v>
      </c>
      <c r="F24">
        <v>-4.0591718025171315E-2</v>
      </c>
      <c r="G24">
        <v>5.6088172516127778E-3</v>
      </c>
      <c r="H24">
        <v>5.2939818305753443E-2</v>
      </c>
      <c r="I24">
        <v>7.964082152045783E-3</v>
      </c>
      <c r="K24" s="30" t="s">
        <v>163</v>
      </c>
      <c r="L24" s="30"/>
      <c r="M24" s="37">
        <f t="shared" si="0"/>
        <v>2.9297638619514709E-3</v>
      </c>
      <c r="N24" s="37">
        <f t="shared" si="1"/>
        <v>1.145811016022551E-2</v>
      </c>
      <c r="O24" s="34">
        <f t="shared" si="2"/>
        <v>9.5845132055269552E-2</v>
      </c>
      <c r="P24" s="34">
        <f t="shared" si="3"/>
        <v>0.24553093200483236</v>
      </c>
      <c r="Q24" s="31" t="s">
        <v>163</v>
      </c>
      <c r="R24" s="32">
        <f t="shared" si="14"/>
        <v>0.3413760640601019</v>
      </c>
      <c r="S24">
        <f t="shared" si="18"/>
        <v>2.3896324484207132</v>
      </c>
      <c r="U24" s="13">
        <v>7</v>
      </c>
      <c r="V24" s="13" t="s">
        <v>309</v>
      </c>
      <c r="W24" s="13" t="s">
        <v>310</v>
      </c>
      <c r="X24" s="13">
        <v>21</v>
      </c>
      <c r="Y24" s="13" t="s">
        <v>42</v>
      </c>
      <c r="Z24" s="13" t="s">
        <v>311</v>
      </c>
      <c r="AA24" s="13">
        <v>1</v>
      </c>
      <c r="AB24" s="13" t="s">
        <v>321</v>
      </c>
      <c r="AC24" s="13" t="s">
        <v>310</v>
      </c>
      <c r="AD24" s="13">
        <v>14</v>
      </c>
      <c r="AE24" s="13" t="s">
        <v>312</v>
      </c>
      <c r="AF24" s="1">
        <f t="shared" si="4"/>
        <v>2.0127477731606604</v>
      </c>
      <c r="AG24" s="1">
        <f t="shared" si="15"/>
        <v>1.3418318487737737</v>
      </c>
      <c r="AH24" s="1"/>
      <c r="AI24" s="1"/>
      <c r="AJ24" s="13">
        <f t="shared" si="5"/>
        <v>7</v>
      </c>
      <c r="AK24" s="13" t="s">
        <v>41</v>
      </c>
      <c r="AL24" s="13" t="str">
        <f t="shared" si="6"/>
        <v>+</v>
      </c>
      <c r="AM24" s="13">
        <f t="shared" si="7"/>
        <v>14</v>
      </c>
      <c r="AN24" s="13" t="str">
        <f t="shared" si="8"/>
        <v>H2</v>
      </c>
      <c r="AO24" s="13" t="str">
        <f t="shared" si="9"/>
        <v>=</v>
      </c>
      <c r="AP24" s="13">
        <f t="shared" si="10"/>
        <v>1</v>
      </c>
      <c r="AQ24" s="13" t="str">
        <f t="shared" si="11"/>
        <v>C7H14</v>
      </c>
      <c r="AR24" s="13" t="str">
        <f t="shared" si="12"/>
        <v>+</v>
      </c>
      <c r="AS24" s="13">
        <f t="shared" si="19"/>
        <v>7</v>
      </c>
      <c r="AT24" s="13" t="str">
        <f t="shared" si="13"/>
        <v>H2O</v>
      </c>
      <c r="AU24" s="1">
        <f t="shared" si="16"/>
        <v>3.4374330480676529</v>
      </c>
      <c r="AV24" s="1">
        <f t="shared" si="17"/>
        <v>1.7187165240338265</v>
      </c>
    </row>
    <row r="25" spans="1:48" x14ac:dyDescent="0.2">
      <c r="A25">
        <v>22</v>
      </c>
      <c r="B25">
        <v>7</v>
      </c>
      <c r="C25" t="s">
        <v>164</v>
      </c>
      <c r="D25" t="s">
        <v>165</v>
      </c>
      <c r="E25" t="s">
        <v>166</v>
      </c>
      <c r="F25">
        <v>-1.6302574942888399E-3</v>
      </c>
      <c r="G25">
        <v>2.158233325361622E-4</v>
      </c>
      <c r="H25">
        <v>1.2394631324275092E-3</v>
      </c>
      <c r="I25">
        <v>3.3821801878966892E-4</v>
      </c>
      <c r="K25" s="30" t="s">
        <v>166</v>
      </c>
      <c r="L25" s="30"/>
      <c r="M25" s="37">
        <f t="shared" si="0"/>
        <v>1.0822633791309876E-4</v>
      </c>
      <c r="N25" s="37">
        <f t="shared" si="1"/>
        <v>4.2002258552988455E-4</v>
      </c>
      <c r="O25" s="34">
        <f t="shared" si="2"/>
        <v>3.5405473402999456E-3</v>
      </c>
      <c r="P25" s="34">
        <f t="shared" si="3"/>
        <v>9.0004839756403828E-3</v>
      </c>
      <c r="Q25" s="31" t="s">
        <v>166</v>
      </c>
      <c r="R25" s="32">
        <f t="shared" si="14"/>
        <v>1.2541031315940329E-2</v>
      </c>
      <c r="S25">
        <f t="shared" si="18"/>
        <v>8.7787219211582307E-2</v>
      </c>
      <c r="U25" s="13">
        <v>7</v>
      </c>
      <c r="V25" s="13" t="s">
        <v>309</v>
      </c>
      <c r="W25" s="13" t="s">
        <v>310</v>
      </c>
      <c r="X25" s="13">
        <v>18</v>
      </c>
      <c r="Y25" s="13" t="s">
        <v>42</v>
      </c>
      <c r="Z25" s="13" t="s">
        <v>311</v>
      </c>
      <c r="AA25" s="13">
        <v>1</v>
      </c>
      <c r="AB25" s="13" t="s">
        <v>165</v>
      </c>
      <c r="AC25" s="13" t="s">
        <v>310</v>
      </c>
      <c r="AD25" s="13">
        <v>14</v>
      </c>
      <c r="AE25" s="13" t="s">
        <v>312</v>
      </c>
      <c r="AF25" s="1">
        <f t="shared" si="4"/>
        <v>6.3729852125399014E-2</v>
      </c>
      <c r="AG25" s="1">
        <f t="shared" si="15"/>
        <v>4.9567662764199237E-2</v>
      </c>
      <c r="AH25" s="1"/>
      <c r="AI25" s="1"/>
      <c r="AJ25" s="13">
        <f t="shared" si="5"/>
        <v>7</v>
      </c>
      <c r="AK25" s="13" t="s">
        <v>41</v>
      </c>
      <c r="AL25" s="13" t="str">
        <f t="shared" si="6"/>
        <v>+</v>
      </c>
      <c r="AM25" s="13">
        <f t="shared" si="7"/>
        <v>11</v>
      </c>
      <c r="AN25" s="13" t="str">
        <f t="shared" si="8"/>
        <v>H2</v>
      </c>
      <c r="AO25" s="13" t="str">
        <f t="shared" si="9"/>
        <v>=</v>
      </c>
      <c r="AP25" s="13">
        <f t="shared" si="10"/>
        <v>1</v>
      </c>
      <c r="AQ25" s="13" t="str">
        <f t="shared" si="11"/>
        <v>C7H8</v>
      </c>
      <c r="AR25" s="13" t="str">
        <f t="shared" si="12"/>
        <v>+</v>
      </c>
      <c r="AS25" s="13">
        <f t="shared" si="19"/>
        <v>7</v>
      </c>
      <c r="AT25" s="13" t="str">
        <f t="shared" si="13"/>
        <v>H2O</v>
      </c>
      <c r="AU25" s="1">
        <f t="shared" si="16"/>
        <v>9.9005323732044209E-2</v>
      </c>
      <c r="AV25" s="1">
        <f t="shared" si="17"/>
        <v>6.3003387829482685E-2</v>
      </c>
    </row>
    <row r="26" spans="1:48" x14ac:dyDescent="0.2">
      <c r="A26">
        <v>23</v>
      </c>
      <c r="B26">
        <v>7</v>
      </c>
      <c r="C26" t="s">
        <v>83</v>
      </c>
      <c r="D26">
        <v>0</v>
      </c>
      <c r="E26" t="s">
        <v>356</v>
      </c>
      <c r="F26">
        <v>-6.6353537846089933E-3</v>
      </c>
      <c r="G26">
        <v>8.7842820619907789E-4</v>
      </c>
      <c r="H26">
        <v>5.0447714029517969E-3</v>
      </c>
      <c r="I26">
        <v>1.37659002879049E-3</v>
      </c>
      <c r="K26" s="30" t="s">
        <v>356</v>
      </c>
      <c r="L26" s="30"/>
      <c r="M26" s="37">
        <f t="shared" si="0"/>
        <v>4.4049485641488431E-4</v>
      </c>
      <c r="N26" s="37">
        <f t="shared" si="1"/>
        <v>1.7095449413853086E-3</v>
      </c>
      <c r="O26" s="34">
        <f t="shared" si="2"/>
        <v>1.4410474588429787E-2</v>
      </c>
      <c r="P26" s="34">
        <f t="shared" si="3"/>
        <v>3.6633105886828041E-2</v>
      </c>
      <c r="Q26" s="31" t="s">
        <v>356</v>
      </c>
      <c r="R26" s="32">
        <f t="shared" si="14"/>
        <v>5.1043580475257824E-2</v>
      </c>
      <c r="S26">
        <f t="shared" si="18"/>
        <v>0.35730506332680478</v>
      </c>
      <c r="U26" s="13">
        <v>7</v>
      </c>
      <c r="V26" s="13" t="s">
        <v>309</v>
      </c>
      <c r="W26" s="13" t="s">
        <v>310</v>
      </c>
      <c r="X26" s="13">
        <v>21</v>
      </c>
      <c r="Y26" s="13" t="s">
        <v>42</v>
      </c>
      <c r="Z26" s="13" t="s">
        <v>311</v>
      </c>
      <c r="AA26" s="13">
        <v>1</v>
      </c>
      <c r="AB26" s="13" t="s">
        <v>321</v>
      </c>
      <c r="AC26" s="13" t="s">
        <v>310</v>
      </c>
      <c r="AD26" s="13">
        <v>14</v>
      </c>
      <c r="AE26" s="13" t="s">
        <v>312</v>
      </c>
      <c r="AF26" s="1">
        <f t="shared" si="4"/>
        <v>0.30261996635702554</v>
      </c>
      <c r="AG26" s="1">
        <f t="shared" si="15"/>
        <v>0.20174664423801703</v>
      </c>
      <c r="AH26" s="1"/>
      <c r="AI26" s="1"/>
      <c r="AJ26" s="13">
        <f t="shared" si="5"/>
        <v>7</v>
      </c>
      <c r="AK26" s="13" t="s">
        <v>41</v>
      </c>
      <c r="AL26" s="13" t="str">
        <f t="shared" si="6"/>
        <v>+</v>
      </c>
      <c r="AM26" s="13">
        <f t="shared" si="7"/>
        <v>14</v>
      </c>
      <c r="AN26" s="13" t="str">
        <f t="shared" si="8"/>
        <v>H2</v>
      </c>
      <c r="AO26" s="13" t="str">
        <f t="shared" si="9"/>
        <v>=</v>
      </c>
      <c r="AP26" s="13">
        <f t="shared" si="10"/>
        <v>1</v>
      </c>
      <c r="AQ26" s="13" t="str">
        <f t="shared" si="11"/>
        <v>C7H14</v>
      </c>
      <c r="AR26" s="13" t="str">
        <f t="shared" si="12"/>
        <v>+</v>
      </c>
      <c r="AS26" s="13">
        <f t="shared" si="19"/>
        <v>7</v>
      </c>
      <c r="AT26" s="13" t="str">
        <f t="shared" si="13"/>
        <v>H2O</v>
      </c>
      <c r="AU26" s="1">
        <f t="shared" si="16"/>
        <v>0.51286348241559254</v>
      </c>
      <c r="AV26" s="1">
        <f t="shared" si="17"/>
        <v>0.25643174120779627</v>
      </c>
    </row>
    <row r="27" spans="1:48" x14ac:dyDescent="0.2">
      <c r="A27">
        <v>24</v>
      </c>
      <c r="B27">
        <v>8</v>
      </c>
      <c r="C27" t="s">
        <v>167</v>
      </c>
      <c r="D27" t="s">
        <v>168</v>
      </c>
      <c r="E27" t="s">
        <v>169</v>
      </c>
      <c r="F27">
        <v>-2.9030915664796653E-3</v>
      </c>
      <c r="G27">
        <v>5.5853150036614643E-4</v>
      </c>
      <c r="H27">
        <v>1.8570873635706024E-2</v>
      </c>
      <c r="I27">
        <v>2.6342895181021551E-4</v>
      </c>
      <c r="K27" s="30" t="s">
        <v>169</v>
      </c>
      <c r="L27" s="30"/>
      <c r="M27" s="37">
        <f t="shared" si="0"/>
        <v>3.6692745697848854E-4</v>
      </c>
      <c r="N27" s="37">
        <f t="shared" si="1"/>
        <v>1.4891066117668132E-3</v>
      </c>
      <c r="O27" s="34">
        <f t="shared" si="2"/>
        <v>1.0503298456009235E-2</v>
      </c>
      <c r="P27" s="34">
        <f t="shared" si="3"/>
        <v>2.7920748970627747E-2</v>
      </c>
      <c r="Q27" s="31" t="s">
        <v>169</v>
      </c>
      <c r="R27" s="32">
        <f t="shared" si="14"/>
        <v>3.8424047426636979E-2</v>
      </c>
      <c r="S27">
        <f t="shared" si="18"/>
        <v>0.30739237941309583</v>
      </c>
      <c r="U27" s="13">
        <v>8</v>
      </c>
      <c r="V27" s="13" t="s">
        <v>309</v>
      </c>
      <c r="W27" s="13" t="s">
        <v>310</v>
      </c>
      <c r="X27" s="13">
        <v>25</v>
      </c>
      <c r="Y27" s="13" t="s">
        <v>42</v>
      </c>
      <c r="Z27" s="13" t="s">
        <v>311</v>
      </c>
      <c r="AA27" s="13">
        <v>1</v>
      </c>
      <c r="AB27" s="13" t="s">
        <v>322</v>
      </c>
      <c r="AC27" s="13" t="s">
        <v>310</v>
      </c>
      <c r="AD27" s="13">
        <v>16</v>
      </c>
      <c r="AE27" s="13" t="s">
        <v>312</v>
      </c>
      <c r="AF27" s="1">
        <f t="shared" si="4"/>
        <v>0.26258246140023089</v>
      </c>
      <c r="AG27" s="1">
        <f t="shared" si="15"/>
        <v>0.16805277529614776</v>
      </c>
      <c r="AH27" s="1"/>
      <c r="AI27" s="1"/>
      <c r="AJ27" s="13">
        <f t="shared" si="5"/>
        <v>8</v>
      </c>
      <c r="AK27" s="13" t="s">
        <v>41</v>
      </c>
      <c r="AL27" s="13" t="str">
        <f t="shared" si="6"/>
        <v>+</v>
      </c>
      <c r="AM27" s="13">
        <f t="shared" si="7"/>
        <v>17</v>
      </c>
      <c r="AN27" s="13" t="str">
        <f t="shared" si="8"/>
        <v>H2</v>
      </c>
      <c r="AO27" s="13" t="str">
        <f t="shared" si="9"/>
        <v>=</v>
      </c>
      <c r="AP27" s="13">
        <f t="shared" si="10"/>
        <v>1</v>
      </c>
      <c r="AQ27" s="13" t="str">
        <f t="shared" si="11"/>
        <v>C8H18</v>
      </c>
      <c r="AR27" s="13" t="str">
        <f t="shared" si="12"/>
        <v>+</v>
      </c>
      <c r="AS27" s="13">
        <f t="shared" si="19"/>
        <v>8</v>
      </c>
      <c r="AT27" s="13" t="str">
        <f t="shared" si="13"/>
        <v>H2O</v>
      </c>
      <c r="AU27" s="1">
        <f t="shared" si="16"/>
        <v>0.47465273250067169</v>
      </c>
      <c r="AV27" s="1">
        <f t="shared" si="17"/>
        <v>0.22336599176502198</v>
      </c>
    </row>
    <row r="28" spans="1:48" x14ac:dyDescent="0.2">
      <c r="A28">
        <v>25</v>
      </c>
      <c r="B28">
        <v>8</v>
      </c>
      <c r="C28" t="s">
        <v>170</v>
      </c>
      <c r="D28" t="s">
        <v>171</v>
      </c>
      <c r="E28" t="s">
        <v>172</v>
      </c>
      <c r="F28">
        <v>-2.9759031479264383E-2</v>
      </c>
      <c r="G28">
        <v>3.9396803078063074E-3</v>
      </c>
      <c r="H28">
        <v>2.262539660422672E-2</v>
      </c>
      <c r="I28">
        <v>6.1738962729975507E-3</v>
      </c>
      <c r="K28" s="30" t="s">
        <v>172</v>
      </c>
      <c r="L28" s="30"/>
      <c r="M28" s="37">
        <f t="shared" si="0"/>
        <v>1.9755842301748582E-3</v>
      </c>
      <c r="N28" s="37">
        <f t="shared" si="1"/>
        <v>7.667172448876514E-3</v>
      </c>
      <c r="O28" s="34">
        <f t="shared" si="2"/>
        <v>5.6551098588755316E-2</v>
      </c>
      <c r="P28" s="34">
        <f t="shared" si="3"/>
        <v>0.14375948341643463</v>
      </c>
      <c r="Q28" s="31" t="s">
        <v>172</v>
      </c>
      <c r="R28" s="32">
        <f t="shared" si="14"/>
        <v>0.20031058200518995</v>
      </c>
      <c r="S28">
        <f t="shared" si="18"/>
        <v>1.6024846560415196</v>
      </c>
      <c r="U28" s="13">
        <v>8</v>
      </c>
      <c r="V28" s="13" t="s">
        <v>309</v>
      </c>
      <c r="W28" s="13" t="s">
        <v>310</v>
      </c>
      <c r="X28" s="13">
        <v>25</v>
      </c>
      <c r="Y28" s="13" t="s">
        <v>42</v>
      </c>
      <c r="Z28" s="13" t="s">
        <v>311</v>
      </c>
      <c r="AA28" s="13">
        <v>1</v>
      </c>
      <c r="AB28" s="13" t="s">
        <v>322</v>
      </c>
      <c r="AC28" s="13" t="s">
        <v>310</v>
      </c>
      <c r="AD28" s="13">
        <v>16</v>
      </c>
      <c r="AE28" s="13" t="s">
        <v>312</v>
      </c>
      <c r="AF28" s="1">
        <f t="shared" si="4"/>
        <v>1.413777464718883</v>
      </c>
      <c r="AG28" s="1">
        <f t="shared" si="15"/>
        <v>0.90481757742008506</v>
      </c>
      <c r="AH28" s="1"/>
      <c r="AI28" s="1"/>
      <c r="AJ28" s="13">
        <f t="shared" si="5"/>
        <v>8</v>
      </c>
      <c r="AK28" s="13" t="s">
        <v>41</v>
      </c>
      <c r="AL28" s="13" t="str">
        <f t="shared" si="6"/>
        <v>+</v>
      </c>
      <c r="AM28" s="13">
        <f t="shared" si="7"/>
        <v>17</v>
      </c>
      <c r="AN28" s="13" t="str">
        <f t="shared" si="8"/>
        <v>H2</v>
      </c>
      <c r="AO28" s="13" t="str">
        <f t="shared" si="9"/>
        <v>=</v>
      </c>
      <c r="AP28" s="13">
        <f t="shared" si="10"/>
        <v>1</v>
      </c>
      <c r="AQ28" s="13" t="str">
        <f t="shared" si="11"/>
        <v>C8H18</v>
      </c>
      <c r="AR28" s="13" t="str">
        <f t="shared" si="12"/>
        <v>+</v>
      </c>
      <c r="AS28" s="13">
        <f t="shared" si="19"/>
        <v>8</v>
      </c>
      <c r="AT28" s="13" t="str">
        <f t="shared" si="13"/>
        <v>H2O</v>
      </c>
      <c r="AU28" s="1">
        <f t="shared" si="16"/>
        <v>2.4439112180793887</v>
      </c>
      <c r="AV28" s="1">
        <f t="shared" si="17"/>
        <v>1.150075867331477</v>
      </c>
    </row>
    <row r="29" spans="1:48" x14ac:dyDescent="0.2">
      <c r="A29">
        <v>26</v>
      </c>
      <c r="B29">
        <v>8</v>
      </c>
      <c r="C29" t="s">
        <v>173</v>
      </c>
      <c r="D29" t="s">
        <v>174</v>
      </c>
      <c r="E29" t="s">
        <v>175</v>
      </c>
      <c r="F29">
        <v>-8.1697317123800517E-2</v>
      </c>
      <c r="G29">
        <v>1.0815584226842589E-2</v>
      </c>
      <c r="H29">
        <v>6.2113385736872161E-2</v>
      </c>
      <c r="I29">
        <v>1.6949165904676114E-2</v>
      </c>
      <c r="K29" s="30" t="s">
        <v>175</v>
      </c>
      <c r="L29" s="30"/>
      <c r="M29" s="37">
        <f t="shared" si="0"/>
        <v>5.4235612966717552E-3</v>
      </c>
      <c r="N29" s="37">
        <f t="shared" si="1"/>
        <v>2.1048649363309677E-2</v>
      </c>
      <c r="O29" s="34">
        <f t="shared" si="2"/>
        <v>0.15524944211722899</v>
      </c>
      <c r="P29" s="34">
        <f t="shared" si="3"/>
        <v>0.39466217556205646</v>
      </c>
      <c r="Q29" s="31" t="s">
        <v>175</v>
      </c>
      <c r="R29" s="32">
        <f t="shared" si="14"/>
        <v>0.54991161767928542</v>
      </c>
      <c r="S29">
        <f t="shared" si="18"/>
        <v>4.3992929414342834</v>
      </c>
      <c r="U29" s="13">
        <v>8</v>
      </c>
      <c r="V29" s="13" t="s">
        <v>309</v>
      </c>
      <c r="W29" s="13" t="s">
        <v>310</v>
      </c>
      <c r="X29" s="13">
        <v>24</v>
      </c>
      <c r="Y29" s="13" t="s">
        <v>42</v>
      </c>
      <c r="Z29" s="13" t="s">
        <v>311</v>
      </c>
      <c r="AA29" s="13">
        <v>1</v>
      </c>
      <c r="AB29" s="13" t="s">
        <v>323</v>
      </c>
      <c r="AC29" s="13" t="s">
        <v>310</v>
      </c>
      <c r="AD29" s="13">
        <v>16</v>
      </c>
      <c r="AE29" s="13" t="s">
        <v>312</v>
      </c>
      <c r="AF29" s="1">
        <f t="shared" si="4"/>
        <v>3.7259866108134956</v>
      </c>
      <c r="AG29" s="1">
        <f t="shared" si="15"/>
        <v>2.4839910738756639</v>
      </c>
      <c r="AH29" s="1"/>
      <c r="AI29" s="1"/>
      <c r="AJ29" s="13">
        <f t="shared" si="5"/>
        <v>8</v>
      </c>
      <c r="AK29" s="13" t="s">
        <v>41</v>
      </c>
      <c r="AL29" s="13" t="str">
        <f t="shared" si="6"/>
        <v>+</v>
      </c>
      <c r="AM29" s="13">
        <f t="shared" si="7"/>
        <v>16</v>
      </c>
      <c r="AN29" s="13" t="str">
        <f t="shared" si="8"/>
        <v>H2</v>
      </c>
      <c r="AO29" s="13" t="str">
        <f t="shared" si="9"/>
        <v>=</v>
      </c>
      <c r="AP29" s="13">
        <f t="shared" si="10"/>
        <v>1</v>
      </c>
      <c r="AQ29" s="13" t="str">
        <f t="shared" si="11"/>
        <v>C8H16</v>
      </c>
      <c r="AR29" s="13" t="str">
        <f t="shared" si="12"/>
        <v>+</v>
      </c>
      <c r="AS29" s="13">
        <f t="shared" si="19"/>
        <v>8</v>
      </c>
      <c r="AT29" s="13" t="str">
        <f t="shared" si="13"/>
        <v>H2O</v>
      </c>
      <c r="AU29" s="1">
        <f t="shared" si="16"/>
        <v>6.3145948089929034</v>
      </c>
      <c r="AV29" s="1">
        <f t="shared" si="17"/>
        <v>3.1572974044964517</v>
      </c>
    </row>
    <row r="30" spans="1:48" x14ac:dyDescent="0.2">
      <c r="A30">
        <v>27</v>
      </c>
      <c r="B30">
        <v>8</v>
      </c>
      <c r="C30" t="s">
        <v>176</v>
      </c>
      <c r="D30" t="s">
        <v>177</v>
      </c>
      <c r="E30" t="s">
        <v>178</v>
      </c>
      <c r="F30">
        <v>-1.3358246941782491E-2</v>
      </c>
      <c r="G30">
        <v>1.7684454032055479E-3</v>
      </c>
      <c r="H30">
        <v>1.0156097828842985E-2</v>
      </c>
      <c r="I30">
        <v>2.7713412335047694E-3</v>
      </c>
      <c r="K30" s="30" t="s">
        <v>178</v>
      </c>
      <c r="L30" s="30"/>
      <c r="M30" s="37">
        <f t="shared" si="0"/>
        <v>8.8680110504790353E-4</v>
      </c>
      <c r="N30" s="37">
        <f t="shared" si="1"/>
        <v>3.4416436902084064E-3</v>
      </c>
      <c r="O30" s="34">
        <f t="shared" si="2"/>
        <v>2.5384681631996239E-2</v>
      </c>
      <c r="P30" s="34">
        <f t="shared" si="3"/>
        <v>6.4530819191407615E-2</v>
      </c>
      <c r="Q30" s="31" t="s">
        <v>178</v>
      </c>
      <c r="R30" s="32">
        <f t="shared" si="14"/>
        <v>8.9915500823403854E-2</v>
      </c>
      <c r="S30">
        <f t="shared" si="18"/>
        <v>0.71932400658723084</v>
      </c>
      <c r="U30" s="13">
        <v>8</v>
      </c>
      <c r="V30" s="13" t="s">
        <v>309</v>
      </c>
      <c r="W30" s="13" t="s">
        <v>310</v>
      </c>
      <c r="X30" s="13">
        <v>24</v>
      </c>
      <c r="Y30" s="13" t="s">
        <v>42</v>
      </c>
      <c r="Z30" s="13" t="s">
        <v>311</v>
      </c>
      <c r="AA30" s="13">
        <v>1</v>
      </c>
      <c r="AB30" s="13" t="s">
        <v>323</v>
      </c>
      <c r="AC30" s="13" t="s">
        <v>310</v>
      </c>
      <c r="AD30" s="13">
        <v>16</v>
      </c>
      <c r="AE30" s="13" t="s">
        <v>312</v>
      </c>
      <c r="AF30" s="1">
        <f t="shared" si="4"/>
        <v>0.60923235916790974</v>
      </c>
      <c r="AG30" s="1">
        <f t="shared" si="15"/>
        <v>0.40615490611193983</v>
      </c>
      <c r="AH30" s="1"/>
      <c r="AI30" s="1"/>
      <c r="AJ30" s="13">
        <f t="shared" si="5"/>
        <v>8</v>
      </c>
      <c r="AK30" s="13" t="s">
        <v>41</v>
      </c>
      <c r="AL30" s="13" t="str">
        <f t="shared" si="6"/>
        <v>+</v>
      </c>
      <c r="AM30" s="13">
        <f t="shared" si="7"/>
        <v>16</v>
      </c>
      <c r="AN30" s="13" t="str">
        <f t="shared" si="8"/>
        <v>H2</v>
      </c>
      <c r="AO30" s="13" t="str">
        <f t="shared" si="9"/>
        <v>=</v>
      </c>
      <c r="AP30" s="13">
        <f t="shared" si="10"/>
        <v>1</v>
      </c>
      <c r="AQ30" s="13" t="str">
        <f t="shared" si="11"/>
        <v>C8H16</v>
      </c>
      <c r="AR30" s="13" t="str">
        <f t="shared" si="12"/>
        <v>+</v>
      </c>
      <c r="AS30" s="13">
        <f t="shared" si="19"/>
        <v>8</v>
      </c>
      <c r="AT30" s="13" t="str">
        <f t="shared" si="13"/>
        <v>H2O</v>
      </c>
      <c r="AU30" s="1">
        <f t="shared" si="16"/>
        <v>1.0324931070625218</v>
      </c>
      <c r="AV30" s="1">
        <f t="shared" si="17"/>
        <v>0.51624655353126092</v>
      </c>
    </row>
    <row r="31" spans="1:48" x14ac:dyDescent="0.2">
      <c r="A31">
        <v>28</v>
      </c>
      <c r="B31">
        <v>8</v>
      </c>
      <c r="C31" t="s">
        <v>179</v>
      </c>
      <c r="D31" t="s">
        <v>180</v>
      </c>
      <c r="E31" t="s">
        <v>181</v>
      </c>
      <c r="F31">
        <v>-3.2377699482869081E-2</v>
      </c>
      <c r="G31">
        <v>3.9863176012065321E-3</v>
      </c>
      <c r="H31">
        <v>-3.5676466581421921E-3</v>
      </c>
      <c r="I31">
        <v>7.3007992373693197E-3</v>
      </c>
      <c r="K31" s="30" t="s">
        <v>181</v>
      </c>
      <c r="L31" s="30"/>
      <c r="M31" s="37">
        <f t="shared" si="0"/>
        <v>1.8493894353371729E-3</v>
      </c>
      <c r="N31" s="37">
        <f t="shared" si="1"/>
        <v>7.0653345579319354E-3</v>
      </c>
      <c r="O31" s="34">
        <f t="shared" si="2"/>
        <v>5.2938772586526572E-2</v>
      </c>
      <c r="P31" s="34">
        <f t="shared" si="3"/>
        <v>0.13247502296122379</v>
      </c>
      <c r="Q31" s="31" t="s">
        <v>181</v>
      </c>
      <c r="R31" s="32">
        <f t="shared" si="14"/>
        <v>0.18541379554775037</v>
      </c>
      <c r="S31">
        <f t="shared" si="18"/>
        <v>1.4833103643820029</v>
      </c>
      <c r="U31" s="13">
        <v>8</v>
      </c>
      <c r="V31" s="13" t="s">
        <v>309</v>
      </c>
      <c r="W31" s="13" t="s">
        <v>310</v>
      </c>
      <c r="X31" s="13">
        <v>21</v>
      </c>
      <c r="Y31" s="13" t="s">
        <v>42</v>
      </c>
      <c r="Z31" s="13" t="s">
        <v>311</v>
      </c>
      <c r="AA31" s="13">
        <v>1</v>
      </c>
      <c r="AB31" s="13" t="s">
        <v>324</v>
      </c>
      <c r="AC31" s="13" t="s">
        <v>310</v>
      </c>
      <c r="AD31" s="13">
        <v>16</v>
      </c>
      <c r="AE31" s="13" t="s">
        <v>312</v>
      </c>
      <c r="AF31" s="1">
        <f t="shared" si="4"/>
        <v>1.1117142243170579</v>
      </c>
      <c r="AG31" s="1">
        <f t="shared" si="15"/>
        <v>0.84702036138442516</v>
      </c>
      <c r="AH31" s="1"/>
      <c r="AI31" s="1"/>
      <c r="AJ31" s="13">
        <f t="shared" si="5"/>
        <v>8</v>
      </c>
      <c r="AK31" s="13" t="s">
        <v>41</v>
      </c>
      <c r="AL31" s="13" t="str">
        <f t="shared" si="6"/>
        <v>+</v>
      </c>
      <c r="AM31" s="13">
        <f t="shared" si="7"/>
        <v>13</v>
      </c>
      <c r="AN31" s="13" t="str">
        <f t="shared" si="8"/>
        <v>H2</v>
      </c>
      <c r="AO31" s="13" t="str">
        <f t="shared" si="9"/>
        <v>=</v>
      </c>
      <c r="AP31" s="13">
        <f t="shared" si="10"/>
        <v>1</v>
      </c>
      <c r="AQ31" s="13" t="str">
        <f t="shared" si="11"/>
        <v>C8H10</v>
      </c>
      <c r="AR31" s="13" t="str">
        <f t="shared" si="12"/>
        <v>+</v>
      </c>
      <c r="AS31" s="13">
        <f t="shared" si="19"/>
        <v>8</v>
      </c>
      <c r="AT31" s="13" t="str">
        <f t="shared" si="13"/>
        <v>H2O</v>
      </c>
      <c r="AU31" s="1">
        <f t="shared" si="16"/>
        <v>1.7221752984959093</v>
      </c>
      <c r="AV31" s="1">
        <f t="shared" si="17"/>
        <v>1.0598001836897903</v>
      </c>
    </row>
    <row r="32" spans="1:48" x14ac:dyDescent="0.2">
      <c r="A32">
        <v>29</v>
      </c>
      <c r="B32">
        <v>9</v>
      </c>
      <c r="C32" t="s">
        <v>182</v>
      </c>
      <c r="D32" t="s">
        <v>183</v>
      </c>
      <c r="E32" t="s">
        <v>184</v>
      </c>
      <c r="F32">
        <v>-1.0670219498622187E-2</v>
      </c>
      <c r="G32">
        <v>1.6556008722719926E-3</v>
      </c>
      <c r="H32">
        <v>3.0939776102934472E-2</v>
      </c>
      <c r="I32">
        <v>1.7409724635423316E-3</v>
      </c>
      <c r="K32" s="30" t="s">
        <v>184</v>
      </c>
      <c r="L32" s="30"/>
      <c r="M32" s="37">
        <f t="shared" si="0"/>
        <v>9.5136638536292824E-4</v>
      </c>
      <c r="N32" s="37">
        <f t="shared" si="1"/>
        <v>3.7829976863360069E-3</v>
      </c>
      <c r="O32" s="34">
        <f t="shared" si="2"/>
        <v>2.4206989138678952E-2</v>
      </c>
      <c r="P32" s="34">
        <f t="shared" si="3"/>
        <v>6.3049961438933447E-2</v>
      </c>
      <c r="Q32" s="31" t="s">
        <v>184</v>
      </c>
      <c r="R32" s="32">
        <f t="shared" si="14"/>
        <v>8.7256950577612402E-2</v>
      </c>
      <c r="S32">
        <f t="shared" si="18"/>
        <v>0.78531255519851162</v>
      </c>
      <c r="U32" s="13">
        <v>9</v>
      </c>
      <c r="V32" s="13" t="s">
        <v>309</v>
      </c>
      <c r="W32" s="13" t="s">
        <v>310</v>
      </c>
      <c r="X32" s="13">
        <v>28</v>
      </c>
      <c r="Y32" s="13" t="s">
        <v>42</v>
      </c>
      <c r="Z32" s="13" t="s">
        <v>311</v>
      </c>
      <c r="AA32" s="13">
        <v>1</v>
      </c>
      <c r="AB32" s="13" t="s">
        <v>325</v>
      </c>
      <c r="AC32" s="13" t="s">
        <v>310</v>
      </c>
      <c r="AD32" s="13">
        <v>18</v>
      </c>
      <c r="AE32" s="13" t="s">
        <v>312</v>
      </c>
      <c r="AF32" s="1">
        <f t="shared" si="4"/>
        <v>0.6777956958830107</v>
      </c>
      <c r="AG32" s="1">
        <f t="shared" si="15"/>
        <v>0.43572580449622111</v>
      </c>
      <c r="AH32" s="1"/>
      <c r="AI32" s="1"/>
      <c r="AJ32" s="13">
        <f t="shared" si="5"/>
        <v>9</v>
      </c>
      <c r="AK32" s="13" t="s">
        <v>41</v>
      </c>
      <c r="AL32" s="13" t="str">
        <f t="shared" si="6"/>
        <v>+</v>
      </c>
      <c r="AM32" s="13">
        <f t="shared" si="7"/>
        <v>19</v>
      </c>
      <c r="AN32" s="13" t="str">
        <f t="shared" si="8"/>
        <v>H2</v>
      </c>
      <c r="AO32" s="13" t="str">
        <f t="shared" si="9"/>
        <v>=</v>
      </c>
      <c r="AP32" s="13">
        <f t="shared" si="10"/>
        <v>1</v>
      </c>
      <c r="AQ32" s="13" t="str">
        <f t="shared" si="11"/>
        <v>C9H20</v>
      </c>
      <c r="AR32" s="13" t="str">
        <f t="shared" si="12"/>
        <v>+</v>
      </c>
      <c r="AS32" s="13">
        <f t="shared" si="19"/>
        <v>9</v>
      </c>
      <c r="AT32" s="13" t="str">
        <f t="shared" si="13"/>
        <v>H2O</v>
      </c>
      <c r="AU32" s="1">
        <f t="shared" si="16"/>
        <v>1.1979492673397354</v>
      </c>
      <c r="AV32" s="1">
        <f t="shared" si="17"/>
        <v>0.56744965295040106</v>
      </c>
    </row>
    <row r="33" spans="1:48" x14ac:dyDescent="0.2">
      <c r="A33">
        <v>30</v>
      </c>
      <c r="B33">
        <v>9</v>
      </c>
      <c r="C33" t="s">
        <v>185</v>
      </c>
      <c r="D33" t="s">
        <v>186</v>
      </c>
      <c r="E33" t="s">
        <v>187</v>
      </c>
      <c r="F33">
        <v>-8.8024105508101289E-2</v>
      </c>
      <c r="G33">
        <v>1.1653162681862374E-2</v>
      </c>
      <c r="H33">
        <v>6.6923558961950513E-2</v>
      </c>
      <c r="I33">
        <v>1.826174004718796E-2</v>
      </c>
      <c r="K33" s="30" t="s">
        <v>187</v>
      </c>
      <c r="L33" s="30"/>
      <c r="M33" s="37">
        <f t="shared" si="0"/>
        <v>5.8435717183276887E-3</v>
      </c>
      <c r="N33" s="37">
        <f t="shared" si="1"/>
        <v>2.2678694938676695E-2</v>
      </c>
      <c r="O33" s="34">
        <f t="shared" si="2"/>
        <v>0.14868643594411565</v>
      </c>
      <c r="P33" s="34">
        <f t="shared" si="3"/>
        <v>0.37797824897794491</v>
      </c>
      <c r="Q33" s="31" t="s">
        <v>187</v>
      </c>
      <c r="R33" s="32">
        <f t="shared" si="14"/>
        <v>0.52666468492206053</v>
      </c>
      <c r="S33">
        <f t="shared" si="18"/>
        <v>4.7399821642985449</v>
      </c>
      <c r="U33" s="13">
        <v>9</v>
      </c>
      <c r="V33" s="13" t="s">
        <v>309</v>
      </c>
      <c r="W33" s="13" t="s">
        <v>310</v>
      </c>
      <c r="X33" s="13">
        <v>28</v>
      </c>
      <c r="Y33" s="13" t="s">
        <v>42</v>
      </c>
      <c r="Z33" s="13" t="s">
        <v>311</v>
      </c>
      <c r="AA33" s="13">
        <v>1</v>
      </c>
      <c r="AB33" s="13" t="s">
        <v>325</v>
      </c>
      <c r="AC33" s="13" t="s">
        <v>310</v>
      </c>
      <c r="AD33" s="13">
        <v>18</v>
      </c>
      <c r="AE33" s="13" t="s">
        <v>312</v>
      </c>
      <c r="AF33" s="1">
        <f t="shared" si="4"/>
        <v>4.1632202064352386</v>
      </c>
      <c r="AG33" s="1">
        <f t="shared" si="15"/>
        <v>2.6763558469940816</v>
      </c>
      <c r="AH33" s="1"/>
      <c r="AI33" s="1"/>
      <c r="AJ33" s="13">
        <f t="shared" si="5"/>
        <v>9</v>
      </c>
      <c r="AK33" s="13" t="s">
        <v>41</v>
      </c>
      <c r="AL33" s="13" t="str">
        <f t="shared" si="6"/>
        <v>+</v>
      </c>
      <c r="AM33" s="13">
        <f t="shared" si="7"/>
        <v>19</v>
      </c>
      <c r="AN33" s="13" t="str">
        <f t="shared" si="8"/>
        <v>H2</v>
      </c>
      <c r="AO33" s="13" t="str">
        <f t="shared" si="9"/>
        <v>=</v>
      </c>
      <c r="AP33" s="13">
        <f t="shared" si="10"/>
        <v>1</v>
      </c>
      <c r="AQ33" s="13" t="str">
        <f t="shared" si="11"/>
        <v>C9H20</v>
      </c>
      <c r="AR33" s="13" t="str">
        <f t="shared" si="12"/>
        <v>+</v>
      </c>
      <c r="AS33" s="13">
        <f t="shared" si="19"/>
        <v>9</v>
      </c>
      <c r="AT33" s="13" t="str">
        <f t="shared" si="13"/>
        <v>H2O</v>
      </c>
      <c r="AU33" s="1">
        <f t="shared" si="16"/>
        <v>7.1815867305809533</v>
      </c>
      <c r="AV33" s="1">
        <f t="shared" si="17"/>
        <v>3.4018042408015043</v>
      </c>
    </row>
    <row r="34" spans="1:48" x14ac:dyDescent="0.2">
      <c r="A34">
        <v>31</v>
      </c>
      <c r="B34">
        <v>9</v>
      </c>
      <c r="C34" t="s">
        <v>188</v>
      </c>
      <c r="D34" t="s">
        <v>189</v>
      </c>
      <c r="E34" t="s">
        <v>190</v>
      </c>
      <c r="F34">
        <v>-1.6221568359321245E-2</v>
      </c>
      <c r="G34">
        <v>2.1475091846144831E-3</v>
      </c>
      <c r="H34">
        <v>1.2333043094092371E-2</v>
      </c>
      <c r="I34">
        <v>3.3653743236090041E-3</v>
      </c>
      <c r="K34" s="30" t="s">
        <v>190</v>
      </c>
      <c r="L34" s="30"/>
      <c r="M34" s="37">
        <f t="shared" si="0"/>
        <v>1.0768856728992809E-3</v>
      </c>
      <c r="N34" s="37">
        <f t="shared" si="1"/>
        <v>4.1793551678191007E-3</v>
      </c>
      <c r="O34" s="34">
        <f t="shared" si="2"/>
        <v>2.7400757677103923E-2</v>
      </c>
      <c r="P34" s="34">
        <f t="shared" si="3"/>
        <v>6.9655919463651683E-2</v>
      </c>
      <c r="Q34" s="31" t="s">
        <v>190</v>
      </c>
      <c r="R34" s="32">
        <f t="shared" si="14"/>
        <v>9.7056677140755609E-2</v>
      </c>
      <c r="S34">
        <f t="shared" si="18"/>
        <v>0.87351009426680049</v>
      </c>
      <c r="U34" s="13">
        <v>9</v>
      </c>
      <c r="V34" s="13" t="s">
        <v>309</v>
      </c>
      <c r="W34" s="13" t="s">
        <v>310</v>
      </c>
      <c r="X34" s="13">
        <v>27</v>
      </c>
      <c r="Y34" s="13" t="s">
        <v>42</v>
      </c>
      <c r="Z34" s="13" t="s">
        <v>311</v>
      </c>
      <c r="AA34" s="13">
        <v>1</v>
      </c>
      <c r="AB34" s="13" t="s">
        <v>326</v>
      </c>
      <c r="AC34" s="13" t="s">
        <v>310</v>
      </c>
      <c r="AD34" s="13">
        <v>18</v>
      </c>
      <c r="AE34" s="13" t="s">
        <v>312</v>
      </c>
      <c r="AF34" s="1">
        <f t="shared" si="4"/>
        <v>0.7398204572818059</v>
      </c>
      <c r="AG34" s="1">
        <f t="shared" si="15"/>
        <v>0.49321363818787062</v>
      </c>
      <c r="AH34" s="1"/>
      <c r="AI34" s="1"/>
      <c r="AJ34" s="13">
        <f t="shared" si="5"/>
        <v>9</v>
      </c>
      <c r="AK34" s="13" t="s">
        <v>41</v>
      </c>
      <c r="AL34" s="13" t="str">
        <f t="shared" si="6"/>
        <v>+</v>
      </c>
      <c r="AM34" s="13">
        <f t="shared" si="7"/>
        <v>18</v>
      </c>
      <c r="AN34" s="13" t="str">
        <f t="shared" si="8"/>
        <v>H2</v>
      </c>
      <c r="AO34" s="13" t="str">
        <f t="shared" si="9"/>
        <v>=</v>
      </c>
      <c r="AP34" s="13">
        <f t="shared" si="10"/>
        <v>1</v>
      </c>
      <c r="AQ34" s="13" t="str">
        <f t="shared" si="11"/>
        <v>C9H18</v>
      </c>
      <c r="AR34" s="13" t="str">
        <f t="shared" si="12"/>
        <v>+</v>
      </c>
      <c r="AS34" s="13">
        <f t="shared" si="19"/>
        <v>9</v>
      </c>
      <c r="AT34" s="13" t="str">
        <f t="shared" si="13"/>
        <v>H2O</v>
      </c>
      <c r="AU34" s="1">
        <f t="shared" si="16"/>
        <v>1.2538065503457303</v>
      </c>
      <c r="AV34" s="1">
        <f t="shared" si="17"/>
        <v>0.62690327517286515</v>
      </c>
    </row>
    <row r="35" spans="1:48" x14ac:dyDescent="0.2">
      <c r="A35">
        <v>32</v>
      </c>
      <c r="B35">
        <v>9</v>
      </c>
      <c r="C35" t="s">
        <v>191</v>
      </c>
      <c r="D35" t="s">
        <v>192</v>
      </c>
      <c r="E35" t="s">
        <v>193</v>
      </c>
      <c r="F35">
        <v>-9.1445980384913562E-3</v>
      </c>
      <c r="G35">
        <v>1.2106171143422954E-3</v>
      </c>
      <c r="H35">
        <v>6.9525165007895346E-3</v>
      </c>
      <c r="I35">
        <v>1.8971652282179061E-3</v>
      </c>
      <c r="K35" s="30" t="s">
        <v>193</v>
      </c>
      <c r="L35" s="30"/>
      <c r="M35" s="37">
        <f t="shared" si="0"/>
        <v>6.0707364380186584E-4</v>
      </c>
      <c r="N35" s="37">
        <f t="shared" si="1"/>
        <v>2.3560313172700156E-3</v>
      </c>
      <c r="O35" s="34">
        <f t="shared" si="2"/>
        <v>1.5446651603403031E-2</v>
      </c>
      <c r="P35" s="34">
        <f t="shared" si="3"/>
        <v>3.9267188621166932E-2</v>
      </c>
      <c r="Q35" s="31" t="s">
        <v>193</v>
      </c>
      <c r="R35" s="32">
        <f t="shared" si="14"/>
        <v>5.471384022456996E-2</v>
      </c>
      <c r="S35">
        <f t="shared" si="18"/>
        <v>0.49242456202112961</v>
      </c>
      <c r="U35" s="13">
        <v>9</v>
      </c>
      <c r="V35" s="13" t="s">
        <v>309</v>
      </c>
      <c r="W35" s="13" t="s">
        <v>310</v>
      </c>
      <c r="X35" s="13">
        <v>27</v>
      </c>
      <c r="Y35" s="13" t="s">
        <v>42</v>
      </c>
      <c r="Z35" s="13" t="s">
        <v>311</v>
      </c>
      <c r="AA35" s="13">
        <v>1</v>
      </c>
      <c r="AB35" s="13" t="s">
        <v>326</v>
      </c>
      <c r="AC35" s="13" t="s">
        <v>310</v>
      </c>
      <c r="AD35" s="13">
        <v>18</v>
      </c>
      <c r="AE35" s="13" t="s">
        <v>312</v>
      </c>
      <c r="AF35" s="1">
        <f t="shared" si="4"/>
        <v>0.41705959329188186</v>
      </c>
      <c r="AG35" s="1">
        <f t="shared" si="15"/>
        <v>0.27803972886125455</v>
      </c>
      <c r="AH35" s="1"/>
      <c r="AI35" s="1"/>
      <c r="AJ35" s="13">
        <f t="shared" si="5"/>
        <v>9</v>
      </c>
      <c r="AK35" s="13" t="s">
        <v>41</v>
      </c>
      <c r="AL35" s="13" t="str">
        <f t="shared" si="6"/>
        <v>+</v>
      </c>
      <c r="AM35" s="13">
        <f t="shared" si="7"/>
        <v>18</v>
      </c>
      <c r="AN35" s="13" t="str">
        <f t="shared" si="8"/>
        <v>H2</v>
      </c>
      <c r="AO35" s="13" t="str">
        <f t="shared" si="9"/>
        <v>=</v>
      </c>
      <c r="AP35" s="13">
        <f t="shared" si="10"/>
        <v>1</v>
      </c>
      <c r="AQ35" s="13" t="str">
        <f t="shared" si="11"/>
        <v>C9H18</v>
      </c>
      <c r="AR35" s="13" t="str">
        <f t="shared" si="12"/>
        <v>+</v>
      </c>
      <c r="AS35" s="13">
        <f t="shared" si="19"/>
        <v>9</v>
      </c>
      <c r="AT35" s="13" t="str">
        <f t="shared" si="13"/>
        <v>H2O</v>
      </c>
      <c r="AU35" s="1">
        <f t="shared" si="16"/>
        <v>0.70680939518100483</v>
      </c>
      <c r="AV35" s="1">
        <f t="shared" si="17"/>
        <v>0.35340469759050241</v>
      </c>
    </row>
    <row r="36" spans="1:48" x14ac:dyDescent="0.2">
      <c r="A36">
        <v>33</v>
      </c>
      <c r="B36">
        <v>9</v>
      </c>
      <c r="C36" t="s">
        <v>194</v>
      </c>
      <c r="D36" t="s">
        <v>195</v>
      </c>
      <c r="E36" t="s">
        <v>196</v>
      </c>
      <c r="F36">
        <v>-4.604036335060295E-2</v>
      </c>
      <c r="G36">
        <v>5.1163762518555353E-3</v>
      </c>
      <c r="H36">
        <v>-5.6932442357978716E-2</v>
      </c>
      <c r="I36">
        <v>1.1455462139040959E-2</v>
      </c>
      <c r="K36" s="30" t="s">
        <v>196</v>
      </c>
      <c r="L36" s="30"/>
      <c r="M36" s="37">
        <f t="shared" ref="M36:M67" si="20">IF($L$1,F36*$K$1+G36,0)</f>
        <v>2.0777122707157404E-3</v>
      </c>
      <c r="N36" s="37">
        <f t="shared" ref="N36:N67" si="21">IF($L$1,H36*$K$1+I36,0)</f>
        <v>7.6979209434143636E-3</v>
      </c>
      <c r="O36" s="34">
        <f t="shared" ref="O36:O71" si="22">+M36*$L$72/U36</f>
        <v>5.2866234443767174E-2</v>
      </c>
      <c r="P36" s="34">
        <f t="shared" ref="P36:P71" si="23">+N36*$L$73/AJ36</f>
        <v>0.12829868239023939</v>
      </c>
      <c r="Q36" s="31" t="s">
        <v>196</v>
      </c>
      <c r="R36" s="32">
        <f t="shared" ref="R36:R71" si="24">+L36+O36+P36</f>
        <v>0.18116491683400657</v>
      </c>
      <c r="S36">
        <f t="shared" si="18"/>
        <v>1.6304842515060591</v>
      </c>
      <c r="U36" s="13">
        <v>9</v>
      </c>
      <c r="V36" s="13" t="s">
        <v>309</v>
      </c>
      <c r="W36" s="13" t="s">
        <v>310</v>
      </c>
      <c r="X36" s="13">
        <v>23</v>
      </c>
      <c r="Y36" s="13" t="s">
        <v>42</v>
      </c>
      <c r="Z36" s="13" t="s">
        <v>311</v>
      </c>
      <c r="AA36" s="13">
        <v>1</v>
      </c>
      <c r="AB36" s="13" t="s">
        <v>327</v>
      </c>
      <c r="AC36" s="13" t="s">
        <v>310</v>
      </c>
      <c r="AD36" s="13">
        <v>18</v>
      </c>
      <c r="AE36" s="13" t="s">
        <v>312</v>
      </c>
      <c r="AF36" s="1">
        <f t="shared" ref="AF36:AF68" si="25">+O36*X36</f>
        <v>1.215923392206645</v>
      </c>
      <c r="AG36" s="1">
        <f t="shared" si="15"/>
        <v>0.95159221998780907</v>
      </c>
      <c r="AH36" s="1"/>
      <c r="AI36" s="1"/>
      <c r="AJ36" s="13">
        <f t="shared" ref="AJ36:AJ71" si="26">U36</f>
        <v>9</v>
      </c>
      <c r="AK36" s="13" t="s">
        <v>41</v>
      </c>
      <c r="AL36" s="13" t="str">
        <f t="shared" ref="AL36:AL71" si="27">W36</f>
        <v>+</v>
      </c>
      <c r="AM36" s="13">
        <f t="shared" ref="AM36:AM71" si="28">+X36-AJ36</f>
        <v>14</v>
      </c>
      <c r="AN36" s="13" t="str">
        <f t="shared" ref="AN36:AN71" si="29">Y36</f>
        <v>H2</v>
      </c>
      <c r="AO36" s="13" t="str">
        <f t="shared" ref="AO36:AO71" si="30">Z36</f>
        <v>=</v>
      </c>
      <c r="AP36" s="13">
        <f t="shared" ref="AP36:AP71" si="31">AA36</f>
        <v>1</v>
      </c>
      <c r="AQ36" s="13" t="str">
        <f t="shared" ref="AQ36:AQ71" si="32">AB36</f>
        <v>C9H10</v>
      </c>
      <c r="AR36" s="13" t="str">
        <f t="shared" ref="AR36:AR71" si="33">AC36</f>
        <v>+</v>
      </c>
      <c r="AS36" s="13">
        <f t="shared" si="19"/>
        <v>9</v>
      </c>
      <c r="AT36" s="13" t="str">
        <f t="shared" ref="AT36:AT71" si="34">+AE36</f>
        <v>H2O</v>
      </c>
      <c r="AU36" s="1">
        <f t="shared" si="16"/>
        <v>1.7961815534633514</v>
      </c>
      <c r="AV36" s="1">
        <f t="shared" si="17"/>
        <v>1.1546881415121546</v>
      </c>
    </row>
    <row r="37" spans="1:48" x14ac:dyDescent="0.2">
      <c r="A37">
        <v>34</v>
      </c>
      <c r="B37">
        <v>10</v>
      </c>
      <c r="C37" t="s">
        <v>197</v>
      </c>
      <c r="D37" t="s">
        <v>198</v>
      </c>
      <c r="E37" t="s">
        <v>199</v>
      </c>
      <c r="F37">
        <v>-1.3164007794581507E-2</v>
      </c>
      <c r="G37">
        <v>2.3405229755603736E-3</v>
      </c>
      <c r="H37">
        <v>6.6161887711366371E-2</v>
      </c>
      <c r="I37">
        <v>1.5682327558777321E-3</v>
      </c>
      <c r="K37" s="30" t="s">
        <v>199</v>
      </c>
      <c r="L37" s="30"/>
      <c r="M37" s="37">
        <f t="shared" si="20"/>
        <v>1.4716984611179941E-3</v>
      </c>
      <c r="N37" s="37">
        <f t="shared" si="21"/>
        <v>5.9349173448279124E-3</v>
      </c>
      <c r="O37" s="34">
        <f t="shared" si="22"/>
        <v>3.3701894759602065E-2</v>
      </c>
      <c r="P37" s="34">
        <f t="shared" si="23"/>
        <v>8.9023760172418684E-2</v>
      </c>
      <c r="Q37" s="31" t="s">
        <v>199</v>
      </c>
      <c r="R37" s="32">
        <f t="shared" si="24"/>
        <v>0.12272565493202076</v>
      </c>
      <c r="S37">
        <f t="shared" si="18"/>
        <v>1.2272565493202077</v>
      </c>
      <c r="U37" s="13">
        <v>10</v>
      </c>
      <c r="V37" s="13" t="s">
        <v>309</v>
      </c>
      <c r="W37" s="13" t="s">
        <v>310</v>
      </c>
      <c r="X37" s="13">
        <v>31</v>
      </c>
      <c r="Y37" s="13" t="s">
        <v>42</v>
      </c>
      <c r="Z37" s="13" t="s">
        <v>311</v>
      </c>
      <c r="AA37" s="13">
        <v>1</v>
      </c>
      <c r="AB37" s="13" t="s">
        <v>328</v>
      </c>
      <c r="AC37" s="13" t="s">
        <v>310</v>
      </c>
      <c r="AD37" s="13">
        <v>20</v>
      </c>
      <c r="AE37" s="13" t="s">
        <v>312</v>
      </c>
      <c r="AF37" s="1">
        <f t="shared" si="25"/>
        <v>1.0447587375476639</v>
      </c>
      <c r="AG37" s="1">
        <f t="shared" si="15"/>
        <v>0.67403789519204127</v>
      </c>
      <c r="AH37" s="1"/>
      <c r="AI37" s="1"/>
      <c r="AJ37" s="13">
        <f t="shared" si="26"/>
        <v>10</v>
      </c>
      <c r="AK37" s="13" t="s">
        <v>41</v>
      </c>
      <c r="AL37" s="13" t="str">
        <f t="shared" si="27"/>
        <v>+</v>
      </c>
      <c r="AM37" s="13">
        <f t="shared" si="28"/>
        <v>21</v>
      </c>
      <c r="AN37" s="13" t="str">
        <f t="shared" si="29"/>
        <v>H2</v>
      </c>
      <c r="AO37" s="13" t="str">
        <f t="shared" si="30"/>
        <v>=</v>
      </c>
      <c r="AP37" s="13">
        <f t="shared" si="31"/>
        <v>1</v>
      </c>
      <c r="AQ37" s="13" t="str">
        <f t="shared" si="32"/>
        <v>C10H22</v>
      </c>
      <c r="AR37" s="13" t="str">
        <f t="shared" si="33"/>
        <v>+</v>
      </c>
      <c r="AS37" s="13">
        <f t="shared" si="19"/>
        <v>10</v>
      </c>
      <c r="AT37" s="13" t="str">
        <f t="shared" si="34"/>
        <v>H2O</v>
      </c>
      <c r="AU37" s="1">
        <f t="shared" si="16"/>
        <v>1.8694989636207924</v>
      </c>
      <c r="AV37" s="1">
        <f t="shared" si="17"/>
        <v>0.89023760172418687</v>
      </c>
    </row>
    <row r="38" spans="1:48" x14ac:dyDescent="0.2">
      <c r="A38">
        <v>35</v>
      </c>
      <c r="B38">
        <v>10</v>
      </c>
      <c r="C38" t="s">
        <v>200</v>
      </c>
      <c r="D38" t="s">
        <v>201</v>
      </c>
      <c r="E38" t="s">
        <v>202</v>
      </c>
      <c r="F38">
        <v>-3.3247540803849604E-2</v>
      </c>
      <c r="G38">
        <v>4.4015102399814652E-3</v>
      </c>
      <c r="H38">
        <v>2.5277663936289566E-2</v>
      </c>
      <c r="I38">
        <v>6.8976326866769062E-3</v>
      </c>
      <c r="K38" s="30" t="s">
        <v>202</v>
      </c>
      <c r="L38" s="30"/>
      <c r="M38" s="37">
        <f t="shared" si="20"/>
        <v>2.2071725469273913E-3</v>
      </c>
      <c r="N38" s="37">
        <f t="shared" si="21"/>
        <v>8.5659585064720174E-3</v>
      </c>
      <c r="O38" s="34">
        <f t="shared" si="22"/>
        <v>5.054425132463726E-2</v>
      </c>
      <c r="P38" s="34">
        <f t="shared" si="23"/>
        <v>0.12848937759708026</v>
      </c>
      <c r="Q38" s="31" t="s">
        <v>202</v>
      </c>
      <c r="R38" s="32">
        <f t="shared" si="24"/>
        <v>0.17903362892171754</v>
      </c>
      <c r="S38">
        <f t="shared" si="18"/>
        <v>1.7903362892171755</v>
      </c>
      <c r="U38" s="13">
        <v>10</v>
      </c>
      <c r="V38" s="13" t="s">
        <v>309</v>
      </c>
      <c r="W38" s="13" t="s">
        <v>310</v>
      </c>
      <c r="X38" s="13">
        <v>31</v>
      </c>
      <c r="Y38" s="13" t="s">
        <v>42</v>
      </c>
      <c r="Z38" s="13" t="s">
        <v>311</v>
      </c>
      <c r="AA38" s="13">
        <v>1</v>
      </c>
      <c r="AB38" s="13" t="s">
        <v>328</v>
      </c>
      <c r="AC38" s="13" t="s">
        <v>310</v>
      </c>
      <c r="AD38" s="13">
        <v>20</v>
      </c>
      <c r="AE38" s="13" t="s">
        <v>312</v>
      </c>
      <c r="AF38" s="1">
        <f t="shared" si="25"/>
        <v>1.5668717910637551</v>
      </c>
      <c r="AG38" s="1">
        <f t="shared" si="15"/>
        <v>1.0108850264927451</v>
      </c>
      <c r="AH38" s="1"/>
      <c r="AI38" s="1"/>
      <c r="AJ38" s="13">
        <f t="shared" si="26"/>
        <v>10</v>
      </c>
      <c r="AK38" s="13" t="s">
        <v>41</v>
      </c>
      <c r="AL38" s="13" t="str">
        <f t="shared" si="27"/>
        <v>+</v>
      </c>
      <c r="AM38" s="13">
        <f t="shared" si="28"/>
        <v>21</v>
      </c>
      <c r="AN38" s="13" t="str">
        <f t="shared" si="29"/>
        <v>H2</v>
      </c>
      <c r="AO38" s="13" t="str">
        <f t="shared" si="30"/>
        <v>=</v>
      </c>
      <c r="AP38" s="13">
        <f t="shared" si="31"/>
        <v>1</v>
      </c>
      <c r="AQ38" s="13" t="str">
        <f t="shared" si="32"/>
        <v>C10H22</v>
      </c>
      <c r="AR38" s="13" t="str">
        <f t="shared" si="33"/>
        <v>+</v>
      </c>
      <c r="AS38" s="13">
        <f t="shared" si="19"/>
        <v>10</v>
      </c>
      <c r="AT38" s="13" t="str">
        <f t="shared" si="34"/>
        <v>H2O</v>
      </c>
      <c r="AU38" s="1">
        <f t="shared" si="16"/>
        <v>2.6982769295386855</v>
      </c>
      <c r="AV38" s="1">
        <f t="shared" si="17"/>
        <v>1.2848937759708026</v>
      </c>
    </row>
    <row r="39" spans="1:48" x14ac:dyDescent="0.2">
      <c r="A39">
        <v>36</v>
      </c>
      <c r="B39">
        <v>10</v>
      </c>
      <c r="C39" t="s">
        <v>203</v>
      </c>
      <c r="D39" t="s">
        <v>204</v>
      </c>
      <c r="E39" t="s">
        <v>205</v>
      </c>
      <c r="F39">
        <v>-3.627372999872705E-2</v>
      </c>
      <c r="G39">
        <v>4.8021176777397721E-3</v>
      </c>
      <c r="H39">
        <v>2.7576766790506083E-2</v>
      </c>
      <c r="I39">
        <v>7.5254893586479757E-3</v>
      </c>
      <c r="K39" s="30" t="s">
        <v>205</v>
      </c>
      <c r="L39" s="30"/>
      <c r="M39" s="37">
        <f t="shared" si="20"/>
        <v>2.4080514978237866E-3</v>
      </c>
      <c r="N39" s="37">
        <f t="shared" si="21"/>
        <v>9.3455559668213766E-3</v>
      </c>
      <c r="O39" s="34">
        <f t="shared" si="22"/>
        <v>5.5144379300164713E-2</v>
      </c>
      <c r="P39" s="34">
        <f t="shared" si="23"/>
        <v>0.14018333950232065</v>
      </c>
      <c r="Q39" s="31" t="s">
        <v>205</v>
      </c>
      <c r="R39" s="32">
        <f t="shared" si="24"/>
        <v>0.19532771880248537</v>
      </c>
      <c r="S39">
        <f t="shared" si="18"/>
        <v>1.9532771880248536</v>
      </c>
      <c r="U39" s="13">
        <v>10</v>
      </c>
      <c r="V39" s="13" t="s">
        <v>309</v>
      </c>
      <c r="W39" s="13" t="s">
        <v>310</v>
      </c>
      <c r="X39" s="13">
        <v>30</v>
      </c>
      <c r="Y39" s="13" t="s">
        <v>42</v>
      </c>
      <c r="Z39" s="13" t="s">
        <v>311</v>
      </c>
      <c r="AA39" s="13">
        <v>1</v>
      </c>
      <c r="AB39" s="13" t="s">
        <v>329</v>
      </c>
      <c r="AC39" s="13" t="s">
        <v>310</v>
      </c>
      <c r="AD39" s="13">
        <v>20</v>
      </c>
      <c r="AE39" s="13" t="s">
        <v>312</v>
      </c>
      <c r="AF39" s="1">
        <f t="shared" si="25"/>
        <v>1.6543313790049414</v>
      </c>
      <c r="AG39" s="1">
        <f t="shared" si="15"/>
        <v>1.1028875860032943</v>
      </c>
      <c r="AH39" s="1"/>
      <c r="AI39" s="1"/>
      <c r="AJ39" s="13">
        <f t="shared" si="26"/>
        <v>10</v>
      </c>
      <c r="AK39" s="13" t="s">
        <v>41</v>
      </c>
      <c r="AL39" s="13" t="str">
        <f t="shared" si="27"/>
        <v>+</v>
      </c>
      <c r="AM39" s="13">
        <f t="shared" si="28"/>
        <v>20</v>
      </c>
      <c r="AN39" s="13" t="str">
        <f t="shared" si="29"/>
        <v>H2</v>
      </c>
      <c r="AO39" s="13" t="str">
        <f t="shared" si="30"/>
        <v>=</v>
      </c>
      <c r="AP39" s="13">
        <f t="shared" si="31"/>
        <v>1</v>
      </c>
      <c r="AQ39" s="13" t="str">
        <f t="shared" si="32"/>
        <v>C10H20</v>
      </c>
      <c r="AR39" s="13" t="str">
        <f t="shared" si="33"/>
        <v>+</v>
      </c>
      <c r="AS39" s="13">
        <f t="shared" si="19"/>
        <v>10</v>
      </c>
      <c r="AT39" s="13" t="str">
        <f t="shared" si="34"/>
        <v>H2O</v>
      </c>
      <c r="AU39" s="1">
        <f t="shared" si="16"/>
        <v>2.8036667900464129</v>
      </c>
      <c r="AV39" s="1">
        <f t="shared" si="17"/>
        <v>1.4018333950232065</v>
      </c>
    </row>
    <row r="40" spans="1:48" x14ac:dyDescent="0.2">
      <c r="A40">
        <v>37</v>
      </c>
      <c r="B40">
        <v>10</v>
      </c>
      <c r="C40" t="s">
        <v>206</v>
      </c>
      <c r="D40" t="s">
        <v>207</v>
      </c>
      <c r="E40" t="s">
        <v>208</v>
      </c>
      <c r="F40">
        <v>-2.1103086057774844E-2</v>
      </c>
      <c r="G40">
        <v>2.7937539779709433E-3</v>
      </c>
      <c r="H40">
        <v>1.6044396201636262E-2</v>
      </c>
      <c r="I40">
        <v>4.3781083551601967E-3</v>
      </c>
      <c r="K40" s="30" t="s">
        <v>208</v>
      </c>
      <c r="L40" s="30"/>
      <c r="M40" s="37">
        <f t="shared" si="20"/>
        <v>1.4009502981578035E-3</v>
      </c>
      <c r="N40" s="37">
        <f t="shared" si="21"/>
        <v>5.4370385044681903E-3</v>
      </c>
      <c r="O40" s="34">
        <f t="shared" si="22"/>
        <v>3.2081761827813707E-2</v>
      </c>
      <c r="P40" s="34">
        <f t="shared" si="23"/>
        <v>8.1555577567022849E-2</v>
      </c>
      <c r="Q40" s="31" t="s">
        <v>208</v>
      </c>
      <c r="R40" s="32">
        <f t="shared" si="24"/>
        <v>0.11363733939483656</v>
      </c>
      <c r="S40">
        <f t="shared" si="18"/>
        <v>1.1363733939483656</v>
      </c>
      <c r="U40" s="13">
        <v>10</v>
      </c>
      <c r="V40" s="13" t="s">
        <v>309</v>
      </c>
      <c r="W40" s="13" t="s">
        <v>310</v>
      </c>
      <c r="X40" s="13">
        <v>30</v>
      </c>
      <c r="Y40" s="13" t="s">
        <v>42</v>
      </c>
      <c r="Z40" s="13" t="s">
        <v>311</v>
      </c>
      <c r="AA40" s="13">
        <v>1</v>
      </c>
      <c r="AB40" s="13" t="s">
        <v>329</v>
      </c>
      <c r="AC40" s="13" t="s">
        <v>310</v>
      </c>
      <c r="AD40" s="13">
        <v>20</v>
      </c>
      <c r="AE40" s="13" t="s">
        <v>312</v>
      </c>
      <c r="AF40" s="1">
        <f t="shared" si="25"/>
        <v>0.96245285483441123</v>
      </c>
      <c r="AG40" s="1">
        <f t="shared" si="15"/>
        <v>0.64163523655627408</v>
      </c>
      <c r="AH40" s="1"/>
      <c r="AI40" s="1"/>
      <c r="AJ40" s="13">
        <f t="shared" si="26"/>
        <v>10</v>
      </c>
      <c r="AK40" s="13" t="s">
        <v>41</v>
      </c>
      <c r="AL40" s="13" t="str">
        <f t="shared" si="27"/>
        <v>+</v>
      </c>
      <c r="AM40" s="13">
        <f t="shared" si="28"/>
        <v>20</v>
      </c>
      <c r="AN40" s="13" t="str">
        <f t="shared" si="29"/>
        <v>H2</v>
      </c>
      <c r="AO40" s="13" t="str">
        <f t="shared" si="30"/>
        <v>=</v>
      </c>
      <c r="AP40" s="13">
        <f t="shared" si="31"/>
        <v>1</v>
      </c>
      <c r="AQ40" s="13" t="str">
        <f t="shared" si="32"/>
        <v>C10H20</v>
      </c>
      <c r="AR40" s="13" t="str">
        <f t="shared" si="33"/>
        <v>+</v>
      </c>
      <c r="AS40" s="13">
        <f t="shared" si="19"/>
        <v>10</v>
      </c>
      <c r="AT40" s="13" t="str">
        <f t="shared" si="34"/>
        <v>H2O</v>
      </c>
      <c r="AU40" s="1">
        <f t="shared" si="16"/>
        <v>1.631111551340457</v>
      </c>
      <c r="AV40" s="1">
        <f t="shared" si="17"/>
        <v>0.81555577567022852</v>
      </c>
    </row>
    <row r="41" spans="1:48" x14ac:dyDescent="0.2">
      <c r="A41">
        <v>38</v>
      </c>
      <c r="B41">
        <v>10</v>
      </c>
      <c r="C41" t="s">
        <v>209</v>
      </c>
      <c r="D41" t="s">
        <v>210</v>
      </c>
      <c r="E41" t="s">
        <v>211</v>
      </c>
      <c r="F41">
        <v>-2.5832825291856685E-2</v>
      </c>
      <c r="G41">
        <v>3.4199054215941918E-3</v>
      </c>
      <c r="H41">
        <v>1.9640354157466806E-2</v>
      </c>
      <c r="I41">
        <v>5.3593539796992504E-3</v>
      </c>
      <c r="K41" s="30" t="s">
        <v>211</v>
      </c>
      <c r="L41" s="30"/>
      <c r="M41" s="37">
        <f t="shared" si="20"/>
        <v>1.7149389523316507E-3</v>
      </c>
      <c r="N41" s="37">
        <f t="shared" si="21"/>
        <v>6.6556173540920594E-3</v>
      </c>
      <c r="O41" s="34">
        <f t="shared" si="22"/>
        <v>3.9272102008394802E-2</v>
      </c>
      <c r="P41" s="34">
        <f t="shared" si="23"/>
        <v>9.9834260311380901E-2</v>
      </c>
      <c r="Q41" s="31" t="s">
        <v>211</v>
      </c>
      <c r="R41" s="32">
        <f t="shared" si="24"/>
        <v>0.13910636231977569</v>
      </c>
      <c r="S41">
        <f t="shared" si="18"/>
        <v>1.3910636231977569</v>
      </c>
      <c r="U41" s="13">
        <v>10</v>
      </c>
      <c r="V41" s="13" t="s">
        <v>309</v>
      </c>
      <c r="W41" s="13" t="s">
        <v>310</v>
      </c>
      <c r="X41" s="13">
        <v>27</v>
      </c>
      <c r="Y41" s="13" t="s">
        <v>42</v>
      </c>
      <c r="Z41" s="13" t="s">
        <v>311</v>
      </c>
      <c r="AA41" s="13">
        <v>1</v>
      </c>
      <c r="AB41" s="13" t="s">
        <v>330</v>
      </c>
      <c r="AC41" s="13" t="s">
        <v>310</v>
      </c>
      <c r="AD41" s="13">
        <v>20</v>
      </c>
      <c r="AE41" s="13" t="s">
        <v>312</v>
      </c>
      <c r="AF41" s="1">
        <f t="shared" si="25"/>
        <v>1.0603467542266596</v>
      </c>
      <c r="AG41" s="1">
        <f t="shared" si="15"/>
        <v>0.78544204016789609</v>
      </c>
      <c r="AH41" s="1"/>
      <c r="AI41" s="1"/>
      <c r="AJ41" s="13">
        <f t="shared" si="26"/>
        <v>10</v>
      </c>
      <c r="AK41" s="13" t="s">
        <v>41</v>
      </c>
      <c r="AL41" s="13" t="str">
        <f t="shared" si="27"/>
        <v>+</v>
      </c>
      <c r="AM41" s="13">
        <f t="shared" si="28"/>
        <v>17</v>
      </c>
      <c r="AN41" s="13" t="str">
        <f t="shared" si="29"/>
        <v>H2</v>
      </c>
      <c r="AO41" s="13" t="str">
        <f t="shared" si="30"/>
        <v>=</v>
      </c>
      <c r="AP41" s="13">
        <f t="shared" si="31"/>
        <v>1</v>
      </c>
      <c r="AQ41" s="13" t="str">
        <f t="shared" si="32"/>
        <v>C10H14</v>
      </c>
      <c r="AR41" s="13" t="str">
        <f t="shared" si="33"/>
        <v>+</v>
      </c>
      <c r="AS41" s="13">
        <f t="shared" si="19"/>
        <v>10</v>
      </c>
      <c r="AT41" s="13" t="str">
        <f t="shared" si="34"/>
        <v>H2O</v>
      </c>
      <c r="AU41" s="1">
        <f t="shared" si="16"/>
        <v>1.6971824252934753</v>
      </c>
      <c r="AV41" s="1">
        <f t="shared" si="17"/>
        <v>0.99834260311380896</v>
      </c>
    </row>
    <row r="42" spans="1:48" x14ac:dyDescent="0.2">
      <c r="A42">
        <v>39</v>
      </c>
      <c r="B42">
        <v>11</v>
      </c>
      <c r="C42" t="s">
        <v>212</v>
      </c>
      <c r="D42" t="s">
        <v>213</v>
      </c>
      <c r="E42" t="s">
        <v>214</v>
      </c>
      <c r="F42">
        <v>-1.4062735155562219E-2</v>
      </c>
      <c r="G42">
        <v>2.7335943533231405E-3</v>
      </c>
      <c r="H42">
        <v>9.2591987595166056E-2</v>
      </c>
      <c r="I42">
        <v>1.2215273049727155E-3</v>
      </c>
      <c r="K42" s="30" t="s">
        <v>214</v>
      </c>
      <c r="L42" s="30"/>
      <c r="M42" s="37">
        <f t="shared" si="20"/>
        <v>1.8054538330560341E-3</v>
      </c>
      <c r="N42" s="37">
        <f t="shared" si="21"/>
        <v>7.3325984862536754E-3</v>
      </c>
      <c r="O42" s="34">
        <f t="shared" si="22"/>
        <v>3.7586266160893805E-2</v>
      </c>
      <c r="P42" s="34">
        <f t="shared" si="23"/>
        <v>9.998997935800466E-2</v>
      </c>
      <c r="Q42" s="31" t="s">
        <v>214</v>
      </c>
      <c r="R42" s="32">
        <f t="shared" si="24"/>
        <v>0.13757624551889847</v>
      </c>
      <c r="S42">
        <f t="shared" si="18"/>
        <v>1.5133387007078831</v>
      </c>
      <c r="U42" s="13">
        <v>11</v>
      </c>
      <c r="V42" s="13" t="s">
        <v>309</v>
      </c>
      <c r="W42" s="13" t="s">
        <v>310</v>
      </c>
      <c r="X42" s="13">
        <v>34</v>
      </c>
      <c r="Y42" s="13" t="s">
        <v>42</v>
      </c>
      <c r="Z42" s="13" t="s">
        <v>311</v>
      </c>
      <c r="AA42" s="13">
        <v>1</v>
      </c>
      <c r="AB42" s="13" t="s">
        <v>213</v>
      </c>
      <c r="AC42" s="13" t="s">
        <v>310</v>
      </c>
      <c r="AD42" s="13">
        <v>22</v>
      </c>
      <c r="AE42" s="13" t="s">
        <v>312</v>
      </c>
      <c r="AF42" s="1">
        <f t="shared" si="25"/>
        <v>1.2779330494703893</v>
      </c>
      <c r="AG42" s="1">
        <f t="shared" si="15"/>
        <v>0.82689785553966377</v>
      </c>
      <c r="AH42" s="1"/>
      <c r="AI42" s="1"/>
      <c r="AJ42" s="13">
        <f t="shared" si="26"/>
        <v>11</v>
      </c>
      <c r="AK42" s="13" t="s">
        <v>41</v>
      </c>
      <c r="AL42" s="13" t="str">
        <f t="shared" si="27"/>
        <v>+</v>
      </c>
      <c r="AM42" s="13">
        <f t="shared" si="28"/>
        <v>23</v>
      </c>
      <c r="AN42" s="13" t="str">
        <f t="shared" si="29"/>
        <v>H2</v>
      </c>
      <c r="AO42" s="13" t="str">
        <f t="shared" si="30"/>
        <v>=</v>
      </c>
      <c r="AP42" s="13">
        <f t="shared" si="31"/>
        <v>1</v>
      </c>
      <c r="AQ42" s="13" t="str">
        <f t="shared" si="32"/>
        <v>C11H24</v>
      </c>
      <c r="AR42" s="13" t="str">
        <f t="shared" si="33"/>
        <v>+</v>
      </c>
      <c r="AS42" s="13">
        <f t="shared" si="19"/>
        <v>11</v>
      </c>
      <c r="AT42" s="13" t="str">
        <f t="shared" si="34"/>
        <v>H2O</v>
      </c>
      <c r="AU42" s="1">
        <f t="shared" si="16"/>
        <v>2.2997695252341073</v>
      </c>
      <c r="AV42" s="1">
        <f t="shared" si="17"/>
        <v>1.0998897729380512</v>
      </c>
    </row>
    <row r="43" spans="1:48" x14ac:dyDescent="0.2">
      <c r="A43">
        <v>40</v>
      </c>
      <c r="B43">
        <v>11</v>
      </c>
      <c r="C43" t="s">
        <v>215</v>
      </c>
      <c r="D43" t="s">
        <v>216</v>
      </c>
      <c r="E43" t="s">
        <v>217</v>
      </c>
      <c r="F43">
        <v>-3.7883752275452702E-2</v>
      </c>
      <c r="G43">
        <v>5.0152799135754229E-3</v>
      </c>
      <c r="H43">
        <v>2.8802513975820485E-2</v>
      </c>
      <c r="I43">
        <v>7.8594747662924062E-3</v>
      </c>
      <c r="K43" s="30" t="s">
        <v>217</v>
      </c>
      <c r="L43" s="30"/>
      <c r="M43" s="37">
        <f t="shared" si="20"/>
        <v>2.5149522633955445E-3</v>
      </c>
      <c r="N43" s="37">
        <f t="shared" si="21"/>
        <v>9.7604406886965586E-3</v>
      </c>
      <c r="O43" s="34">
        <f t="shared" si="22"/>
        <v>5.2356733483416337E-2</v>
      </c>
      <c r="P43" s="34">
        <f t="shared" si="23"/>
        <v>0.1330969184822258</v>
      </c>
      <c r="Q43" s="31" t="s">
        <v>217</v>
      </c>
      <c r="R43" s="32">
        <f t="shared" si="24"/>
        <v>0.18545365196564212</v>
      </c>
      <c r="S43">
        <f t="shared" si="18"/>
        <v>2.0399901716220632</v>
      </c>
      <c r="U43" s="13">
        <v>11</v>
      </c>
      <c r="V43" s="13" t="s">
        <v>309</v>
      </c>
      <c r="W43" s="13" t="s">
        <v>310</v>
      </c>
      <c r="X43" s="13">
        <v>34</v>
      </c>
      <c r="Y43" s="13" t="s">
        <v>42</v>
      </c>
      <c r="Z43" s="13" t="s">
        <v>311</v>
      </c>
      <c r="AA43" s="13">
        <v>1</v>
      </c>
      <c r="AB43" s="13" t="s">
        <v>213</v>
      </c>
      <c r="AC43" s="13" t="s">
        <v>310</v>
      </c>
      <c r="AD43" s="13">
        <v>22</v>
      </c>
      <c r="AE43" s="13" t="s">
        <v>312</v>
      </c>
      <c r="AF43" s="1">
        <f t="shared" si="25"/>
        <v>1.7801289384361554</v>
      </c>
      <c r="AG43" s="1">
        <f t="shared" si="15"/>
        <v>1.1518481366351594</v>
      </c>
      <c r="AH43" s="1"/>
      <c r="AI43" s="1"/>
      <c r="AJ43" s="13">
        <f t="shared" si="26"/>
        <v>11</v>
      </c>
      <c r="AK43" s="13" t="s">
        <v>41</v>
      </c>
      <c r="AL43" s="13" t="str">
        <f t="shared" si="27"/>
        <v>+</v>
      </c>
      <c r="AM43" s="13">
        <f t="shared" si="28"/>
        <v>23</v>
      </c>
      <c r="AN43" s="13" t="str">
        <f t="shared" si="29"/>
        <v>H2</v>
      </c>
      <c r="AO43" s="13" t="str">
        <f t="shared" si="30"/>
        <v>=</v>
      </c>
      <c r="AP43" s="13">
        <f t="shared" si="31"/>
        <v>1</v>
      </c>
      <c r="AQ43" s="13" t="str">
        <f t="shared" si="32"/>
        <v>C11H24</v>
      </c>
      <c r="AR43" s="13" t="str">
        <f t="shared" si="33"/>
        <v>+</v>
      </c>
      <c r="AS43" s="13">
        <f t="shared" si="19"/>
        <v>11</v>
      </c>
      <c r="AT43" s="13" t="str">
        <f t="shared" si="34"/>
        <v>H2O</v>
      </c>
      <c r="AU43" s="1">
        <f t="shared" si="16"/>
        <v>3.0612291250911934</v>
      </c>
      <c r="AV43" s="1">
        <f t="shared" si="17"/>
        <v>1.4640661033044837</v>
      </c>
    </row>
    <row r="44" spans="1:48" x14ac:dyDescent="0.2">
      <c r="A44">
        <v>41</v>
      </c>
      <c r="B44">
        <v>11</v>
      </c>
      <c r="C44" t="s">
        <v>219</v>
      </c>
      <c r="D44" t="s">
        <v>220</v>
      </c>
      <c r="E44" t="s">
        <v>221</v>
      </c>
      <c r="F44">
        <v>-1.5185359144524818E-2</v>
      </c>
      <c r="G44">
        <v>2.010329550890669E-3</v>
      </c>
      <c r="H44">
        <v>1.1545226983004872E-2</v>
      </c>
      <c r="I44">
        <v>3.1503993095956945E-3</v>
      </c>
      <c r="K44" s="30" t="s">
        <v>221</v>
      </c>
      <c r="L44" s="30"/>
      <c r="M44" s="37">
        <f t="shared" si="20"/>
        <v>1.0080958473520309E-3</v>
      </c>
      <c r="N44" s="37">
        <f t="shared" si="21"/>
        <v>3.912384290474016E-3</v>
      </c>
      <c r="O44" s="34">
        <f t="shared" si="22"/>
        <v>2.098672264032864E-2</v>
      </c>
      <c r="P44" s="34">
        <f t="shared" si="23"/>
        <v>5.3350694870100218E-2</v>
      </c>
      <c r="Q44" s="31" t="s">
        <v>221</v>
      </c>
      <c r="R44" s="32">
        <f t="shared" si="24"/>
        <v>7.4337417510428855E-2</v>
      </c>
      <c r="S44">
        <f t="shared" si="18"/>
        <v>0.81771159261471738</v>
      </c>
      <c r="U44" s="13">
        <v>11</v>
      </c>
      <c r="V44" s="13" t="s">
        <v>309</v>
      </c>
      <c r="W44" s="13" t="s">
        <v>310</v>
      </c>
      <c r="X44" s="13">
        <v>30</v>
      </c>
      <c r="Y44" s="13" t="s">
        <v>42</v>
      </c>
      <c r="Z44" s="13" t="s">
        <v>311</v>
      </c>
      <c r="AA44" s="13">
        <v>1</v>
      </c>
      <c r="AB44" s="13" t="s">
        <v>331</v>
      </c>
      <c r="AC44" s="13" t="s">
        <v>310</v>
      </c>
      <c r="AD44" s="13">
        <v>22</v>
      </c>
      <c r="AE44" s="13" t="s">
        <v>312</v>
      </c>
      <c r="AF44" s="1">
        <f t="shared" si="25"/>
        <v>0.62960167920985921</v>
      </c>
      <c r="AG44" s="1">
        <f t="shared" si="15"/>
        <v>0.46170789808723006</v>
      </c>
      <c r="AH44" s="1"/>
      <c r="AI44" s="1"/>
      <c r="AJ44" s="13">
        <f t="shared" si="26"/>
        <v>11</v>
      </c>
      <c r="AK44" s="13" t="s">
        <v>41</v>
      </c>
      <c r="AL44" s="13" t="str">
        <f t="shared" si="27"/>
        <v>+</v>
      </c>
      <c r="AM44" s="13">
        <f t="shared" si="28"/>
        <v>19</v>
      </c>
      <c r="AN44" s="13" t="str">
        <f t="shared" si="29"/>
        <v>H2</v>
      </c>
      <c r="AO44" s="13" t="str">
        <f t="shared" si="30"/>
        <v>=</v>
      </c>
      <c r="AP44" s="13">
        <f t="shared" si="31"/>
        <v>1</v>
      </c>
      <c r="AQ44" s="13" t="str">
        <f t="shared" si="32"/>
        <v>C11H16</v>
      </c>
      <c r="AR44" s="13" t="str">
        <f t="shared" si="33"/>
        <v>+</v>
      </c>
      <c r="AS44" s="13">
        <f t="shared" si="19"/>
        <v>11</v>
      </c>
      <c r="AT44" s="13" t="str">
        <f t="shared" si="34"/>
        <v>H2O</v>
      </c>
      <c r="AU44" s="1">
        <f t="shared" si="16"/>
        <v>1.0136632025319041</v>
      </c>
      <c r="AV44" s="1">
        <f t="shared" si="17"/>
        <v>0.58685764357110237</v>
      </c>
    </row>
    <row r="45" spans="1:48" x14ac:dyDescent="0.2">
      <c r="A45">
        <v>42</v>
      </c>
      <c r="B45">
        <v>11</v>
      </c>
      <c r="C45" t="s">
        <v>65</v>
      </c>
      <c r="D45">
        <v>0</v>
      </c>
      <c r="E45" t="s">
        <v>357</v>
      </c>
      <c r="F45">
        <v>-2.4390712120691549E-2</v>
      </c>
      <c r="G45">
        <v>3.22898977079332E-3</v>
      </c>
      <c r="H45">
        <v>1.8543934656431452E-2</v>
      </c>
      <c r="I45">
        <v>5.0601689360293672E-3</v>
      </c>
      <c r="K45" s="30" t="s">
        <v>357</v>
      </c>
      <c r="L45" s="30"/>
      <c r="M45" s="37">
        <f t="shared" si="20"/>
        <v>1.6192027708276777E-3</v>
      </c>
      <c r="N45" s="37">
        <f t="shared" si="21"/>
        <v>6.2840686233538428E-3</v>
      </c>
      <c r="O45" s="34">
        <f t="shared" si="22"/>
        <v>3.3708857683594377E-2</v>
      </c>
      <c r="P45" s="34">
        <f t="shared" si="23"/>
        <v>8.5691844863916039E-2</v>
      </c>
      <c r="Q45" s="31" t="s">
        <v>357</v>
      </c>
      <c r="R45" s="32">
        <f t="shared" si="24"/>
        <v>0.11940070254751042</v>
      </c>
      <c r="S45">
        <f t="shared" si="18"/>
        <v>1.3134077280226146</v>
      </c>
      <c r="U45" s="13">
        <v>11</v>
      </c>
      <c r="V45" s="13" t="s">
        <v>309</v>
      </c>
      <c r="W45" s="13" t="s">
        <v>310</v>
      </c>
      <c r="X45" s="13">
        <v>33</v>
      </c>
      <c r="Y45" s="13" t="s">
        <v>42</v>
      </c>
      <c r="Z45" s="13" t="s">
        <v>311</v>
      </c>
      <c r="AA45" s="13">
        <v>1</v>
      </c>
      <c r="AB45" s="13" t="s">
        <v>218</v>
      </c>
      <c r="AC45" s="13" t="s">
        <v>310</v>
      </c>
      <c r="AD45" s="13">
        <v>22</v>
      </c>
      <c r="AE45" s="13" t="s">
        <v>312</v>
      </c>
      <c r="AF45" s="1">
        <f t="shared" si="25"/>
        <v>1.1123923035586145</v>
      </c>
      <c r="AG45" s="1">
        <f t="shared" si="15"/>
        <v>0.74159486903907634</v>
      </c>
      <c r="AH45" s="1"/>
      <c r="AI45" s="1"/>
      <c r="AJ45" s="13">
        <f t="shared" si="26"/>
        <v>11</v>
      </c>
      <c r="AK45" s="13" t="s">
        <v>41</v>
      </c>
      <c r="AL45" s="13" t="str">
        <f t="shared" si="27"/>
        <v>+</v>
      </c>
      <c r="AM45" s="13">
        <f t="shared" si="28"/>
        <v>22</v>
      </c>
      <c r="AN45" s="13" t="str">
        <f t="shared" si="29"/>
        <v>H2</v>
      </c>
      <c r="AO45" s="13" t="str">
        <f t="shared" si="30"/>
        <v>=</v>
      </c>
      <c r="AP45" s="13">
        <f t="shared" si="31"/>
        <v>1</v>
      </c>
      <c r="AQ45" s="13" t="str">
        <f t="shared" si="32"/>
        <v>C11H22</v>
      </c>
      <c r="AR45" s="13" t="str">
        <f t="shared" si="33"/>
        <v>+</v>
      </c>
      <c r="AS45" s="13">
        <f t="shared" si="19"/>
        <v>11</v>
      </c>
      <c r="AT45" s="13" t="str">
        <f t="shared" si="34"/>
        <v>H2O</v>
      </c>
      <c r="AU45" s="1">
        <f t="shared" si="16"/>
        <v>1.8852205870061529</v>
      </c>
      <c r="AV45" s="1">
        <f t="shared" si="17"/>
        <v>0.94261029350307646</v>
      </c>
    </row>
    <row r="46" spans="1:48" x14ac:dyDescent="0.2">
      <c r="A46">
        <v>43</v>
      </c>
      <c r="B46">
        <v>12</v>
      </c>
      <c r="C46" t="s">
        <v>222</v>
      </c>
      <c r="D46" t="s">
        <v>223</v>
      </c>
      <c r="E46" t="s">
        <v>224</v>
      </c>
      <c r="F46">
        <v>-2.9131012696985741E-2</v>
      </c>
      <c r="G46">
        <v>3.8565393886806415E-3</v>
      </c>
      <c r="H46">
        <v>2.2147922260551997E-2</v>
      </c>
      <c r="I46">
        <v>6.0436056477134494E-3</v>
      </c>
      <c r="K46" s="30" t="s">
        <v>224</v>
      </c>
      <c r="L46" s="30"/>
      <c r="M46" s="37">
        <f t="shared" si="20"/>
        <v>1.9338925506795824E-3</v>
      </c>
      <c r="N46" s="37">
        <f t="shared" si="21"/>
        <v>7.5053685169098813E-3</v>
      </c>
      <c r="O46" s="34">
        <f t="shared" si="22"/>
        <v>3.6905116175468697E-2</v>
      </c>
      <c r="P46" s="34">
        <f t="shared" si="23"/>
        <v>9.381710646137352E-2</v>
      </c>
      <c r="Q46" s="31" t="s">
        <v>224</v>
      </c>
      <c r="R46" s="32">
        <f t="shared" si="24"/>
        <v>0.13072222263684222</v>
      </c>
      <c r="S46">
        <f t="shared" si="18"/>
        <v>1.5686666716421067</v>
      </c>
      <c r="U46" s="13">
        <v>12</v>
      </c>
      <c r="V46" s="13" t="s">
        <v>309</v>
      </c>
      <c r="W46" s="13" t="s">
        <v>310</v>
      </c>
      <c r="X46" s="13">
        <v>37</v>
      </c>
      <c r="Y46" s="13" t="s">
        <v>42</v>
      </c>
      <c r="Z46" s="13" t="s">
        <v>311</v>
      </c>
      <c r="AA46" s="13">
        <v>1</v>
      </c>
      <c r="AB46" s="13" t="s">
        <v>226</v>
      </c>
      <c r="AC46" s="13" t="s">
        <v>310</v>
      </c>
      <c r="AD46" s="13">
        <v>24</v>
      </c>
      <c r="AE46" s="13" t="s">
        <v>312</v>
      </c>
      <c r="AF46" s="1">
        <f t="shared" si="25"/>
        <v>1.3654892984923417</v>
      </c>
      <c r="AG46" s="1">
        <f t="shared" si="15"/>
        <v>0.88572278821124872</v>
      </c>
      <c r="AH46" s="1"/>
      <c r="AI46" s="1"/>
      <c r="AJ46" s="13">
        <f t="shared" si="26"/>
        <v>12</v>
      </c>
      <c r="AK46" s="13" t="s">
        <v>41</v>
      </c>
      <c r="AL46" s="13" t="str">
        <f t="shared" si="27"/>
        <v>+</v>
      </c>
      <c r="AM46" s="13">
        <f t="shared" si="28"/>
        <v>25</v>
      </c>
      <c r="AN46" s="13" t="str">
        <f t="shared" si="29"/>
        <v>H2</v>
      </c>
      <c r="AO46" s="13" t="str">
        <f t="shared" si="30"/>
        <v>=</v>
      </c>
      <c r="AP46" s="13">
        <f t="shared" si="31"/>
        <v>1</v>
      </c>
      <c r="AQ46" s="13" t="str">
        <f t="shared" si="32"/>
        <v>C12H26</v>
      </c>
      <c r="AR46" s="13" t="str">
        <f t="shared" si="33"/>
        <v>+</v>
      </c>
      <c r="AS46" s="13">
        <f t="shared" si="19"/>
        <v>12</v>
      </c>
      <c r="AT46" s="13" t="str">
        <f t="shared" si="34"/>
        <v>H2O</v>
      </c>
      <c r="AU46" s="1">
        <f t="shared" si="16"/>
        <v>2.3454276615343379</v>
      </c>
      <c r="AV46" s="1">
        <f t="shared" si="17"/>
        <v>1.1258052775364822</v>
      </c>
    </row>
    <row r="47" spans="1:48" x14ac:dyDescent="0.2">
      <c r="A47">
        <v>44</v>
      </c>
      <c r="B47">
        <v>12</v>
      </c>
      <c r="C47" t="s">
        <v>225</v>
      </c>
      <c r="D47" t="s">
        <v>226</v>
      </c>
      <c r="E47" t="s">
        <v>227</v>
      </c>
      <c r="F47">
        <v>-1.646212513048298E-2</v>
      </c>
      <c r="G47">
        <v>3.276832593452724E-3</v>
      </c>
      <c r="H47">
        <v>0.11560719263505176</v>
      </c>
      <c r="I47">
        <v>1.280494625553432E-3</v>
      </c>
      <c r="K47" s="30" t="s">
        <v>227</v>
      </c>
      <c r="L47" s="30"/>
      <c r="M47" s="37">
        <f t="shared" si="20"/>
        <v>2.1903323348408475E-3</v>
      </c>
      <c r="N47" s="37">
        <f t="shared" si="21"/>
        <v>8.9105693394668489E-3</v>
      </c>
      <c r="O47" s="34">
        <f t="shared" si="22"/>
        <v>4.1798842056546166E-2</v>
      </c>
      <c r="P47" s="34">
        <f t="shared" si="23"/>
        <v>0.1113821167433356</v>
      </c>
      <c r="Q47" s="31" t="s">
        <v>227</v>
      </c>
      <c r="R47" s="32">
        <f t="shared" si="24"/>
        <v>0.15318095879988178</v>
      </c>
      <c r="S47">
        <f t="shared" si="18"/>
        <v>1.8381715055985812</v>
      </c>
      <c r="U47" s="13">
        <v>12</v>
      </c>
      <c r="V47" s="13" t="s">
        <v>309</v>
      </c>
      <c r="W47" s="13" t="s">
        <v>310</v>
      </c>
      <c r="X47" s="13">
        <v>37</v>
      </c>
      <c r="Y47" s="13" t="s">
        <v>42</v>
      </c>
      <c r="Z47" s="13" t="s">
        <v>311</v>
      </c>
      <c r="AA47" s="13">
        <v>1</v>
      </c>
      <c r="AB47" s="13" t="s">
        <v>226</v>
      </c>
      <c r="AC47" s="13" t="s">
        <v>310</v>
      </c>
      <c r="AD47" s="13">
        <v>24</v>
      </c>
      <c r="AE47" s="13" t="s">
        <v>312</v>
      </c>
      <c r="AF47" s="1">
        <f t="shared" si="25"/>
        <v>1.5465571560922082</v>
      </c>
      <c r="AG47" s="1">
        <f t="shared" si="15"/>
        <v>1.003172209357108</v>
      </c>
      <c r="AH47" s="1"/>
      <c r="AI47" s="1"/>
      <c r="AJ47" s="13">
        <f t="shared" si="26"/>
        <v>12</v>
      </c>
      <c r="AK47" s="13" t="s">
        <v>41</v>
      </c>
      <c r="AL47" s="13" t="str">
        <f t="shared" si="27"/>
        <v>+</v>
      </c>
      <c r="AM47" s="13">
        <f t="shared" si="28"/>
        <v>25</v>
      </c>
      <c r="AN47" s="13" t="str">
        <f t="shared" si="29"/>
        <v>H2</v>
      </c>
      <c r="AO47" s="13" t="str">
        <f t="shared" si="30"/>
        <v>=</v>
      </c>
      <c r="AP47" s="13">
        <f t="shared" si="31"/>
        <v>1</v>
      </c>
      <c r="AQ47" s="13" t="str">
        <f t="shared" si="32"/>
        <v>C12H26</v>
      </c>
      <c r="AR47" s="13" t="str">
        <f t="shared" si="33"/>
        <v>+</v>
      </c>
      <c r="AS47" s="13">
        <f t="shared" si="19"/>
        <v>12</v>
      </c>
      <c r="AT47" s="13" t="str">
        <f t="shared" si="34"/>
        <v>H2O</v>
      </c>
      <c r="AU47" s="1">
        <f t="shared" si="16"/>
        <v>2.7845529185833899</v>
      </c>
      <c r="AV47" s="1">
        <f t="shared" si="17"/>
        <v>1.3365854009200273</v>
      </c>
    </row>
    <row r="48" spans="1:48" x14ac:dyDescent="0.2">
      <c r="A48">
        <v>45</v>
      </c>
      <c r="B48">
        <v>12</v>
      </c>
      <c r="C48" t="s">
        <v>228</v>
      </c>
      <c r="D48" t="s">
        <v>229</v>
      </c>
      <c r="E48" t="s">
        <v>230</v>
      </c>
      <c r="F48">
        <v>-2.8613615808395585E-3</v>
      </c>
      <c r="G48">
        <v>3.7880432639085971E-4</v>
      </c>
      <c r="H48">
        <v>2.1754552274223572E-3</v>
      </c>
      <c r="I48">
        <v>5.9362649661340414E-4</v>
      </c>
      <c r="K48" s="30" t="s">
        <v>230</v>
      </c>
      <c r="L48" s="30"/>
      <c r="M48" s="37">
        <f t="shared" si="20"/>
        <v>1.8995446205544882E-4</v>
      </c>
      <c r="N48" s="37">
        <f t="shared" si="21"/>
        <v>7.3720654162327966E-4</v>
      </c>
      <c r="O48" s="34">
        <f t="shared" si="22"/>
        <v>3.6249643175581482E-3</v>
      </c>
      <c r="P48" s="34">
        <f t="shared" si="23"/>
        <v>9.2150817702909959E-3</v>
      </c>
      <c r="Q48" s="31" t="s">
        <v>230</v>
      </c>
      <c r="R48" s="32">
        <f t="shared" si="24"/>
        <v>1.2840046087849144E-2</v>
      </c>
      <c r="S48">
        <f t="shared" si="18"/>
        <v>0.15408055305418972</v>
      </c>
      <c r="U48" s="13">
        <v>12</v>
      </c>
      <c r="V48" s="13" t="s">
        <v>309</v>
      </c>
      <c r="W48" s="13" t="s">
        <v>310</v>
      </c>
      <c r="X48" s="13">
        <v>36</v>
      </c>
      <c r="Y48" s="13" t="s">
        <v>42</v>
      </c>
      <c r="Z48" s="13" t="s">
        <v>311</v>
      </c>
      <c r="AA48" s="13">
        <v>1</v>
      </c>
      <c r="AB48" s="13" t="s">
        <v>332</v>
      </c>
      <c r="AC48" s="13" t="s">
        <v>310</v>
      </c>
      <c r="AD48" s="13">
        <v>24</v>
      </c>
      <c r="AE48" s="13" t="s">
        <v>312</v>
      </c>
      <c r="AF48" s="1">
        <f t="shared" si="25"/>
        <v>0.13049871543209335</v>
      </c>
      <c r="AG48" s="1">
        <f t="shared" si="15"/>
        <v>8.6999143621395561E-2</v>
      </c>
      <c r="AH48" s="1"/>
      <c r="AI48" s="1"/>
      <c r="AJ48" s="13">
        <f t="shared" si="26"/>
        <v>12</v>
      </c>
      <c r="AK48" s="13" t="s">
        <v>41</v>
      </c>
      <c r="AL48" s="13" t="str">
        <f t="shared" si="27"/>
        <v>+</v>
      </c>
      <c r="AM48" s="13">
        <f t="shared" si="28"/>
        <v>24</v>
      </c>
      <c r="AN48" s="13" t="str">
        <f t="shared" si="29"/>
        <v>H2</v>
      </c>
      <c r="AO48" s="13" t="str">
        <f t="shared" si="30"/>
        <v>=</v>
      </c>
      <c r="AP48" s="13">
        <f t="shared" si="31"/>
        <v>1</v>
      </c>
      <c r="AQ48" s="13" t="str">
        <f t="shared" si="32"/>
        <v>C12H24</v>
      </c>
      <c r="AR48" s="13" t="str">
        <f t="shared" si="33"/>
        <v>+</v>
      </c>
      <c r="AS48" s="13">
        <f t="shared" si="19"/>
        <v>12</v>
      </c>
      <c r="AT48" s="13" t="str">
        <f t="shared" si="34"/>
        <v>H2O</v>
      </c>
      <c r="AU48" s="1">
        <f t="shared" si="16"/>
        <v>0.22116196248698389</v>
      </c>
      <c r="AV48" s="1">
        <f t="shared" si="17"/>
        <v>0.11058098124349194</v>
      </c>
    </row>
    <row r="49" spans="1:48" x14ac:dyDescent="0.2">
      <c r="A49">
        <v>46</v>
      </c>
      <c r="B49">
        <v>12</v>
      </c>
      <c r="C49" t="s">
        <v>231</v>
      </c>
      <c r="D49" t="s">
        <v>232</v>
      </c>
      <c r="E49" t="s">
        <v>233</v>
      </c>
      <c r="F49">
        <v>-1.0085319654109845E-2</v>
      </c>
      <c r="G49">
        <v>1.3351555230187427E-3</v>
      </c>
      <c r="H49">
        <v>7.6677346577503011E-3</v>
      </c>
      <c r="I49">
        <v>2.0923301038168344E-3</v>
      </c>
      <c r="K49" s="30" t="s">
        <v>233</v>
      </c>
      <c r="L49" s="30"/>
      <c r="M49" s="37">
        <f t="shared" si="20"/>
        <v>6.6952442584749291E-4</v>
      </c>
      <c r="N49" s="37">
        <f t="shared" si="21"/>
        <v>2.5984005912283543E-3</v>
      </c>
      <c r="O49" s="34">
        <f t="shared" si="22"/>
        <v>1.2776757793256323E-2</v>
      </c>
      <c r="P49" s="34">
        <f t="shared" si="23"/>
        <v>3.2480007390354428E-2</v>
      </c>
      <c r="Q49" s="31" t="s">
        <v>233</v>
      </c>
      <c r="R49" s="32">
        <f t="shared" si="24"/>
        <v>4.5256765183610749E-2</v>
      </c>
      <c r="S49">
        <f t="shared" si="18"/>
        <v>0.54308118220332902</v>
      </c>
      <c r="U49" s="13">
        <v>12</v>
      </c>
      <c r="V49" s="13" t="s">
        <v>309</v>
      </c>
      <c r="W49" s="13" t="s">
        <v>310</v>
      </c>
      <c r="X49" s="13">
        <v>33</v>
      </c>
      <c r="Y49" s="13" t="s">
        <v>42</v>
      </c>
      <c r="Z49" s="13" t="s">
        <v>311</v>
      </c>
      <c r="AA49" s="13">
        <v>1</v>
      </c>
      <c r="AB49" s="13" t="s">
        <v>333</v>
      </c>
      <c r="AC49" s="13" t="s">
        <v>310</v>
      </c>
      <c r="AD49" s="13">
        <v>24</v>
      </c>
      <c r="AE49" s="13" t="s">
        <v>312</v>
      </c>
      <c r="AF49" s="1">
        <f t="shared" si="25"/>
        <v>0.42163300717745866</v>
      </c>
      <c r="AG49" s="1">
        <f t="shared" si="15"/>
        <v>0.30664218703815177</v>
      </c>
      <c r="AH49" s="1"/>
      <c r="AI49" s="1"/>
      <c r="AJ49" s="13">
        <f t="shared" si="26"/>
        <v>12</v>
      </c>
      <c r="AK49" s="13" t="s">
        <v>41</v>
      </c>
      <c r="AL49" s="13" t="str">
        <f t="shared" si="27"/>
        <v>+</v>
      </c>
      <c r="AM49" s="13">
        <f t="shared" si="28"/>
        <v>21</v>
      </c>
      <c r="AN49" s="13" t="str">
        <f t="shared" si="29"/>
        <v>H2</v>
      </c>
      <c r="AO49" s="13" t="str">
        <f t="shared" si="30"/>
        <v>=</v>
      </c>
      <c r="AP49" s="13">
        <f t="shared" si="31"/>
        <v>1</v>
      </c>
      <c r="AQ49" s="13" t="str">
        <f t="shared" si="32"/>
        <v>C12H18</v>
      </c>
      <c r="AR49" s="13" t="str">
        <f t="shared" si="33"/>
        <v>+</v>
      </c>
      <c r="AS49" s="13">
        <f t="shared" si="19"/>
        <v>12</v>
      </c>
      <c r="AT49" s="13" t="str">
        <f t="shared" si="34"/>
        <v>H2O</v>
      </c>
      <c r="AU49" s="1">
        <f t="shared" si="16"/>
        <v>0.68208015519744303</v>
      </c>
      <c r="AV49" s="1">
        <f t="shared" si="17"/>
        <v>0.38976008868425316</v>
      </c>
    </row>
    <row r="50" spans="1:48" x14ac:dyDescent="0.2">
      <c r="A50">
        <v>47</v>
      </c>
      <c r="B50">
        <v>12</v>
      </c>
      <c r="C50">
        <v>0</v>
      </c>
      <c r="D50">
        <v>0</v>
      </c>
      <c r="E50" t="s">
        <v>355</v>
      </c>
      <c r="F50">
        <v>-2.6209549457370568E-3</v>
      </c>
      <c r="G50">
        <v>3.4697784417354546E-4</v>
      </c>
      <c r="H50">
        <v>1.9926772539768213E-3</v>
      </c>
      <c r="I50">
        <v>5.4375102840478967E-4</v>
      </c>
      <c r="K50" s="30" t="s">
        <v>355</v>
      </c>
      <c r="L50" s="30"/>
      <c r="M50" s="37">
        <f t="shared" si="20"/>
        <v>1.739948177548997E-4</v>
      </c>
      <c r="N50" s="37">
        <f t="shared" si="21"/>
        <v>6.752677271672599E-4</v>
      </c>
      <c r="O50" s="34">
        <f t="shared" si="22"/>
        <v>3.3204011054893362E-3</v>
      </c>
      <c r="P50" s="34">
        <f t="shared" si="23"/>
        <v>8.4408465895907479E-3</v>
      </c>
      <c r="Q50" s="31" t="s">
        <v>355</v>
      </c>
      <c r="R50" s="32">
        <f t="shared" si="24"/>
        <v>1.1761247695080084E-2</v>
      </c>
      <c r="S50">
        <f t="shared" si="18"/>
        <v>0.14113497234096101</v>
      </c>
      <c r="U50" s="13">
        <v>12</v>
      </c>
      <c r="V50" s="13" t="s">
        <v>309</v>
      </c>
      <c r="W50" s="13" t="s">
        <v>310</v>
      </c>
      <c r="X50" s="13">
        <v>36</v>
      </c>
      <c r="Y50" s="13" t="s">
        <v>42</v>
      </c>
      <c r="Z50" s="13" t="s">
        <v>311</v>
      </c>
      <c r="AA50" s="13">
        <v>1</v>
      </c>
      <c r="AB50" s="13" t="s">
        <v>332</v>
      </c>
      <c r="AC50" s="13" t="s">
        <v>310</v>
      </c>
      <c r="AD50" s="13">
        <v>24</v>
      </c>
      <c r="AE50" s="13" t="s">
        <v>312</v>
      </c>
      <c r="AF50" s="1">
        <f t="shared" si="25"/>
        <v>0.1195344397976161</v>
      </c>
      <c r="AG50" s="1">
        <f t="shared" si="15"/>
        <v>7.9689626531744065E-2</v>
      </c>
      <c r="AH50" s="1"/>
      <c r="AI50" s="1"/>
      <c r="AJ50" s="13">
        <f t="shared" si="26"/>
        <v>12</v>
      </c>
      <c r="AK50" s="13" t="s">
        <v>41</v>
      </c>
      <c r="AL50" s="13" t="str">
        <f t="shared" si="27"/>
        <v>+</v>
      </c>
      <c r="AM50" s="13">
        <f t="shared" si="28"/>
        <v>24</v>
      </c>
      <c r="AN50" s="13" t="str">
        <f t="shared" si="29"/>
        <v>H2</v>
      </c>
      <c r="AO50" s="13" t="str">
        <f t="shared" si="30"/>
        <v>=</v>
      </c>
      <c r="AP50" s="13">
        <f t="shared" si="31"/>
        <v>1</v>
      </c>
      <c r="AQ50" s="13" t="str">
        <f t="shared" si="32"/>
        <v>C12H24</v>
      </c>
      <c r="AR50" s="13" t="str">
        <f t="shared" si="33"/>
        <v>+</v>
      </c>
      <c r="AS50" s="13">
        <f t="shared" si="19"/>
        <v>12</v>
      </c>
      <c r="AT50" s="13" t="str">
        <f t="shared" si="34"/>
        <v>H2O</v>
      </c>
      <c r="AU50" s="1">
        <f t="shared" si="16"/>
        <v>0.20258031815017796</v>
      </c>
      <c r="AV50" s="1">
        <f t="shared" si="17"/>
        <v>0.10129015907508898</v>
      </c>
    </row>
    <row r="51" spans="1:48" x14ac:dyDescent="0.2">
      <c r="A51">
        <v>48</v>
      </c>
      <c r="B51">
        <v>13</v>
      </c>
      <c r="C51" t="s">
        <v>234</v>
      </c>
      <c r="D51" t="s">
        <v>235</v>
      </c>
      <c r="E51" t="s">
        <v>236</v>
      </c>
      <c r="F51">
        <v>-1.1399934560010027E-2</v>
      </c>
      <c r="G51">
        <v>1.5091921834770091E-3</v>
      </c>
      <c r="H51">
        <v>8.6672189201512668E-3</v>
      </c>
      <c r="I51">
        <v>2.3650639820554284E-3</v>
      </c>
      <c r="K51" s="30" t="s">
        <v>236</v>
      </c>
      <c r="L51" s="30"/>
      <c r="M51" s="37">
        <f t="shared" si="20"/>
        <v>7.5679650251634734E-4</v>
      </c>
      <c r="N51" s="37">
        <f t="shared" si="21"/>
        <v>2.9371004307854123E-3</v>
      </c>
      <c r="O51" s="34">
        <f t="shared" si="22"/>
        <v>1.3331261467403349E-2</v>
      </c>
      <c r="P51" s="34">
        <f t="shared" si="23"/>
        <v>3.3889620355216296E-2</v>
      </c>
      <c r="Q51" s="31" t="s">
        <v>236</v>
      </c>
      <c r="R51" s="32">
        <f t="shared" si="24"/>
        <v>4.7220881822619645E-2</v>
      </c>
      <c r="S51">
        <f t="shared" si="18"/>
        <v>0.61387146369405543</v>
      </c>
      <c r="U51" s="13">
        <v>13</v>
      </c>
      <c r="V51" s="13" t="s">
        <v>309</v>
      </c>
      <c r="W51" s="13" t="s">
        <v>310</v>
      </c>
      <c r="X51" s="13">
        <v>40</v>
      </c>
      <c r="Y51" s="13" t="s">
        <v>42</v>
      </c>
      <c r="Z51" s="13" t="s">
        <v>311</v>
      </c>
      <c r="AA51" s="13">
        <v>1</v>
      </c>
      <c r="AB51" s="13" t="s">
        <v>241</v>
      </c>
      <c r="AC51" s="13" t="s">
        <v>310</v>
      </c>
      <c r="AD51" s="13">
        <v>26</v>
      </c>
      <c r="AE51" s="13" t="s">
        <v>312</v>
      </c>
      <c r="AF51" s="1">
        <f t="shared" si="25"/>
        <v>0.53325045869613397</v>
      </c>
      <c r="AG51" s="1">
        <f t="shared" si="15"/>
        <v>0.34661279815248708</v>
      </c>
      <c r="AH51" s="1"/>
      <c r="AI51" s="1"/>
      <c r="AJ51" s="13">
        <f t="shared" si="26"/>
        <v>13</v>
      </c>
      <c r="AK51" s="13" t="s">
        <v>41</v>
      </c>
      <c r="AL51" s="13" t="str">
        <f t="shared" si="27"/>
        <v>+</v>
      </c>
      <c r="AM51" s="13">
        <f t="shared" si="28"/>
        <v>27</v>
      </c>
      <c r="AN51" s="13" t="str">
        <f t="shared" si="29"/>
        <v>H2</v>
      </c>
      <c r="AO51" s="13" t="str">
        <f t="shared" si="30"/>
        <v>=</v>
      </c>
      <c r="AP51" s="13">
        <f t="shared" si="31"/>
        <v>1</v>
      </c>
      <c r="AQ51" s="13" t="str">
        <f t="shared" si="32"/>
        <v>C13H28</v>
      </c>
      <c r="AR51" s="13" t="str">
        <f t="shared" si="33"/>
        <v>+</v>
      </c>
      <c r="AS51" s="13">
        <f t="shared" si="19"/>
        <v>13</v>
      </c>
      <c r="AT51" s="13" t="str">
        <f t="shared" si="34"/>
        <v>H2O</v>
      </c>
      <c r="AU51" s="1">
        <f t="shared" si="16"/>
        <v>0.91501974959083998</v>
      </c>
      <c r="AV51" s="1">
        <f t="shared" si="17"/>
        <v>0.44056506461781186</v>
      </c>
    </row>
    <row r="52" spans="1:48" x14ac:dyDescent="0.2">
      <c r="A52">
        <v>49</v>
      </c>
      <c r="B52">
        <v>13</v>
      </c>
      <c r="C52" t="s">
        <v>237</v>
      </c>
      <c r="D52" t="s">
        <v>238</v>
      </c>
      <c r="E52" t="s">
        <v>239</v>
      </c>
      <c r="F52">
        <v>-9.8514458080046856E-4</v>
      </c>
      <c r="G52">
        <v>1.304193890861681E-4</v>
      </c>
      <c r="H52">
        <v>7.4899234770614402E-4</v>
      </c>
      <c r="I52">
        <v>2.0438099472443224E-4</v>
      </c>
      <c r="K52" s="30" t="s">
        <v>239</v>
      </c>
      <c r="L52" s="30"/>
      <c r="M52" s="37">
        <f t="shared" si="20"/>
        <v>6.5399846753337167E-5</v>
      </c>
      <c r="N52" s="37">
        <f t="shared" si="21"/>
        <v>2.5381448967303773E-4</v>
      </c>
      <c r="O52" s="34">
        <f t="shared" si="22"/>
        <v>1.1520434543472471E-3</v>
      </c>
      <c r="P52" s="34">
        <f t="shared" si="23"/>
        <v>2.9286287269965896E-3</v>
      </c>
      <c r="Q52" s="31" t="s">
        <v>239</v>
      </c>
      <c r="R52" s="32">
        <f t="shared" si="24"/>
        <v>4.0806721813438362E-3</v>
      </c>
      <c r="S52">
        <f t="shared" si="18"/>
        <v>5.3048738357469871E-2</v>
      </c>
      <c r="U52" s="13">
        <v>13</v>
      </c>
      <c r="V52" s="13" t="s">
        <v>309</v>
      </c>
      <c r="W52" s="13" t="s">
        <v>310</v>
      </c>
      <c r="X52" s="13">
        <v>39</v>
      </c>
      <c r="Y52" s="13" t="s">
        <v>42</v>
      </c>
      <c r="Z52" s="13" t="s">
        <v>311</v>
      </c>
      <c r="AA52" s="13">
        <v>1</v>
      </c>
      <c r="AB52" s="13" t="s">
        <v>334</v>
      </c>
      <c r="AC52" s="13" t="s">
        <v>310</v>
      </c>
      <c r="AD52" s="13">
        <v>26</v>
      </c>
      <c r="AE52" s="13" t="s">
        <v>312</v>
      </c>
      <c r="AF52" s="1">
        <f t="shared" si="25"/>
        <v>4.4929694719542633E-2</v>
      </c>
      <c r="AG52" s="1">
        <f t="shared" si="15"/>
        <v>2.9953129813028424E-2</v>
      </c>
      <c r="AH52" s="1"/>
      <c r="AI52" s="1"/>
      <c r="AJ52" s="13">
        <f t="shared" si="26"/>
        <v>13</v>
      </c>
      <c r="AK52" s="13" t="s">
        <v>41</v>
      </c>
      <c r="AL52" s="13" t="str">
        <f t="shared" si="27"/>
        <v>+</v>
      </c>
      <c r="AM52" s="13">
        <f t="shared" si="28"/>
        <v>26</v>
      </c>
      <c r="AN52" s="13" t="str">
        <f t="shared" si="29"/>
        <v>H2</v>
      </c>
      <c r="AO52" s="13" t="str">
        <f t="shared" si="30"/>
        <v>=</v>
      </c>
      <c r="AP52" s="13">
        <f t="shared" si="31"/>
        <v>1</v>
      </c>
      <c r="AQ52" s="13" t="str">
        <f t="shared" si="32"/>
        <v>C13H26</v>
      </c>
      <c r="AR52" s="13" t="str">
        <f t="shared" si="33"/>
        <v>+</v>
      </c>
      <c r="AS52" s="13">
        <f t="shared" si="19"/>
        <v>13</v>
      </c>
      <c r="AT52" s="13" t="str">
        <f t="shared" si="34"/>
        <v>H2O</v>
      </c>
      <c r="AU52" s="1">
        <f t="shared" si="16"/>
        <v>7.6144346901911325E-2</v>
      </c>
      <c r="AV52" s="1">
        <f t="shared" si="17"/>
        <v>3.8072173450955663E-2</v>
      </c>
    </row>
    <row r="53" spans="1:48" x14ac:dyDescent="0.2">
      <c r="A53">
        <v>50</v>
      </c>
      <c r="B53">
        <v>13</v>
      </c>
      <c r="C53" t="s">
        <v>240</v>
      </c>
      <c r="D53" t="s">
        <v>241</v>
      </c>
      <c r="E53" t="s">
        <v>242</v>
      </c>
      <c r="F53">
        <v>-1.8513358182455857E-2</v>
      </c>
      <c r="G53">
        <v>3.685136337240086E-3</v>
      </c>
      <c r="H53">
        <v>0.13001221584434</v>
      </c>
      <c r="I53">
        <v>1.4400483209596904E-3</v>
      </c>
      <c r="K53" s="30" t="s">
        <v>242</v>
      </c>
      <c r="L53" s="30"/>
      <c r="M53" s="37">
        <f t="shared" si="20"/>
        <v>2.4632546971979996E-3</v>
      </c>
      <c r="N53" s="37">
        <f t="shared" si="21"/>
        <v>1.0020854566686131E-2</v>
      </c>
      <c r="O53" s="34">
        <f t="shared" si="22"/>
        <v>4.3391178896795529E-2</v>
      </c>
      <c r="P53" s="34">
        <f t="shared" si="23"/>
        <v>0.11562524500022459</v>
      </c>
      <c r="Q53" s="31" t="s">
        <v>242</v>
      </c>
      <c r="R53" s="32">
        <f t="shared" si="24"/>
        <v>0.15901642389702011</v>
      </c>
      <c r="S53">
        <f t="shared" si="18"/>
        <v>2.0672135106612615</v>
      </c>
      <c r="U53" s="13">
        <v>13</v>
      </c>
      <c r="V53" s="13" t="s">
        <v>309</v>
      </c>
      <c r="W53" s="13" t="s">
        <v>310</v>
      </c>
      <c r="X53" s="13">
        <v>40</v>
      </c>
      <c r="Y53" s="13" t="s">
        <v>42</v>
      </c>
      <c r="Z53" s="13" t="s">
        <v>311</v>
      </c>
      <c r="AA53" s="13">
        <v>1</v>
      </c>
      <c r="AB53" s="13" t="s">
        <v>241</v>
      </c>
      <c r="AC53" s="13" t="s">
        <v>310</v>
      </c>
      <c r="AD53" s="13">
        <v>26</v>
      </c>
      <c r="AE53" s="13" t="s">
        <v>312</v>
      </c>
      <c r="AF53" s="1">
        <f t="shared" si="25"/>
        <v>1.7356471558718212</v>
      </c>
      <c r="AG53" s="1">
        <f t="shared" si="15"/>
        <v>1.1281706513166838</v>
      </c>
      <c r="AH53" s="1"/>
      <c r="AI53" s="1"/>
      <c r="AJ53" s="13">
        <f t="shared" si="26"/>
        <v>13</v>
      </c>
      <c r="AK53" s="13" t="s">
        <v>41</v>
      </c>
      <c r="AL53" s="13" t="str">
        <f t="shared" si="27"/>
        <v>+</v>
      </c>
      <c r="AM53" s="13">
        <f t="shared" si="28"/>
        <v>27</v>
      </c>
      <c r="AN53" s="13" t="str">
        <f t="shared" si="29"/>
        <v>H2</v>
      </c>
      <c r="AO53" s="13" t="str">
        <f t="shared" si="30"/>
        <v>=</v>
      </c>
      <c r="AP53" s="13">
        <f t="shared" si="31"/>
        <v>1</v>
      </c>
      <c r="AQ53" s="13" t="str">
        <f t="shared" si="32"/>
        <v>C13H28</v>
      </c>
      <c r="AR53" s="13" t="str">
        <f t="shared" si="33"/>
        <v>+</v>
      </c>
      <c r="AS53" s="13">
        <f t="shared" si="19"/>
        <v>13</v>
      </c>
      <c r="AT53" s="13" t="str">
        <f t="shared" si="34"/>
        <v>H2O</v>
      </c>
      <c r="AU53" s="1">
        <f t="shared" si="16"/>
        <v>3.121881615006064</v>
      </c>
      <c r="AV53" s="1">
        <f t="shared" si="17"/>
        <v>1.5031281850029197</v>
      </c>
    </row>
    <row r="54" spans="1:48" x14ac:dyDescent="0.2">
      <c r="A54">
        <v>51</v>
      </c>
      <c r="B54">
        <v>14</v>
      </c>
      <c r="C54" t="s">
        <v>243</v>
      </c>
      <c r="D54" t="s">
        <v>244</v>
      </c>
      <c r="E54" t="s">
        <v>245</v>
      </c>
      <c r="F54">
        <v>-2.7925495367341316E-3</v>
      </c>
      <c r="G54">
        <v>3.696945724228602E-4</v>
      </c>
      <c r="H54">
        <v>2.1231383437187415E-3</v>
      </c>
      <c r="I54">
        <v>5.7935054737977873E-4</v>
      </c>
      <c r="K54" s="30" t="s">
        <v>245</v>
      </c>
      <c r="L54" s="30"/>
      <c r="M54" s="37">
        <f t="shared" si="20"/>
        <v>1.8538630299840751E-4</v>
      </c>
      <c r="N54" s="37">
        <f t="shared" si="21"/>
        <v>7.1947767806521568E-4</v>
      </c>
      <c r="O54" s="34">
        <f t="shared" si="22"/>
        <v>3.0323902419025226E-3</v>
      </c>
      <c r="P54" s="34">
        <f t="shared" si="23"/>
        <v>7.7086894078415968E-3</v>
      </c>
      <c r="Q54" s="31" t="s">
        <v>245</v>
      </c>
      <c r="R54" s="32">
        <f t="shared" si="24"/>
        <v>1.074107964974412E-2</v>
      </c>
      <c r="S54">
        <f t="shared" si="18"/>
        <v>0.15037511509641768</v>
      </c>
      <c r="U54" s="13">
        <v>14</v>
      </c>
      <c r="V54" s="13" t="s">
        <v>309</v>
      </c>
      <c r="W54" s="13" t="s">
        <v>310</v>
      </c>
      <c r="X54" s="13">
        <v>43</v>
      </c>
      <c r="Y54" s="13" t="s">
        <v>42</v>
      </c>
      <c r="Z54" s="13" t="s">
        <v>311</v>
      </c>
      <c r="AA54" s="13">
        <v>1</v>
      </c>
      <c r="AB54" s="13" t="s">
        <v>247</v>
      </c>
      <c r="AC54" s="13" t="s">
        <v>310</v>
      </c>
      <c r="AD54" s="13">
        <v>28</v>
      </c>
      <c r="AE54" s="13" t="s">
        <v>312</v>
      </c>
      <c r="AF54" s="1">
        <f t="shared" si="25"/>
        <v>0.13039278040180846</v>
      </c>
      <c r="AG54" s="1">
        <f t="shared" si="15"/>
        <v>8.4906926773270636E-2</v>
      </c>
      <c r="AH54" s="1"/>
      <c r="AI54" s="1"/>
      <c r="AJ54" s="13">
        <f t="shared" si="26"/>
        <v>14</v>
      </c>
      <c r="AK54" s="13" t="s">
        <v>41</v>
      </c>
      <c r="AL54" s="13" t="str">
        <f t="shared" si="27"/>
        <v>+</v>
      </c>
      <c r="AM54" s="13">
        <f t="shared" si="28"/>
        <v>29</v>
      </c>
      <c r="AN54" s="13" t="str">
        <f t="shared" si="29"/>
        <v>H2</v>
      </c>
      <c r="AO54" s="13" t="str">
        <f t="shared" si="30"/>
        <v>=</v>
      </c>
      <c r="AP54" s="13">
        <f t="shared" si="31"/>
        <v>1</v>
      </c>
      <c r="AQ54" s="13" t="str">
        <f t="shared" si="32"/>
        <v>C14H30</v>
      </c>
      <c r="AR54" s="13" t="str">
        <f t="shared" si="33"/>
        <v>+</v>
      </c>
      <c r="AS54" s="13">
        <f t="shared" si="19"/>
        <v>14</v>
      </c>
      <c r="AT54" s="13" t="str">
        <f t="shared" si="34"/>
        <v>H2O</v>
      </c>
      <c r="AU54" s="1">
        <f t="shared" si="16"/>
        <v>0.22355199282740632</v>
      </c>
      <c r="AV54" s="1">
        <f t="shared" si="17"/>
        <v>0.10792165170978235</v>
      </c>
    </row>
    <row r="55" spans="1:48" x14ac:dyDescent="0.2">
      <c r="A55">
        <v>52</v>
      </c>
      <c r="B55">
        <v>14</v>
      </c>
      <c r="C55" t="s">
        <v>246</v>
      </c>
      <c r="D55" t="s">
        <v>247</v>
      </c>
      <c r="E55" t="s">
        <v>248</v>
      </c>
      <c r="F55">
        <v>-1.9571637655129766E-2</v>
      </c>
      <c r="G55">
        <v>3.8957898611049055E-3</v>
      </c>
      <c r="H55">
        <v>0.13744410679945043</v>
      </c>
      <c r="I55">
        <v>1.522365832602417E-3</v>
      </c>
      <c r="K55" s="30" t="s">
        <v>248</v>
      </c>
      <c r="L55" s="30"/>
      <c r="M55" s="37">
        <f t="shared" si="20"/>
        <v>2.6040617758663408E-3</v>
      </c>
      <c r="N55" s="37">
        <f t="shared" si="21"/>
        <v>1.0593676881366147E-2</v>
      </c>
      <c r="O55" s="34">
        <f t="shared" si="22"/>
        <v>4.2595010476670858E-2</v>
      </c>
      <c r="P55" s="34">
        <f t="shared" si="23"/>
        <v>0.11350368087178013</v>
      </c>
      <c r="Q55" s="31" t="s">
        <v>248</v>
      </c>
      <c r="R55" s="32">
        <f t="shared" si="24"/>
        <v>0.156098691348451</v>
      </c>
      <c r="S55">
        <f t="shared" si="18"/>
        <v>2.185381678878314</v>
      </c>
      <c r="U55" s="13">
        <v>14</v>
      </c>
      <c r="V55" s="13" t="s">
        <v>309</v>
      </c>
      <c r="W55" s="13" t="s">
        <v>310</v>
      </c>
      <c r="X55" s="13">
        <v>43</v>
      </c>
      <c r="Y55" s="13" t="s">
        <v>42</v>
      </c>
      <c r="Z55" s="13" t="s">
        <v>311</v>
      </c>
      <c r="AA55" s="13">
        <v>1</v>
      </c>
      <c r="AB55" s="13" t="s">
        <v>247</v>
      </c>
      <c r="AC55" s="13" t="s">
        <v>310</v>
      </c>
      <c r="AD55" s="13">
        <v>28</v>
      </c>
      <c r="AE55" s="13" t="s">
        <v>312</v>
      </c>
      <c r="AF55" s="1">
        <f t="shared" si="25"/>
        <v>1.831585450496847</v>
      </c>
      <c r="AG55" s="1">
        <f t="shared" si="15"/>
        <v>1.192660293346784</v>
      </c>
      <c r="AH55" s="1"/>
      <c r="AI55" s="1"/>
      <c r="AJ55" s="13">
        <f t="shared" si="26"/>
        <v>14</v>
      </c>
      <c r="AK55" s="13" t="s">
        <v>41</v>
      </c>
      <c r="AL55" s="13" t="str">
        <f t="shared" si="27"/>
        <v>+</v>
      </c>
      <c r="AM55" s="13">
        <f t="shared" si="28"/>
        <v>29</v>
      </c>
      <c r="AN55" s="13" t="str">
        <f t="shared" si="29"/>
        <v>H2</v>
      </c>
      <c r="AO55" s="13" t="str">
        <f t="shared" si="30"/>
        <v>=</v>
      </c>
      <c r="AP55" s="13">
        <f t="shared" si="31"/>
        <v>1</v>
      </c>
      <c r="AQ55" s="13" t="str">
        <f t="shared" si="32"/>
        <v>C14H30</v>
      </c>
      <c r="AR55" s="13" t="str">
        <f t="shared" si="33"/>
        <v>+</v>
      </c>
      <c r="AS55" s="13">
        <f t="shared" si="19"/>
        <v>14</v>
      </c>
      <c r="AT55" s="13" t="str">
        <f t="shared" si="34"/>
        <v>H2O</v>
      </c>
      <c r="AU55" s="1">
        <f t="shared" si="16"/>
        <v>3.2916067452816238</v>
      </c>
      <c r="AV55" s="1">
        <f t="shared" si="17"/>
        <v>1.5890515322049219</v>
      </c>
    </row>
    <row r="56" spans="1:48" x14ac:dyDescent="0.2">
      <c r="A56">
        <v>53</v>
      </c>
      <c r="B56">
        <v>15</v>
      </c>
      <c r="C56" t="s">
        <v>249</v>
      </c>
      <c r="D56" t="s">
        <v>250</v>
      </c>
      <c r="E56" t="s">
        <v>251</v>
      </c>
      <c r="F56">
        <v>-2.3599700252929004E-3</v>
      </c>
      <c r="G56">
        <v>3.1242708426643389E-4</v>
      </c>
      <c r="H56">
        <v>1.7942538833477764E-3</v>
      </c>
      <c r="I56">
        <v>4.8960632854244809E-4</v>
      </c>
      <c r="K56" s="30" t="s">
        <v>251</v>
      </c>
      <c r="L56" s="30"/>
      <c r="M56" s="37">
        <f t="shared" si="20"/>
        <v>1.5666906259710246E-4</v>
      </c>
      <c r="N56" s="37">
        <f t="shared" si="21"/>
        <v>6.0802708484340132E-4</v>
      </c>
      <c r="O56" s="34">
        <f t="shared" si="22"/>
        <v>2.3918143556490978E-3</v>
      </c>
      <c r="P56" s="34">
        <f t="shared" si="23"/>
        <v>6.0802708484340136E-3</v>
      </c>
      <c r="Q56" s="31" t="s">
        <v>251</v>
      </c>
      <c r="R56" s="32">
        <f t="shared" si="24"/>
        <v>8.4720852040831122E-3</v>
      </c>
      <c r="S56">
        <f t="shared" si="18"/>
        <v>0.12708127806124669</v>
      </c>
      <c r="U56" s="13">
        <v>15</v>
      </c>
      <c r="V56" s="13" t="s">
        <v>309</v>
      </c>
      <c r="W56" s="13" t="s">
        <v>310</v>
      </c>
      <c r="X56" s="13">
        <v>46</v>
      </c>
      <c r="Y56" s="13" t="s">
        <v>42</v>
      </c>
      <c r="Z56" s="13" t="s">
        <v>311</v>
      </c>
      <c r="AA56" s="13">
        <v>1</v>
      </c>
      <c r="AB56" s="13" t="s">
        <v>253</v>
      </c>
      <c r="AC56" s="13" t="s">
        <v>310</v>
      </c>
      <c r="AD56" s="13">
        <v>30</v>
      </c>
      <c r="AE56" s="13" t="s">
        <v>312</v>
      </c>
      <c r="AF56" s="1">
        <f t="shared" si="25"/>
        <v>0.11002346035985849</v>
      </c>
      <c r="AG56" s="1">
        <f t="shared" si="15"/>
        <v>7.1754430669472929E-2</v>
      </c>
      <c r="AH56" s="1"/>
      <c r="AI56" s="1"/>
      <c r="AJ56" s="13">
        <f t="shared" si="26"/>
        <v>15</v>
      </c>
      <c r="AK56" s="13" t="s">
        <v>41</v>
      </c>
      <c r="AL56" s="13" t="str">
        <f t="shared" si="27"/>
        <v>+</v>
      </c>
      <c r="AM56" s="13">
        <f t="shared" si="28"/>
        <v>31</v>
      </c>
      <c r="AN56" s="13" t="str">
        <f t="shared" si="29"/>
        <v>H2</v>
      </c>
      <c r="AO56" s="13" t="str">
        <f t="shared" si="30"/>
        <v>=</v>
      </c>
      <c r="AP56" s="13">
        <f t="shared" si="31"/>
        <v>1</v>
      </c>
      <c r="AQ56" s="13" t="str">
        <f t="shared" si="32"/>
        <v>C15H32</v>
      </c>
      <c r="AR56" s="13" t="str">
        <f t="shared" si="33"/>
        <v>+</v>
      </c>
      <c r="AS56" s="13">
        <f t="shared" si="19"/>
        <v>15</v>
      </c>
      <c r="AT56" s="13" t="str">
        <f t="shared" si="34"/>
        <v>H2O</v>
      </c>
      <c r="AU56" s="1">
        <f t="shared" si="16"/>
        <v>0.18848839630145442</v>
      </c>
      <c r="AV56" s="1">
        <f t="shared" si="17"/>
        <v>9.1204062726510202E-2</v>
      </c>
    </row>
    <row r="57" spans="1:48" x14ac:dyDescent="0.2">
      <c r="A57">
        <v>54</v>
      </c>
      <c r="B57">
        <v>15</v>
      </c>
      <c r="C57" t="s">
        <v>252</v>
      </c>
      <c r="D57" t="s">
        <v>253</v>
      </c>
      <c r="E57" t="s">
        <v>254</v>
      </c>
      <c r="F57">
        <v>-1.861787961185575E-2</v>
      </c>
      <c r="G57">
        <v>3.7059416235477234E-3</v>
      </c>
      <c r="H57">
        <v>0.13074622976583233</v>
      </c>
      <c r="I57">
        <v>1.4481784455663855E-3</v>
      </c>
      <c r="K57" s="30" t="s">
        <v>254</v>
      </c>
      <c r="L57" s="30"/>
      <c r="M57" s="37">
        <f t="shared" si="20"/>
        <v>2.4771615691652439E-3</v>
      </c>
      <c r="N57" s="37">
        <f t="shared" si="21"/>
        <v>1.007742961011132E-2</v>
      </c>
      <c r="O57" s="34">
        <f t="shared" si="22"/>
        <v>3.7817999955922721E-2</v>
      </c>
      <c r="P57" s="34">
        <f t="shared" si="23"/>
        <v>0.10077429610111319</v>
      </c>
      <c r="Q57" s="31" t="s">
        <v>254</v>
      </c>
      <c r="R57" s="32">
        <f t="shared" si="24"/>
        <v>0.13859229605703591</v>
      </c>
      <c r="S57">
        <f>+R57*U57</f>
        <v>2.0788844408555387</v>
      </c>
      <c r="U57" s="13">
        <v>15</v>
      </c>
      <c r="V57" s="13" t="s">
        <v>309</v>
      </c>
      <c r="W57" s="13" t="s">
        <v>310</v>
      </c>
      <c r="X57" s="13">
        <v>46</v>
      </c>
      <c r="Y57" s="13" t="s">
        <v>42</v>
      </c>
      <c r="Z57" s="13" t="s">
        <v>311</v>
      </c>
      <c r="AA57" s="13">
        <v>1</v>
      </c>
      <c r="AB57" s="13" t="s">
        <v>253</v>
      </c>
      <c r="AC57" s="13" t="s">
        <v>310</v>
      </c>
      <c r="AD57" s="13">
        <v>30</v>
      </c>
      <c r="AE57" s="13" t="s">
        <v>312</v>
      </c>
      <c r="AF57" s="1">
        <f t="shared" si="25"/>
        <v>1.7396279979724452</v>
      </c>
      <c r="AG57" s="1">
        <f t="shared" si="15"/>
        <v>1.1345399986776816</v>
      </c>
      <c r="AH57" s="1"/>
      <c r="AI57" s="1"/>
      <c r="AJ57" s="13">
        <f t="shared" si="26"/>
        <v>15</v>
      </c>
      <c r="AK57" s="13" t="s">
        <v>41</v>
      </c>
      <c r="AL57" s="13" t="str">
        <f t="shared" si="27"/>
        <v>+</v>
      </c>
      <c r="AM57" s="13">
        <f t="shared" si="28"/>
        <v>31</v>
      </c>
      <c r="AN57" s="13" t="str">
        <f t="shared" si="29"/>
        <v>H2</v>
      </c>
      <c r="AO57" s="13" t="str">
        <f t="shared" si="30"/>
        <v>=</v>
      </c>
      <c r="AP57" s="13">
        <f t="shared" si="31"/>
        <v>1</v>
      </c>
      <c r="AQ57" s="13" t="str">
        <f t="shared" si="32"/>
        <v>C15H32</v>
      </c>
      <c r="AR57" s="13" t="str">
        <f t="shared" si="33"/>
        <v>+</v>
      </c>
      <c r="AS57" s="13">
        <f t="shared" si="19"/>
        <v>15</v>
      </c>
      <c r="AT57" s="13" t="str">
        <f t="shared" si="34"/>
        <v>H2O</v>
      </c>
      <c r="AU57" s="1">
        <f t="shared" si="16"/>
        <v>3.1240031791345086</v>
      </c>
      <c r="AV57" s="1">
        <f t="shared" si="17"/>
        <v>1.5116144415166979</v>
      </c>
    </row>
    <row r="58" spans="1:48" x14ac:dyDescent="0.2">
      <c r="A58">
        <v>55</v>
      </c>
      <c r="B58">
        <v>16</v>
      </c>
      <c r="C58" t="s">
        <v>255</v>
      </c>
      <c r="D58" t="s">
        <v>256</v>
      </c>
      <c r="E58" t="s">
        <v>257</v>
      </c>
      <c r="F58">
        <v>-6.419553988063177E-3</v>
      </c>
      <c r="G58">
        <v>8.4985932587538344E-4</v>
      </c>
      <c r="H58">
        <v>4.8807016822230596E-3</v>
      </c>
      <c r="I58">
        <v>1.3318195677445321E-3</v>
      </c>
      <c r="K58" s="30" t="s">
        <v>257</v>
      </c>
      <c r="L58" s="30"/>
      <c r="M58" s="37">
        <f t="shared" si="20"/>
        <v>4.2616876266321371E-4</v>
      </c>
      <c r="N58" s="37">
        <f t="shared" si="21"/>
        <v>1.6539458787712541E-3</v>
      </c>
      <c r="O58" s="34">
        <f t="shared" si="22"/>
        <v>6.099540415617246E-3</v>
      </c>
      <c r="P58" s="34">
        <f t="shared" si="23"/>
        <v>1.5505742613480507E-2</v>
      </c>
      <c r="Q58" s="31" t="s">
        <v>257</v>
      </c>
      <c r="R58" s="32">
        <f t="shared" si="24"/>
        <v>2.1605283029097755E-2</v>
      </c>
      <c r="S58">
        <f t="shared" si="18"/>
        <v>0.34568452846556408</v>
      </c>
      <c r="U58" s="13">
        <v>16</v>
      </c>
      <c r="V58" s="13" t="s">
        <v>309</v>
      </c>
      <c r="W58" s="13" t="s">
        <v>310</v>
      </c>
      <c r="X58" s="13">
        <v>49</v>
      </c>
      <c r="Y58" s="13" t="s">
        <v>42</v>
      </c>
      <c r="Z58" s="13" t="s">
        <v>311</v>
      </c>
      <c r="AA58" s="13">
        <v>1</v>
      </c>
      <c r="AB58" s="13" t="s">
        <v>259</v>
      </c>
      <c r="AC58" s="13" t="s">
        <v>310</v>
      </c>
      <c r="AD58" s="13">
        <v>32</v>
      </c>
      <c r="AE58" s="13" t="s">
        <v>312</v>
      </c>
      <c r="AF58" s="1">
        <f t="shared" si="25"/>
        <v>0.29887748036524503</v>
      </c>
      <c r="AG58" s="1">
        <f t="shared" si="15"/>
        <v>0.19518529329975187</v>
      </c>
      <c r="AH58" s="1"/>
      <c r="AI58" s="1"/>
      <c r="AJ58" s="13">
        <f t="shared" si="26"/>
        <v>16</v>
      </c>
      <c r="AK58" s="13" t="s">
        <v>41</v>
      </c>
      <c r="AL58" s="13" t="str">
        <f t="shared" si="27"/>
        <v>+</v>
      </c>
      <c r="AM58" s="13">
        <f t="shared" si="28"/>
        <v>33</v>
      </c>
      <c r="AN58" s="13" t="str">
        <f t="shared" si="29"/>
        <v>H2</v>
      </c>
      <c r="AO58" s="13" t="str">
        <f t="shared" si="30"/>
        <v>=</v>
      </c>
      <c r="AP58" s="13">
        <f t="shared" si="31"/>
        <v>1</v>
      </c>
      <c r="AQ58" s="13" t="str">
        <f t="shared" si="32"/>
        <v>C16H34</v>
      </c>
      <c r="AR58" s="13" t="str">
        <f t="shared" si="33"/>
        <v>+</v>
      </c>
      <c r="AS58" s="13">
        <f t="shared" si="19"/>
        <v>16</v>
      </c>
      <c r="AT58" s="13" t="str">
        <f t="shared" si="34"/>
        <v>H2O</v>
      </c>
      <c r="AU58" s="1">
        <f t="shared" si="16"/>
        <v>0.51168950624485676</v>
      </c>
      <c r="AV58" s="1">
        <f t="shared" si="17"/>
        <v>0.24809188181568811</v>
      </c>
    </row>
    <row r="59" spans="1:48" x14ac:dyDescent="0.2">
      <c r="A59">
        <v>56</v>
      </c>
      <c r="B59">
        <v>16</v>
      </c>
      <c r="C59" t="s">
        <v>258</v>
      </c>
      <c r="D59" t="s">
        <v>259</v>
      </c>
      <c r="E59" t="s">
        <v>260</v>
      </c>
      <c r="F59">
        <v>-1.6096300127583375E-2</v>
      </c>
      <c r="G59">
        <v>3.2040140913759986E-3</v>
      </c>
      <c r="H59">
        <v>0.11303814390982837</v>
      </c>
      <c r="I59">
        <v>1.2520391894300289E-3</v>
      </c>
      <c r="K59" s="30" t="s">
        <v>260</v>
      </c>
      <c r="L59" s="30"/>
      <c r="M59" s="37">
        <f t="shared" si="20"/>
        <v>2.1416582829554957E-3</v>
      </c>
      <c r="N59" s="37">
        <f t="shared" si="21"/>
        <v>8.7125566874787022E-3</v>
      </c>
      <c r="O59" s="34">
        <f t="shared" si="22"/>
        <v>3.0652484174800532E-2</v>
      </c>
      <c r="P59" s="34">
        <f t="shared" si="23"/>
        <v>8.1680218945112834E-2</v>
      </c>
      <c r="Q59" s="31" t="s">
        <v>260</v>
      </c>
      <c r="R59" s="32">
        <f t="shared" si="24"/>
        <v>0.11233270311991336</v>
      </c>
      <c r="S59">
        <f t="shared" si="18"/>
        <v>1.7973232499186138</v>
      </c>
      <c r="U59" s="13">
        <v>16</v>
      </c>
      <c r="V59" s="13" t="s">
        <v>309</v>
      </c>
      <c r="W59" s="13" t="s">
        <v>310</v>
      </c>
      <c r="X59" s="13">
        <v>49</v>
      </c>
      <c r="Y59" s="13" t="s">
        <v>42</v>
      </c>
      <c r="Z59" s="13" t="s">
        <v>311</v>
      </c>
      <c r="AA59" s="13">
        <v>1</v>
      </c>
      <c r="AB59" s="13" t="s">
        <v>259</v>
      </c>
      <c r="AC59" s="13" t="s">
        <v>310</v>
      </c>
      <c r="AD59" s="13">
        <v>32</v>
      </c>
      <c r="AE59" s="13" t="s">
        <v>312</v>
      </c>
      <c r="AF59" s="1">
        <f t="shared" si="25"/>
        <v>1.501971724565226</v>
      </c>
      <c r="AG59" s="1">
        <f t="shared" si="15"/>
        <v>0.98087949359361704</v>
      </c>
      <c r="AH59" s="1"/>
      <c r="AI59" s="1"/>
      <c r="AJ59" s="13">
        <f t="shared" si="26"/>
        <v>16</v>
      </c>
      <c r="AK59" s="13" t="s">
        <v>41</v>
      </c>
      <c r="AL59" s="13" t="str">
        <f t="shared" si="27"/>
        <v>+</v>
      </c>
      <c r="AM59" s="13">
        <f t="shared" si="28"/>
        <v>33</v>
      </c>
      <c r="AN59" s="13" t="str">
        <f t="shared" si="29"/>
        <v>H2</v>
      </c>
      <c r="AO59" s="13" t="str">
        <f t="shared" si="30"/>
        <v>=</v>
      </c>
      <c r="AP59" s="13">
        <f t="shared" si="31"/>
        <v>1</v>
      </c>
      <c r="AQ59" s="13" t="str">
        <f t="shared" si="32"/>
        <v>C16H34</v>
      </c>
      <c r="AR59" s="13" t="str">
        <f t="shared" si="33"/>
        <v>+</v>
      </c>
      <c r="AS59" s="13">
        <f t="shared" si="19"/>
        <v>16</v>
      </c>
      <c r="AT59" s="13" t="str">
        <f t="shared" si="34"/>
        <v>H2O</v>
      </c>
      <c r="AU59" s="1">
        <f t="shared" si="16"/>
        <v>2.6954472251887234</v>
      </c>
      <c r="AV59" s="1">
        <f t="shared" si="17"/>
        <v>1.3068835031218053</v>
      </c>
    </row>
    <row r="60" spans="1:48" x14ac:dyDescent="0.2">
      <c r="A60">
        <v>57</v>
      </c>
      <c r="B60">
        <v>17</v>
      </c>
      <c r="C60" t="s">
        <v>261</v>
      </c>
      <c r="D60" t="s">
        <v>262</v>
      </c>
      <c r="E60" t="s">
        <v>263</v>
      </c>
      <c r="F60">
        <v>-2.5265561447253408E-3</v>
      </c>
      <c r="G60">
        <v>3.3448076080288809E-4</v>
      </c>
      <c r="H60">
        <v>1.9209070986429167E-3</v>
      </c>
      <c r="I60">
        <v>5.2416677526309109E-4</v>
      </c>
      <c r="K60" s="30" t="s">
        <v>263</v>
      </c>
      <c r="L60" s="30"/>
      <c r="M60" s="37">
        <f t="shared" si="20"/>
        <v>1.6772805525101559E-4</v>
      </c>
      <c r="N60" s="37">
        <f t="shared" si="21"/>
        <v>6.5094664377352354E-4</v>
      </c>
      <c r="O60" s="34">
        <f t="shared" si="22"/>
        <v>2.259395567793092E-3</v>
      </c>
      <c r="P60" s="34">
        <f t="shared" si="23"/>
        <v>5.7436468568252078E-3</v>
      </c>
      <c r="Q60" s="31" t="s">
        <v>263</v>
      </c>
      <c r="R60" s="32">
        <f t="shared" si="24"/>
        <v>8.0030424246183007E-3</v>
      </c>
      <c r="S60">
        <f t="shared" si="18"/>
        <v>0.13605172121851111</v>
      </c>
      <c r="U60" s="13">
        <v>17</v>
      </c>
      <c r="V60" s="13" t="s">
        <v>309</v>
      </c>
      <c r="W60" s="13" t="s">
        <v>310</v>
      </c>
      <c r="X60" s="13">
        <v>52</v>
      </c>
      <c r="Y60" s="13" t="s">
        <v>42</v>
      </c>
      <c r="Z60" s="13" t="s">
        <v>311</v>
      </c>
      <c r="AA60" s="13">
        <v>1</v>
      </c>
      <c r="AB60" s="13" t="s">
        <v>265</v>
      </c>
      <c r="AC60" s="13" t="s">
        <v>310</v>
      </c>
      <c r="AD60" s="13">
        <v>34</v>
      </c>
      <c r="AE60" s="13" t="s">
        <v>312</v>
      </c>
      <c r="AF60" s="1">
        <f t="shared" si="25"/>
        <v>0.11748856952524078</v>
      </c>
      <c r="AG60" s="1">
        <f t="shared" si="15"/>
        <v>7.6819449304965134E-2</v>
      </c>
      <c r="AH60" s="1"/>
      <c r="AI60" s="1"/>
      <c r="AJ60" s="13">
        <f t="shared" si="26"/>
        <v>17</v>
      </c>
      <c r="AK60" s="13" t="s">
        <v>41</v>
      </c>
      <c r="AL60" s="13" t="str">
        <f t="shared" si="27"/>
        <v>+</v>
      </c>
      <c r="AM60" s="13">
        <f t="shared" si="28"/>
        <v>35</v>
      </c>
      <c r="AN60" s="13" t="str">
        <f t="shared" si="29"/>
        <v>H2</v>
      </c>
      <c r="AO60" s="13" t="str">
        <f t="shared" si="30"/>
        <v>=</v>
      </c>
      <c r="AP60" s="13">
        <f t="shared" si="31"/>
        <v>1</v>
      </c>
      <c r="AQ60" s="13" t="str">
        <f t="shared" si="32"/>
        <v>C17H36</v>
      </c>
      <c r="AR60" s="13" t="str">
        <f t="shared" si="33"/>
        <v>+</v>
      </c>
      <c r="AS60" s="13">
        <f t="shared" si="19"/>
        <v>17</v>
      </c>
      <c r="AT60" s="13" t="str">
        <f t="shared" si="34"/>
        <v>H2O</v>
      </c>
      <c r="AU60" s="1">
        <f t="shared" si="16"/>
        <v>0.20102763998888226</v>
      </c>
      <c r="AV60" s="1">
        <f t="shared" si="17"/>
        <v>9.7641996566028538E-2</v>
      </c>
    </row>
    <row r="61" spans="1:48" x14ac:dyDescent="0.2">
      <c r="A61">
        <v>58</v>
      </c>
      <c r="B61">
        <v>17</v>
      </c>
      <c r="C61" t="s">
        <v>264</v>
      </c>
      <c r="D61" t="s">
        <v>265</v>
      </c>
      <c r="E61" t="s">
        <v>266</v>
      </c>
      <c r="F61">
        <v>-1.4881238510809587E-2</v>
      </c>
      <c r="G61">
        <v>2.962152638049719E-3</v>
      </c>
      <c r="H61">
        <v>0.10450523207247911</v>
      </c>
      <c r="I61">
        <v>1.157526490877271E-3</v>
      </c>
      <c r="K61" s="30" t="s">
        <v>266</v>
      </c>
      <c r="L61" s="30"/>
      <c r="M61" s="37">
        <f t="shared" si="20"/>
        <v>1.9799908963362865E-3</v>
      </c>
      <c r="N61" s="37">
        <f t="shared" si="21"/>
        <v>8.0548718076608929E-3</v>
      </c>
      <c r="O61" s="34">
        <f t="shared" si="22"/>
        <v>2.6671642074177035E-2</v>
      </c>
      <c r="P61" s="34">
        <f t="shared" si="23"/>
        <v>7.1072398302890236E-2</v>
      </c>
      <c r="Q61" s="31" t="s">
        <v>266</v>
      </c>
      <c r="R61" s="32">
        <f t="shared" si="24"/>
        <v>9.7744040377067271E-2</v>
      </c>
      <c r="S61">
        <f t="shared" si="18"/>
        <v>1.6616486864101436</v>
      </c>
      <c r="U61" s="13">
        <v>17</v>
      </c>
      <c r="V61" s="13" t="s">
        <v>309</v>
      </c>
      <c r="W61" s="13" t="s">
        <v>310</v>
      </c>
      <c r="X61" s="13">
        <v>52</v>
      </c>
      <c r="Y61" s="13" t="s">
        <v>42</v>
      </c>
      <c r="Z61" s="13" t="s">
        <v>311</v>
      </c>
      <c r="AA61" s="13">
        <v>1</v>
      </c>
      <c r="AB61" s="13" t="s">
        <v>265</v>
      </c>
      <c r="AC61" s="13" t="s">
        <v>310</v>
      </c>
      <c r="AD61" s="13">
        <v>34</v>
      </c>
      <c r="AE61" s="13" t="s">
        <v>312</v>
      </c>
      <c r="AF61" s="1">
        <f t="shared" si="25"/>
        <v>1.3869253878572059</v>
      </c>
      <c r="AG61" s="1">
        <f t="shared" si="15"/>
        <v>0.90683583052201922</v>
      </c>
      <c r="AH61" s="1"/>
      <c r="AI61" s="1"/>
      <c r="AJ61" s="13">
        <f t="shared" si="26"/>
        <v>17</v>
      </c>
      <c r="AK61" s="13" t="s">
        <v>41</v>
      </c>
      <c r="AL61" s="13" t="str">
        <f t="shared" si="27"/>
        <v>+</v>
      </c>
      <c r="AM61" s="13">
        <f t="shared" si="28"/>
        <v>35</v>
      </c>
      <c r="AN61" s="13" t="str">
        <f t="shared" si="29"/>
        <v>H2</v>
      </c>
      <c r="AO61" s="13" t="str">
        <f t="shared" si="30"/>
        <v>=</v>
      </c>
      <c r="AP61" s="13">
        <f t="shared" si="31"/>
        <v>1</v>
      </c>
      <c r="AQ61" s="13" t="str">
        <f t="shared" si="32"/>
        <v>C17H36</v>
      </c>
      <c r="AR61" s="13" t="str">
        <f t="shared" si="33"/>
        <v>+</v>
      </c>
      <c r="AS61" s="13">
        <f t="shared" si="19"/>
        <v>17</v>
      </c>
      <c r="AT61" s="13" t="str">
        <f t="shared" si="34"/>
        <v>H2O</v>
      </c>
      <c r="AU61" s="1">
        <f t="shared" si="16"/>
        <v>2.4875339406011583</v>
      </c>
      <c r="AV61" s="1">
        <f t="shared" si="17"/>
        <v>1.208230771149134</v>
      </c>
    </row>
    <row r="62" spans="1:48" x14ac:dyDescent="0.2">
      <c r="A62">
        <v>59</v>
      </c>
      <c r="B62">
        <v>18</v>
      </c>
      <c r="C62" t="s">
        <v>267</v>
      </c>
      <c r="D62" t="s">
        <v>268</v>
      </c>
      <c r="E62" t="s">
        <v>269</v>
      </c>
      <c r="F62">
        <v>-1.4580739401284924E-2</v>
      </c>
      <c r="G62">
        <v>2.9023374399152705E-3</v>
      </c>
      <c r="H62">
        <v>0.10239494204818878</v>
      </c>
      <c r="I62">
        <v>1.1341523826330392E-3</v>
      </c>
      <c r="K62" s="30" t="s">
        <v>269</v>
      </c>
      <c r="L62" s="30"/>
      <c r="M62" s="37">
        <f t="shared" si="20"/>
        <v>1.9400086394304656E-3</v>
      </c>
      <c r="N62" s="37">
        <f t="shared" si="21"/>
        <v>7.8922185578134997E-3</v>
      </c>
      <c r="O62" s="34">
        <f t="shared" si="22"/>
        <v>2.4681221023865371E-2</v>
      </c>
      <c r="P62" s="34">
        <f t="shared" si="23"/>
        <v>6.5768487981779172E-2</v>
      </c>
      <c r="Q62" s="31" t="s">
        <v>269</v>
      </c>
      <c r="R62" s="32">
        <f t="shared" si="24"/>
        <v>9.0449709005644544E-2</v>
      </c>
      <c r="S62">
        <f t="shared" si="18"/>
        <v>1.6280947621016018</v>
      </c>
      <c r="U62" s="13">
        <v>18</v>
      </c>
      <c r="V62" s="13" t="s">
        <v>309</v>
      </c>
      <c r="W62" s="13" t="s">
        <v>310</v>
      </c>
      <c r="X62" s="13">
        <v>55</v>
      </c>
      <c r="Y62" s="13" t="s">
        <v>42</v>
      </c>
      <c r="Z62" s="13" t="s">
        <v>311</v>
      </c>
      <c r="AA62" s="13">
        <v>1</v>
      </c>
      <c r="AB62" s="13" t="s">
        <v>268</v>
      </c>
      <c r="AC62" s="13" t="s">
        <v>310</v>
      </c>
      <c r="AD62" s="13">
        <v>36</v>
      </c>
      <c r="AE62" s="13" t="s">
        <v>312</v>
      </c>
      <c r="AF62" s="1">
        <f t="shared" si="25"/>
        <v>1.3574671563125955</v>
      </c>
      <c r="AG62" s="1">
        <f t="shared" si="15"/>
        <v>0.88852395685915342</v>
      </c>
      <c r="AH62" s="1"/>
      <c r="AI62" s="1"/>
      <c r="AJ62" s="13">
        <f t="shared" si="26"/>
        <v>18</v>
      </c>
      <c r="AK62" s="13" t="s">
        <v>41</v>
      </c>
      <c r="AL62" s="13" t="str">
        <f t="shared" si="27"/>
        <v>+</v>
      </c>
      <c r="AM62" s="13">
        <f t="shared" si="28"/>
        <v>37</v>
      </c>
      <c r="AN62" s="13" t="str">
        <f t="shared" si="29"/>
        <v>H2</v>
      </c>
      <c r="AO62" s="13" t="str">
        <f t="shared" si="30"/>
        <v>=</v>
      </c>
      <c r="AP62" s="13">
        <f t="shared" si="31"/>
        <v>1</v>
      </c>
      <c r="AQ62" s="13" t="str">
        <f t="shared" si="32"/>
        <v>C18H38</v>
      </c>
      <c r="AR62" s="13" t="str">
        <f t="shared" si="33"/>
        <v>+</v>
      </c>
      <c r="AS62" s="13">
        <f t="shared" si="19"/>
        <v>18</v>
      </c>
      <c r="AT62" s="13" t="str">
        <f t="shared" si="34"/>
        <v>H2O</v>
      </c>
      <c r="AU62" s="1">
        <f t="shared" si="16"/>
        <v>2.4334340553258293</v>
      </c>
      <c r="AV62" s="1">
        <f t="shared" si="17"/>
        <v>1.183832783672025</v>
      </c>
    </row>
    <row r="63" spans="1:48" x14ac:dyDescent="0.2">
      <c r="A63">
        <v>60</v>
      </c>
      <c r="B63">
        <v>19</v>
      </c>
      <c r="C63" t="s">
        <v>270</v>
      </c>
      <c r="D63" t="s">
        <v>271</v>
      </c>
      <c r="E63" t="s">
        <v>272</v>
      </c>
      <c r="F63">
        <v>-6.9506750550928113E-3</v>
      </c>
      <c r="G63">
        <v>1.3835515394578163E-3</v>
      </c>
      <c r="H63">
        <v>4.8811925779244043E-2</v>
      </c>
      <c r="I63">
        <v>5.40653286344785E-4</v>
      </c>
      <c r="K63" s="30" t="s">
        <v>272</v>
      </c>
      <c r="L63" s="30"/>
      <c r="M63" s="37">
        <f t="shared" si="20"/>
        <v>9.248069858216908E-4</v>
      </c>
      <c r="N63" s="37">
        <f t="shared" si="21"/>
        <v>3.7622403877748921E-3</v>
      </c>
      <c r="O63" s="34">
        <f t="shared" si="22"/>
        <v>1.1146357881745641E-2</v>
      </c>
      <c r="P63" s="34">
        <f t="shared" si="23"/>
        <v>2.970189779822283E-2</v>
      </c>
      <c r="Q63" s="31" t="s">
        <v>272</v>
      </c>
      <c r="R63" s="32">
        <f t="shared" si="24"/>
        <v>4.084825567996847E-2</v>
      </c>
      <c r="S63">
        <f t="shared" si="18"/>
        <v>0.77611685791940088</v>
      </c>
      <c r="U63" s="13">
        <v>19</v>
      </c>
      <c r="V63" s="13" t="s">
        <v>309</v>
      </c>
      <c r="W63" s="13" t="s">
        <v>310</v>
      </c>
      <c r="X63" s="13">
        <v>58</v>
      </c>
      <c r="Y63" s="13" t="s">
        <v>42</v>
      </c>
      <c r="Z63" s="13" t="s">
        <v>311</v>
      </c>
      <c r="AA63" s="13">
        <v>1</v>
      </c>
      <c r="AB63" s="13" t="s">
        <v>271</v>
      </c>
      <c r="AC63" s="13" t="s">
        <v>310</v>
      </c>
      <c r="AD63" s="13">
        <v>38</v>
      </c>
      <c r="AE63" s="13" t="s">
        <v>312</v>
      </c>
      <c r="AF63" s="1">
        <f t="shared" si="25"/>
        <v>0.64648875714124721</v>
      </c>
      <c r="AG63" s="1">
        <f t="shared" si="15"/>
        <v>0.42356159950633437</v>
      </c>
      <c r="AH63" s="1"/>
      <c r="AI63" s="1"/>
      <c r="AJ63" s="13">
        <f t="shared" si="26"/>
        <v>19</v>
      </c>
      <c r="AK63" s="13" t="s">
        <v>41</v>
      </c>
      <c r="AL63" s="13" t="str">
        <f t="shared" si="27"/>
        <v>+</v>
      </c>
      <c r="AM63" s="13">
        <f t="shared" si="28"/>
        <v>39</v>
      </c>
      <c r="AN63" s="13" t="str">
        <f t="shared" si="29"/>
        <v>H2</v>
      </c>
      <c r="AO63" s="13" t="str">
        <f t="shared" si="30"/>
        <v>=</v>
      </c>
      <c r="AP63" s="13">
        <f t="shared" si="31"/>
        <v>1</v>
      </c>
      <c r="AQ63" s="13" t="str">
        <f t="shared" si="32"/>
        <v>C19H40</v>
      </c>
      <c r="AR63" s="13" t="str">
        <f t="shared" si="33"/>
        <v>+</v>
      </c>
      <c r="AS63" s="13">
        <f t="shared" si="19"/>
        <v>19</v>
      </c>
      <c r="AT63" s="13" t="str">
        <f t="shared" si="34"/>
        <v>H2O</v>
      </c>
      <c r="AU63" s="1">
        <f t="shared" si="16"/>
        <v>1.1583740141306904</v>
      </c>
      <c r="AV63" s="1">
        <f t="shared" si="17"/>
        <v>0.56433605816623378</v>
      </c>
    </row>
    <row r="64" spans="1:48" x14ac:dyDescent="0.2">
      <c r="A64">
        <v>61</v>
      </c>
      <c r="B64">
        <v>20</v>
      </c>
      <c r="C64" t="s">
        <v>273</v>
      </c>
      <c r="D64" t="s">
        <v>274</v>
      </c>
      <c r="E64" t="s">
        <v>275</v>
      </c>
      <c r="F64">
        <v>-5.7486786169940575E-3</v>
      </c>
      <c r="G64">
        <v>1.1442907469199988E-3</v>
      </c>
      <c r="H64">
        <v>4.0370765682081561E-2</v>
      </c>
      <c r="I64">
        <v>4.4715685336786572E-4</v>
      </c>
      <c r="K64" s="30" t="s">
        <v>275</v>
      </c>
      <c r="L64" s="30"/>
      <c r="M64" s="37">
        <f t="shared" si="20"/>
        <v>7.6487795819839104E-4</v>
      </c>
      <c r="N64" s="37">
        <f t="shared" si="21"/>
        <v>3.1116273883852489E-3</v>
      </c>
      <c r="O64" s="34">
        <f t="shared" si="22"/>
        <v>8.7578526213715775E-3</v>
      </c>
      <c r="P64" s="34">
        <f t="shared" si="23"/>
        <v>2.3337205412889368E-2</v>
      </c>
      <c r="Q64" s="31" t="s">
        <v>275</v>
      </c>
      <c r="R64" s="32">
        <f t="shared" si="24"/>
        <v>3.2095058034260944E-2</v>
      </c>
      <c r="S64">
        <f t="shared" si="18"/>
        <v>0.64190116068521885</v>
      </c>
      <c r="U64" s="13">
        <v>20</v>
      </c>
      <c r="V64" s="13" t="s">
        <v>309</v>
      </c>
      <c r="W64" s="13" t="s">
        <v>310</v>
      </c>
      <c r="X64" s="13">
        <v>61</v>
      </c>
      <c r="Y64" s="13" t="s">
        <v>42</v>
      </c>
      <c r="Z64" s="13" t="s">
        <v>311</v>
      </c>
      <c r="AA64" s="13">
        <v>1</v>
      </c>
      <c r="AB64" s="13" t="s">
        <v>274</v>
      </c>
      <c r="AC64" s="13" t="s">
        <v>310</v>
      </c>
      <c r="AD64" s="13">
        <v>40</v>
      </c>
      <c r="AE64" s="13" t="s">
        <v>312</v>
      </c>
      <c r="AF64" s="1">
        <f t="shared" si="25"/>
        <v>0.53422900990366617</v>
      </c>
      <c r="AG64" s="1">
        <f t="shared" si="15"/>
        <v>0.35031410485486308</v>
      </c>
      <c r="AH64" s="1"/>
      <c r="AI64" s="1"/>
      <c r="AJ64" s="13">
        <f t="shared" si="26"/>
        <v>20</v>
      </c>
      <c r="AK64" s="13" t="s">
        <v>41</v>
      </c>
      <c r="AL64" s="13" t="str">
        <f t="shared" si="27"/>
        <v>+</v>
      </c>
      <c r="AM64" s="13">
        <f t="shared" si="28"/>
        <v>41</v>
      </c>
      <c r="AN64" s="13" t="str">
        <f t="shared" si="29"/>
        <v>H2</v>
      </c>
      <c r="AO64" s="13" t="str">
        <f t="shared" si="30"/>
        <v>=</v>
      </c>
      <c r="AP64" s="13">
        <f t="shared" si="31"/>
        <v>1</v>
      </c>
      <c r="AQ64" s="13" t="str">
        <f t="shared" si="32"/>
        <v>C20H42</v>
      </c>
      <c r="AR64" s="13" t="str">
        <f t="shared" si="33"/>
        <v>+</v>
      </c>
      <c r="AS64" s="13">
        <f t="shared" si="19"/>
        <v>20</v>
      </c>
      <c r="AT64" s="13" t="str">
        <f t="shared" si="34"/>
        <v>H2O</v>
      </c>
      <c r="AU64" s="1">
        <f t="shared" si="16"/>
        <v>0.95682542192846409</v>
      </c>
      <c r="AV64" s="1">
        <f t="shared" si="17"/>
        <v>0.46674410825778734</v>
      </c>
    </row>
    <row r="65" spans="1:48" x14ac:dyDescent="0.2">
      <c r="A65">
        <v>62</v>
      </c>
      <c r="B65">
        <v>21</v>
      </c>
      <c r="C65" t="s">
        <v>276</v>
      </c>
      <c r="D65" t="s">
        <v>277</v>
      </c>
      <c r="E65" t="s">
        <v>278</v>
      </c>
      <c r="F65">
        <v>-5.4873750434943315E-3</v>
      </c>
      <c r="G65">
        <v>1.0922775311509084E-3</v>
      </c>
      <c r="H65">
        <v>3.8535730878350556E-2</v>
      </c>
      <c r="I65">
        <v>4.2683154185114633E-4</v>
      </c>
      <c r="K65" s="30" t="s">
        <v>278</v>
      </c>
      <c r="L65" s="30"/>
      <c r="M65" s="37">
        <f t="shared" si="20"/>
        <v>7.3011077828028252E-4</v>
      </c>
      <c r="N65" s="37">
        <f t="shared" si="21"/>
        <v>2.970189779822283E-3</v>
      </c>
      <c r="O65" s="34">
        <f t="shared" si="22"/>
        <v>7.9616842012468908E-3</v>
      </c>
      <c r="P65" s="34">
        <f t="shared" si="23"/>
        <v>2.1215641284444878E-2</v>
      </c>
      <c r="Q65" s="31" t="s">
        <v>278</v>
      </c>
      <c r="R65" s="32">
        <f t="shared" si="24"/>
        <v>2.9177325485691769E-2</v>
      </c>
      <c r="S65">
        <f t="shared" si="18"/>
        <v>0.61272383519952711</v>
      </c>
      <c r="U65" s="13">
        <v>21</v>
      </c>
      <c r="V65" s="13" t="s">
        <v>309</v>
      </c>
      <c r="W65" s="13" t="s">
        <v>310</v>
      </c>
      <c r="X65" s="13">
        <v>64</v>
      </c>
      <c r="Y65" s="13" t="s">
        <v>42</v>
      </c>
      <c r="Z65" s="13" t="s">
        <v>311</v>
      </c>
      <c r="AA65" s="13">
        <v>1</v>
      </c>
      <c r="AB65" s="13" t="s">
        <v>277</v>
      </c>
      <c r="AC65" s="13" t="s">
        <v>310</v>
      </c>
      <c r="AD65" s="13">
        <v>42</v>
      </c>
      <c r="AE65" s="13" t="s">
        <v>312</v>
      </c>
      <c r="AF65" s="1">
        <f t="shared" si="25"/>
        <v>0.50954778887980101</v>
      </c>
      <c r="AG65" s="1">
        <f t="shared" si="15"/>
        <v>0.33439073645236939</v>
      </c>
      <c r="AH65" s="1"/>
      <c r="AI65" s="1"/>
      <c r="AJ65" s="13">
        <f t="shared" si="26"/>
        <v>21</v>
      </c>
      <c r="AK65" s="13" t="s">
        <v>41</v>
      </c>
      <c r="AL65" s="13" t="str">
        <f t="shared" si="27"/>
        <v>+</v>
      </c>
      <c r="AM65" s="13">
        <f t="shared" si="28"/>
        <v>43</v>
      </c>
      <c r="AN65" s="13" t="str">
        <f t="shared" si="29"/>
        <v>H2</v>
      </c>
      <c r="AO65" s="13" t="str">
        <f t="shared" si="30"/>
        <v>=</v>
      </c>
      <c r="AP65" s="13">
        <f t="shared" si="31"/>
        <v>1</v>
      </c>
      <c r="AQ65" s="13" t="str">
        <f t="shared" si="32"/>
        <v>C21H44</v>
      </c>
      <c r="AR65" s="13" t="str">
        <f t="shared" si="33"/>
        <v>+</v>
      </c>
      <c r="AS65" s="13">
        <f t="shared" si="19"/>
        <v>21</v>
      </c>
      <c r="AT65" s="13" t="str">
        <f t="shared" si="34"/>
        <v>H2O</v>
      </c>
      <c r="AU65" s="1">
        <f t="shared" si="16"/>
        <v>0.9122725752311297</v>
      </c>
      <c r="AV65" s="1">
        <f t="shared" si="17"/>
        <v>0.44552846697334242</v>
      </c>
    </row>
    <row r="66" spans="1:48" x14ac:dyDescent="0.2">
      <c r="A66">
        <v>63</v>
      </c>
      <c r="B66">
        <v>22</v>
      </c>
      <c r="C66" t="s">
        <v>279</v>
      </c>
      <c r="D66" t="s">
        <v>280</v>
      </c>
      <c r="E66" t="s">
        <v>281</v>
      </c>
      <c r="F66">
        <v>-5.173810755294655E-3</v>
      </c>
      <c r="G66">
        <v>1.0298616722279991E-3</v>
      </c>
      <c r="H66">
        <v>3.6333689113873385E-2</v>
      </c>
      <c r="I66">
        <v>4.0244116803108028E-4</v>
      </c>
      <c r="K66" s="30" t="s">
        <v>281</v>
      </c>
      <c r="L66" s="30"/>
      <c r="M66" s="37">
        <f t="shared" si="20"/>
        <v>6.8839016237855189E-4</v>
      </c>
      <c r="N66" s="37">
        <f t="shared" si="21"/>
        <v>2.800464649546724E-3</v>
      </c>
      <c r="O66" s="34">
        <f t="shared" si="22"/>
        <v>7.1655157811221998E-3</v>
      </c>
      <c r="P66" s="34">
        <f t="shared" si="23"/>
        <v>1.9094077156000391E-2</v>
      </c>
      <c r="Q66" s="31" t="s">
        <v>281</v>
      </c>
      <c r="R66" s="32">
        <f t="shared" si="24"/>
        <v>2.625959293712259E-2</v>
      </c>
      <c r="S66">
        <f t="shared" si="18"/>
        <v>0.57771104461669698</v>
      </c>
      <c r="U66" s="13">
        <v>22</v>
      </c>
      <c r="V66" s="13" t="s">
        <v>309</v>
      </c>
      <c r="W66" s="13" t="s">
        <v>310</v>
      </c>
      <c r="X66" s="13">
        <v>67</v>
      </c>
      <c r="Y66" s="13" t="s">
        <v>42</v>
      </c>
      <c r="Z66" s="13" t="s">
        <v>311</v>
      </c>
      <c r="AA66" s="13">
        <v>1</v>
      </c>
      <c r="AB66" s="13" t="s">
        <v>280</v>
      </c>
      <c r="AC66" s="13" t="s">
        <v>310</v>
      </c>
      <c r="AD66" s="13">
        <v>44</v>
      </c>
      <c r="AE66" s="13" t="s">
        <v>312</v>
      </c>
      <c r="AF66" s="1">
        <f t="shared" si="25"/>
        <v>0.48008955733518738</v>
      </c>
      <c r="AG66" s="1">
        <f t="shared" si="15"/>
        <v>0.31528269436937678</v>
      </c>
      <c r="AH66" s="1"/>
      <c r="AI66" s="1"/>
      <c r="AJ66" s="13">
        <f t="shared" si="26"/>
        <v>22</v>
      </c>
      <c r="AK66" s="13" t="s">
        <v>41</v>
      </c>
      <c r="AL66" s="13" t="str">
        <f t="shared" si="27"/>
        <v>+</v>
      </c>
      <c r="AM66" s="13">
        <f t="shared" si="28"/>
        <v>45</v>
      </c>
      <c r="AN66" s="13" t="str">
        <f t="shared" si="29"/>
        <v>H2</v>
      </c>
      <c r="AO66" s="13" t="str">
        <f t="shared" si="30"/>
        <v>=</v>
      </c>
      <c r="AP66" s="13">
        <f t="shared" si="31"/>
        <v>1</v>
      </c>
      <c r="AQ66" s="13" t="str">
        <f t="shared" si="32"/>
        <v>C22H46</v>
      </c>
      <c r="AR66" s="13" t="str">
        <f t="shared" si="33"/>
        <v>+</v>
      </c>
      <c r="AS66" s="13">
        <f t="shared" si="19"/>
        <v>22</v>
      </c>
      <c r="AT66" s="13" t="str">
        <f t="shared" si="34"/>
        <v>H2O</v>
      </c>
      <c r="AU66" s="1">
        <f t="shared" si="16"/>
        <v>0.85923347202001754</v>
      </c>
      <c r="AV66" s="1">
        <f t="shared" si="17"/>
        <v>0.42006969743200862</v>
      </c>
    </row>
    <row r="67" spans="1:48" x14ac:dyDescent="0.2">
      <c r="A67">
        <v>64</v>
      </c>
      <c r="B67">
        <v>23</v>
      </c>
      <c r="C67" t="s">
        <v>282</v>
      </c>
      <c r="D67" t="s">
        <v>283</v>
      </c>
      <c r="E67" t="s">
        <v>284</v>
      </c>
      <c r="F67">
        <v>-4.8079857523950298E-3</v>
      </c>
      <c r="G67">
        <v>9.5704317015127174E-4</v>
      </c>
      <c r="H67">
        <v>3.3764640388650041E-2</v>
      </c>
      <c r="I67">
        <v>3.7398573190766931E-4</v>
      </c>
      <c r="K67" s="30" t="s">
        <v>284</v>
      </c>
      <c r="L67" s="30"/>
      <c r="M67" s="37">
        <f t="shared" si="20"/>
        <v>6.3971611049319969E-4</v>
      </c>
      <c r="N67" s="37">
        <f t="shared" si="21"/>
        <v>2.6024519975585722E-3</v>
      </c>
      <c r="O67" s="34">
        <f t="shared" si="22"/>
        <v>6.3693473609975097E-3</v>
      </c>
      <c r="P67" s="34">
        <f t="shared" si="23"/>
        <v>1.6972513027555904E-2</v>
      </c>
      <c r="Q67" s="31" t="s">
        <v>284</v>
      </c>
      <c r="R67" s="32">
        <f t="shared" si="24"/>
        <v>2.3341860388553414E-2</v>
      </c>
      <c r="S67">
        <f t="shared" si="18"/>
        <v>0.53686278893672856</v>
      </c>
      <c r="U67" s="13">
        <v>23</v>
      </c>
      <c r="V67" s="13" t="s">
        <v>309</v>
      </c>
      <c r="W67" s="13" t="s">
        <v>310</v>
      </c>
      <c r="X67" s="13">
        <v>70</v>
      </c>
      <c r="Y67" s="13" t="s">
        <v>42</v>
      </c>
      <c r="Z67" s="13" t="s">
        <v>311</v>
      </c>
      <c r="AA67" s="13">
        <v>1</v>
      </c>
      <c r="AB67" s="13" t="s">
        <v>283</v>
      </c>
      <c r="AC67" s="13" t="s">
        <v>310</v>
      </c>
      <c r="AD67" s="13">
        <v>46</v>
      </c>
      <c r="AE67" s="13" t="s">
        <v>312</v>
      </c>
      <c r="AF67" s="1">
        <f t="shared" si="25"/>
        <v>0.44585431526982566</v>
      </c>
      <c r="AG67" s="1">
        <f t="shared" si="15"/>
        <v>0.29298997860588544</v>
      </c>
      <c r="AH67" s="1"/>
      <c r="AI67" s="1"/>
      <c r="AJ67" s="13">
        <f t="shared" si="26"/>
        <v>23</v>
      </c>
      <c r="AK67" s="13" t="s">
        <v>41</v>
      </c>
      <c r="AL67" s="13" t="str">
        <f t="shared" si="27"/>
        <v>+</v>
      </c>
      <c r="AM67" s="13">
        <f t="shared" si="28"/>
        <v>47</v>
      </c>
      <c r="AN67" s="13" t="str">
        <f t="shared" si="29"/>
        <v>H2</v>
      </c>
      <c r="AO67" s="13" t="str">
        <f t="shared" si="30"/>
        <v>=</v>
      </c>
      <c r="AP67" s="13">
        <f t="shared" si="31"/>
        <v>1</v>
      </c>
      <c r="AQ67" s="13" t="str">
        <f t="shared" si="32"/>
        <v>C23H48</v>
      </c>
      <c r="AR67" s="13" t="str">
        <f t="shared" si="33"/>
        <v>+</v>
      </c>
      <c r="AS67" s="13">
        <f t="shared" si="19"/>
        <v>23</v>
      </c>
      <c r="AT67" s="13" t="str">
        <f t="shared" si="34"/>
        <v>H2O</v>
      </c>
      <c r="AU67" s="1">
        <f t="shared" si="16"/>
        <v>0.7977081122951275</v>
      </c>
      <c r="AV67" s="1">
        <f t="shared" si="17"/>
        <v>0.39036779963378576</v>
      </c>
    </row>
    <row r="68" spans="1:48" x14ac:dyDescent="0.2">
      <c r="A68">
        <v>65</v>
      </c>
      <c r="B68">
        <v>24</v>
      </c>
      <c r="C68" t="s">
        <v>285</v>
      </c>
      <c r="D68" t="s">
        <v>286</v>
      </c>
      <c r="E68" t="s">
        <v>287</v>
      </c>
      <c r="F68">
        <v>-4.7034643229951377E-3</v>
      </c>
      <c r="G68">
        <v>9.3623788384363535E-4</v>
      </c>
      <c r="H68">
        <v>3.3030626467157612E-2</v>
      </c>
      <c r="I68">
        <v>3.6585560730098294E-4</v>
      </c>
      <c r="K68" s="30" t="s">
        <v>287</v>
      </c>
      <c r="L68" s="30"/>
      <c r="M68" s="37">
        <f t="shared" ref="M68:M75" si="35">IF($L$1,F68*$K$1+G68,0)</f>
        <v>6.2580923852595632E-4</v>
      </c>
      <c r="N68" s="37">
        <f t="shared" ref="N68:N75" si="36">IF($L$1,H68*$K$1+I68,0)</f>
        <v>2.5458769541333854E-3</v>
      </c>
      <c r="O68" s="34">
        <f t="shared" si="22"/>
        <v>5.9712631509351672E-3</v>
      </c>
      <c r="P68" s="34">
        <f t="shared" si="23"/>
        <v>1.5911730963333658E-2</v>
      </c>
      <c r="Q68" s="31" t="s">
        <v>287</v>
      </c>
      <c r="R68" s="32">
        <f t="shared" si="24"/>
        <v>2.1882994114268826E-2</v>
      </c>
      <c r="S68">
        <f t="shared" si="18"/>
        <v>0.52519185874245178</v>
      </c>
      <c r="U68" s="13">
        <v>24</v>
      </c>
      <c r="V68" s="13" t="s">
        <v>309</v>
      </c>
      <c r="W68" s="13" t="s">
        <v>310</v>
      </c>
      <c r="X68" s="13">
        <v>73</v>
      </c>
      <c r="Y68" s="13" t="s">
        <v>42</v>
      </c>
      <c r="Z68" s="13" t="s">
        <v>311</v>
      </c>
      <c r="AA68" s="13">
        <v>1</v>
      </c>
      <c r="AB68" s="13" t="s">
        <v>286</v>
      </c>
      <c r="AC68" s="13" t="s">
        <v>310</v>
      </c>
      <c r="AD68" s="13">
        <v>48</v>
      </c>
      <c r="AE68" s="13" t="s">
        <v>312</v>
      </c>
      <c r="AF68" s="1">
        <f t="shared" si="25"/>
        <v>0.43590221001826723</v>
      </c>
      <c r="AG68" s="1">
        <f t="shared" si="15"/>
        <v>0.28662063124488801</v>
      </c>
      <c r="AH68" s="1"/>
      <c r="AI68" s="1"/>
      <c r="AJ68" s="13">
        <f t="shared" si="26"/>
        <v>24</v>
      </c>
      <c r="AK68" s="13" t="s">
        <v>41</v>
      </c>
      <c r="AL68" s="13" t="str">
        <f t="shared" si="27"/>
        <v>+</v>
      </c>
      <c r="AM68" s="13">
        <f t="shared" si="28"/>
        <v>49</v>
      </c>
      <c r="AN68" s="13" t="str">
        <f t="shared" si="29"/>
        <v>H2</v>
      </c>
      <c r="AO68" s="13" t="str">
        <f t="shared" si="30"/>
        <v>=</v>
      </c>
      <c r="AP68" s="13">
        <f t="shared" si="31"/>
        <v>1</v>
      </c>
      <c r="AQ68" s="13" t="str">
        <f t="shared" si="32"/>
        <v>C24H50</v>
      </c>
      <c r="AR68" s="13" t="str">
        <f t="shared" si="33"/>
        <v>+</v>
      </c>
      <c r="AS68" s="13">
        <f t="shared" si="19"/>
        <v>24</v>
      </c>
      <c r="AT68" s="13" t="str">
        <f t="shared" si="34"/>
        <v>H2O</v>
      </c>
      <c r="AU68" s="1">
        <f t="shared" si="16"/>
        <v>0.7796748172033493</v>
      </c>
      <c r="AV68" s="1">
        <f t="shared" si="17"/>
        <v>0.38188154312000777</v>
      </c>
    </row>
    <row r="69" spans="1:48" x14ac:dyDescent="0.2">
      <c r="A69">
        <v>66</v>
      </c>
      <c r="B69">
        <v>25</v>
      </c>
      <c r="C69" t="s">
        <v>288</v>
      </c>
      <c r="D69" t="s">
        <v>289</v>
      </c>
      <c r="E69" t="s">
        <v>290</v>
      </c>
      <c r="F69">
        <v>-4.2461830693706149E-3</v>
      </c>
      <c r="G69">
        <v>8.4521475624772672E-4</v>
      </c>
      <c r="H69">
        <v>2.9819315560628418E-2</v>
      </c>
      <c r="I69">
        <v>3.3028631214671944E-4</v>
      </c>
      <c r="K69" s="30" t="s">
        <v>290</v>
      </c>
      <c r="L69" s="30"/>
      <c r="M69" s="37">
        <f t="shared" si="35"/>
        <v>5.6496667366926607E-4</v>
      </c>
      <c r="N69" s="37">
        <f t="shared" si="36"/>
        <v>2.2983611391481952E-3</v>
      </c>
      <c r="O69" s="34">
        <f t="shared" si="22"/>
        <v>5.1750947308104762E-3</v>
      </c>
      <c r="P69" s="34">
        <f t="shared" si="23"/>
        <v>1.3790166834889171E-2</v>
      </c>
      <c r="Q69" s="31" t="s">
        <v>290</v>
      </c>
      <c r="R69" s="32">
        <f t="shared" si="24"/>
        <v>1.8965261565699647E-2</v>
      </c>
      <c r="S69">
        <f t="shared" si="18"/>
        <v>0.47413153914249118</v>
      </c>
      <c r="U69" s="13">
        <v>25</v>
      </c>
      <c r="V69" s="13" t="s">
        <v>309</v>
      </c>
      <c r="W69" s="13" t="s">
        <v>310</v>
      </c>
      <c r="X69" s="13">
        <v>76</v>
      </c>
      <c r="Y69" s="13" t="s">
        <v>42</v>
      </c>
      <c r="Z69" s="13" t="s">
        <v>311</v>
      </c>
      <c r="AA69" s="13">
        <v>1</v>
      </c>
      <c r="AB69" s="13" t="s">
        <v>289</v>
      </c>
      <c r="AC69" s="13" t="s">
        <v>310</v>
      </c>
      <c r="AD69" s="13">
        <v>50</v>
      </c>
      <c r="AE69" s="13" t="s">
        <v>312</v>
      </c>
      <c r="AF69" s="1">
        <f t="shared" ref="AF69:AF71" si="37">+O69*X69</f>
        <v>0.39330719954159621</v>
      </c>
      <c r="AG69" s="1">
        <f t="shared" ref="AG69:AG71" si="38">+AD69*O69</f>
        <v>0.25875473654052383</v>
      </c>
      <c r="AH69" s="1"/>
      <c r="AI69" s="1"/>
      <c r="AJ69" s="13">
        <f t="shared" si="26"/>
        <v>25</v>
      </c>
      <c r="AK69" s="13" t="s">
        <v>41</v>
      </c>
      <c r="AL69" s="13" t="str">
        <f t="shared" si="27"/>
        <v>+</v>
      </c>
      <c r="AM69" s="13">
        <f t="shared" si="28"/>
        <v>51</v>
      </c>
      <c r="AN69" s="13" t="str">
        <f t="shared" si="29"/>
        <v>H2</v>
      </c>
      <c r="AO69" s="13" t="str">
        <f t="shared" si="30"/>
        <v>=</v>
      </c>
      <c r="AP69" s="13">
        <f t="shared" si="31"/>
        <v>1</v>
      </c>
      <c r="AQ69" s="13" t="str">
        <f t="shared" si="32"/>
        <v>C25H52</v>
      </c>
      <c r="AR69" s="13" t="str">
        <f t="shared" si="33"/>
        <v>+</v>
      </c>
      <c r="AS69" s="13">
        <f t="shared" si="19"/>
        <v>25</v>
      </c>
      <c r="AT69" s="13" t="str">
        <f t="shared" si="34"/>
        <v>H2O</v>
      </c>
      <c r="AU69" s="1">
        <f t="shared" ref="AU69:AU71" si="39">+P69*AM69</f>
        <v>0.70329850857934773</v>
      </c>
      <c r="AV69" s="1">
        <f t="shared" ref="AV69:AV71" si="40">+AS69*P69</f>
        <v>0.34475417087222926</v>
      </c>
    </row>
    <row r="70" spans="1:48" x14ac:dyDescent="0.2">
      <c r="A70">
        <v>67</v>
      </c>
      <c r="B70">
        <v>26</v>
      </c>
      <c r="C70" t="s">
        <v>291</v>
      </c>
      <c r="D70" t="s">
        <v>292</v>
      </c>
      <c r="E70" t="s">
        <v>293</v>
      </c>
      <c r="F70">
        <v>-3.7366411010461365E-3</v>
      </c>
      <c r="G70">
        <v>7.4378898549799918E-4</v>
      </c>
      <c r="H70">
        <v>2.6240997693353009E-2</v>
      </c>
      <c r="I70">
        <v>2.9065195468911341E-4</v>
      </c>
      <c r="K70" s="30" t="s">
        <v>293</v>
      </c>
      <c r="L70" s="30"/>
      <c r="M70" s="37">
        <f t="shared" si="35"/>
        <v>4.9717067282895413E-4</v>
      </c>
      <c r="N70" s="37">
        <f t="shared" si="36"/>
        <v>2.022557802450412E-3</v>
      </c>
      <c r="O70" s="34">
        <f t="shared" si="22"/>
        <v>4.3789263106857887E-3</v>
      </c>
      <c r="P70" s="34">
        <f t="shared" si="23"/>
        <v>1.1668602706444684E-2</v>
      </c>
      <c r="Q70" s="31" t="s">
        <v>293</v>
      </c>
      <c r="R70" s="32">
        <f t="shared" si="24"/>
        <v>1.6047529017130472E-2</v>
      </c>
      <c r="S70">
        <f t="shared" ref="S70:S71" si="41">+R70*U70</f>
        <v>0.41723575444539229</v>
      </c>
      <c r="U70" s="13">
        <v>26</v>
      </c>
      <c r="V70" s="13" t="s">
        <v>309</v>
      </c>
      <c r="W70" s="13" t="s">
        <v>310</v>
      </c>
      <c r="X70" s="13">
        <v>79</v>
      </c>
      <c r="Y70" s="13" t="s">
        <v>42</v>
      </c>
      <c r="Z70" s="13" t="s">
        <v>311</v>
      </c>
      <c r="AA70" s="13">
        <v>1</v>
      </c>
      <c r="AB70" s="13" t="s">
        <v>292</v>
      </c>
      <c r="AC70" s="13" t="s">
        <v>310</v>
      </c>
      <c r="AD70" s="13">
        <v>52</v>
      </c>
      <c r="AE70" s="13" t="s">
        <v>312</v>
      </c>
      <c r="AF70" s="1">
        <f t="shared" si="37"/>
        <v>0.34593517854417732</v>
      </c>
      <c r="AG70" s="1">
        <f t="shared" si="38"/>
        <v>0.22770416815566102</v>
      </c>
      <c r="AH70" s="1"/>
      <c r="AI70" s="1"/>
      <c r="AJ70" s="13">
        <f t="shared" si="26"/>
        <v>26</v>
      </c>
      <c r="AK70" s="13" t="s">
        <v>41</v>
      </c>
      <c r="AL70" s="13" t="str">
        <f t="shared" si="27"/>
        <v>+</v>
      </c>
      <c r="AM70" s="13">
        <f t="shared" si="28"/>
        <v>53</v>
      </c>
      <c r="AN70" s="13" t="str">
        <f t="shared" si="29"/>
        <v>H2</v>
      </c>
      <c r="AO70" s="13" t="str">
        <f t="shared" si="30"/>
        <v>=</v>
      </c>
      <c r="AP70" s="13">
        <f t="shared" si="31"/>
        <v>1</v>
      </c>
      <c r="AQ70" s="13" t="str">
        <f t="shared" si="32"/>
        <v>C26H54</v>
      </c>
      <c r="AR70" s="13" t="str">
        <f t="shared" si="33"/>
        <v>+</v>
      </c>
      <c r="AS70" s="13">
        <f t="shared" ref="AS70:AS71" si="42">+AJ70</f>
        <v>26</v>
      </c>
      <c r="AT70" s="13" t="str">
        <f t="shared" si="34"/>
        <v>H2O</v>
      </c>
      <c r="AU70" s="1">
        <f t="shared" si="39"/>
        <v>0.61843594344156827</v>
      </c>
      <c r="AV70" s="1">
        <f t="shared" si="40"/>
        <v>0.30338367036756181</v>
      </c>
    </row>
    <row r="71" spans="1:48" x14ac:dyDescent="0.2">
      <c r="A71">
        <v>68</v>
      </c>
      <c r="B71">
        <v>27</v>
      </c>
      <c r="C71" t="s">
        <v>294</v>
      </c>
      <c r="D71" t="s">
        <v>295</v>
      </c>
      <c r="E71" t="s">
        <v>296</v>
      </c>
      <c r="F71">
        <v>-3.1748384180217202E-3</v>
      </c>
      <c r="G71">
        <v>6.3196057159445405E-4</v>
      </c>
      <c r="H71">
        <v>2.229567286533141E-2</v>
      </c>
      <c r="I71">
        <v>2.4695253492816203E-4</v>
      </c>
      <c r="K71" s="30" t="s">
        <v>296</v>
      </c>
      <c r="L71" s="30">
        <v>0</v>
      </c>
      <c r="M71" s="37">
        <f t="shared" si="35"/>
        <v>4.2242123600502051E-4</v>
      </c>
      <c r="N71" s="37">
        <f t="shared" si="36"/>
        <v>1.718466944040035E-3</v>
      </c>
      <c r="O71" s="34">
        <f t="shared" si="22"/>
        <v>3.5827578905610999E-3</v>
      </c>
      <c r="P71" s="34">
        <f t="shared" si="23"/>
        <v>9.5470385780001953E-3</v>
      </c>
      <c r="Q71" s="31" t="s">
        <v>296</v>
      </c>
      <c r="R71" s="32">
        <f t="shared" si="24"/>
        <v>1.3129796468561295E-2</v>
      </c>
      <c r="S71">
        <f t="shared" si="41"/>
        <v>0.35450450465115496</v>
      </c>
      <c r="U71" s="13">
        <v>27</v>
      </c>
      <c r="V71" s="13" t="s">
        <v>309</v>
      </c>
      <c r="W71" s="13" t="s">
        <v>310</v>
      </c>
      <c r="X71" s="13">
        <v>82</v>
      </c>
      <c r="Y71" s="13" t="s">
        <v>42</v>
      </c>
      <c r="Z71" s="13" t="s">
        <v>311</v>
      </c>
      <c r="AA71" s="13">
        <v>1</v>
      </c>
      <c r="AB71" s="13" t="s">
        <v>295</v>
      </c>
      <c r="AC71" s="13" t="s">
        <v>310</v>
      </c>
      <c r="AD71" s="13">
        <v>54</v>
      </c>
      <c r="AE71" s="13" t="s">
        <v>312</v>
      </c>
      <c r="AF71" s="1">
        <f t="shared" si="37"/>
        <v>0.29378614702601019</v>
      </c>
      <c r="AG71" s="1">
        <f t="shared" si="38"/>
        <v>0.19346892609029939</v>
      </c>
      <c r="AH71" s="1"/>
      <c r="AI71" s="1"/>
      <c r="AJ71" s="13">
        <f t="shared" si="26"/>
        <v>27</v>
      </c>
      <c r="AK71" s="13" t="s">
        <v>41</v>
      </c>
      <c r="AL71" s="13" t="str">
        <f t="shared" si="27"/>
        <v>+</v>
      </c>
      <c r="AM71" s="13">
        <f t="shared" si="28"/>
        <v>55</v>
      </c>
      <c r="AN71" s="13" t="str">
        <f t="shared" si="29"/>
        <v>H2</v>
      </c>
      <c r="AO71" s="13" t="str">
        <f t="shared" si="30"/>
        <v>=</v>
      </c>
      <c r="AP71" s="13">
        <f t="shared" si="31"/>
        <v>1</v>
      </c>
      <c r="AQ71" s="13" t="str">
        <f t="shared" si="32"/>
        <v>C27H56</v>
      </c>
      <c r="AR71" s="13" t="str">
        <f t="shared" si="33"/>
        <v>+</v>
      </c>
      <c r="AS71" s="13">
        <f t="shared" si="42"/>
        <v>27</v>
      </c>
      <c r="AT71" s="13" t="str">
        <f t="shared" si="34"/>
        <v>H2O</v>
      </c>
      <c r="AU71" s="1">
        <f t="shared" si="39"/>
        <v>0.52508712179001071</v>
      </c>
      <c r="AV71" s="1">
        <f t="shared" si="40"/>
        <v>0.25777004160600525</v>
      </c>
    </row>
    <row r="72" spans="1:48" x14ac:dyDescent="0.2">
      <c r="K72" s="30" t="s">
        <v>309</v>
      </c>
      <c r="L72" s="30">
        <v>229</v>
      </c>
      <c r="M72" s="37">
        <f t="shared" si="35"/>
        <v>0</v>
      </c>
      <c r="N72" s="37">
        <f t="shared" si="36"/>
        <v>0</v>
      </c>
      <c r="O72" s="34">
        <f>+L72*(1-M2)</f>
        <v>182.76663297795557</v>
      </c>
      <c r="P72" s="34">
        <v>0</v>
      </c>
      <c r="Q72" s="31" t="s">
        <v>309</v>
      </c>
      <c r="R72" s="32">
        <f>+O72</f>
        <v>182.76663297795557</v>
      </c>
      <c r="S72" s="33">
        <f>+R72</f>
        <v>182.76663297795557</v>
      </c>
      <c r="T72">
        <f>+S72/$S$78</f>
        <v>0.1722983865596158</v>
      </c>
    </row>
    <row r="73" spans="1:48" x14ac:dyDescent="0.2">
      <c r="K73" s="30" t="s">
        <v>386</v>
      </c>
      <c r="L73" s="30">
        <v>150</v>
      </c>
      <c r="M73" s="37">
        <f t="shared" si="35"/>
        <v>0</v>
      </c>
      <c r="N73" s="37">
        <f t="shared" si="36"/>
        <v>0</v>
      </c>
      <c r="O73" s="34">
        <f>+L73*(1-N2)</f>
        <v>31.137820084525821</v>
      </c>
      <c r="P73" s="34">
        <f>+L73*(1-N2)</f>
        <v>31.137820084525821</v>
      </c>
      <c r="Q73" s="31" t="s">
        <v>386</v>
      </c>
      <c r="R73" s="32">
        <f>+O73</f>
        <v>31.137820084525821</v>
      </c>
      <c r="S73" s="33">
        <f t="shared" ref="S73:S75" si="43">+R73</f>
        <v>31.137820084525821</v>
      </c>
      <c r="T73">
        <f t="shared" ref="T73:T75" si="44">+S73/$S$78</f>
        <v>2.9354352455540935E-2</v>
      </c>
      <c r="AF73" s="1">
        <f>+SUM(AF4:AF71)</f>
        <v>146.78641814544781</v>
      </c>
      <c r="AG73" s="1">
        <f>+SUM(AG4:AG71)</f>
        <v>92.064782645692901</v>
      </c>
      <c r="AU73" s="1">
        <f>+SUM(AU4:AU71)</f>
        <v>258.39856345076277</v>
      </c>
      <c r="AV73" s="1">
        <f>+SUM(AV4:AV71)</f>
        <v>117.80024727295677</v>
      </c>
    </row>
    <row r="74" spans="1:48" x14ac:dyDescent="0.2">
      <c r="K74" s="30" t="s">
        <v>42</v>
      </c>
      <c r="L74" s="30">
        <f>L72*3+L73*2</f>
        <v>987</v>
      </c>
      <c r="M74" s="37">
        <f t="shared" si="35"/>
        <v>0</v>
      </c>
      <c r="N74" s="37">
        <f t="shared" si="36"/>
        <v>0</v>
      </c>
      <c r="O74" s="34">
        <f>+AF73</f>
        <v>146.78641814544781</v>
      </c>
      <c r="P74" s="34">
        <f>+AU73</f>
        <v>258.39856345076277</v>
      </c>
      <c r="Q74" s="31" t="s">
        <v>42</v>
      </c>
      <c r="R74" s="32">
        <f>+L74-O74-P74</f>
        <v>581.81501840378951</v>
      </c>
      <c r="S74" s="33">
        <f t="shared" si="43"/>
        <v>581.81501840378951</v>
      </c>
      <c r="T74">
        <f t="shared" si="44"/>
        <v>0.54849064795770064</v>
      </c>
    </row>
    <row r="75" spans="1:48" x14ac:dyDescent="0.2">
      <c r="K75" s="30" t="s">
        <v>312</v>
      </c>
      <c r="L75" s="30"/>
      <c r="M75" s="37">
        <f t="shared" si="35"/>
        <v>0</v>
      </c>
      <c r="N75" s="37">
        <f t="shared" si="36"/>
        <v>0</v>
      </c>
      <c r="O75" s="34">
        <f>+AG73</f>
        <v>92.064782645692901</v>
      </c>
      <c r="P75" s="34">
        <f>+AV73</f>
        <v>117.80024727295677</v>
      </c>
      <c r="Q75" s="31" t="s">
        <v>312</v>
      </c>
      <c r="R75" s="32">
        <f>+L75+O75+P75</f>
        <v>209.86502991864967</v>
      </c>
      <c r="S75" s="33">
        <f t="shared" si="43"/>
        <v>209.86502991864967</v>
      </c>
      <c r="T75">
        <f t="shared" si="44"/>
        <v>0.19784468018640039</v>
      </c>
    </row>
    <row r="77" spans="1:48" x14ac:dyDescent="0.2">
      <c r="K77" t="s">
        <v>48</v>
      </c>
      <c r="L77">
        <f>+SUM(L4:L75)</f>
        <v>1506</v>
      </c>
    </row>
    <row r="78" spans="1:48" x14ac:dyDescent="0.2">
      <c r="S78" s="33">
        <f>+S4+SUM(R5:R75)</f>
        <v>1060.7564970709561</v>
      </c>
    </row>
    <row r="79" spans="1:48" x14ac:dyDescent="0.2">
      <c r="L79">
        <f>+L73/L77</f>
        <v>9.9601593625498003E-2</v>
      </c>
    </row>
    <row r="80" spans="1:48" x14ac:dyDescent="0.2">
      <c r="L80">
        <f>+L72/L77</f>
        <v>0.15205843293492696</v>
      </c>
    </row>
  </sheetData>
  <mergeCells count="2">
    <mergeCell ref="K3:L3"/>
    <mergeCell ref="Q3:R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7BFA-A712-B64F-A124-6FD00C0D7B21}">
  <dimension ref="A3:J90"/>
  <sheetViews>
    <sheetView topLeftCell="A17" zoomScale="92" workbookViewId="0">
      <selection activeCell="C5" sqref="C5"/>
    </sheetView>
  </sheetViews>
  <sheetFormatPr baseColWidth="10" defaultRowHeight="16" x14ac:dyDescent="0.2"/>
  <cols>
    <col min="8" max="8" width="17.1640625" bestFit="1" customWidth="1"/>
    <col min="9" max="9" width="12.1640625" bestFit="1" customWidth="1"/>
    <col min="10" max="10" width="13.1640625" bestFit="1" customWidth="1"/>
    <col min="11" max="75" width="20" bestFit="1" customWidth="1"/>
    <col min="76" max="76" width="17.1640625" bestFit="1" customWidth="1"/>
  </cols>
  <sheetData>
    <row r="3" spans="1:10" x14ac:dyDescent="0.2">
      <c r="A3" t="s">
        <v>366</v>
      </c>
      <c r="B3" t="s">
        <v>336</v>
      </c>
      <c r="C3" s="24" t="s">
        <v>396</v>
      </c>
      <c r="D3" s="24" t="s">
        <v>397</v>
      </c>
    </row>
    <row r="4" spans="1:10" x14ac:dyDescent="0.2">
      <c r="A4">
        <v>1</v>
      </c>
      <c r="B4" s="31" t="s">
        <v>114</v>
      </c>
      <c r="C4">
        <v>10.675347629281321</v>
      </c>
      <c r="D4" s="33">
        <v>12.764487853091264</v>
      </c>
    </row>
    <row r="5" spans="1:10" x14ac:dyDescent="0.2">
      <c r="A5">
        <v>1</v>
      </c>
      <c r="B5" s="31" t="s">
        <v>117</v>
      </c>
      <c r="C5">
        <v>0.80481481478060724</v>
      </c>
      <c r="D5">
        <v>0.91088223941800006</v>
      </c>
    </row>
    <row r="6" spans="1:10" x14ac:dyDescent="0.2">
      <c r="A6">
        <v>2</v>
      </c>
      <c r="B6" s="31" t="s">
        <v>120</v>
      </c>
      <c r="C6">
        <v>1.4764743214745784</v>
      </c>
      <c r="D6">
        <v>1.709041167604332</v>
      </c>
    </row>
    <row r="7" spans="1:10" x14ac:dyDescent="0.2">
      <c r="A7">
        <v>2</v>
      </c>
      <c r="B7" s="31" t="s">
        <v>123</v>
      </c>
      <c r="C7">
        <v>6.2719479811499799</v>
      </c>
      <c r="D7">
        <v>7.3588614861819384</v>
      </c>
      <c r="H7" s="14" t="s">
        <v>346</v>
      </c>
      <c r="I7" t="s">
        <v>398</v>
      </c>
      <c r="J7" t="s">
        <v>399</v>
      </c>
    </row>
    <row r="8" spans="1:10" x14ac:dyDescent="0.2">
      <c r="A8">
        <v>3</v>
      </c>
      <c r="B8" s="31" t="s">
        <v>126</v>
      </c>
      <c r="C8">
        <v>1.0343523334498903</v>
      </c>
      <c r="D8">
        <v>1.1719059853281166</v>
      </c>
      <c r="H8" s="15">
        <v>1</v>
      </c>
      <c r="I8" s="26">
        <v>0.12683132217797449</v>
      </c>
      <c r="J8" s="26">
        <v>0.13833890004507071</v>
      </c>
    </row>
    <row r="9" spans="1:10" x14ac:dyDescent="0.2">
      <c r="A9">
        <v>3</v>
      </c>
      <c r="B9" s="31" t="s">
        <v>129</v>
      </c>
      <c r="C9">
        <v>9.4890646906416247</v>
      </c>
      <c r="D9">
        <v>10.979834057357101</v>
      </c>
      <c r="H9" s="15">
        <v>2</v>
      </c>
      <c r="I9" s="26">
        <v>8.5603548749739009E-2</v>
      </c>
      <c r="J9" s="26">
        <v>9.1730144804468325E-2</v>
      </c>
    </row>
    <row r="10" spans="1:10" x14ac:dyDescent="0.2">
      <c r="A10">
        <v>4</v>
      </c>
      <c r="B10" s="31" t="s">
        <v>132</v>
      </c>
      <c r="C10">
        <v>1.0101920404904212</v>
      </c>
      <c r="D10">
        <v>1.0797178215552949</v>
      </c>
      <c r="H10" s="15">
        <v>3</v>
      </c>
      <c r="I10" s="26">
        <v>0.11626132482873537</v>
      </c>
      <c r="J10" s="26">
        <v>0.12292598589777981</v>
      </c>
    </row>
    <row r="11" spans="1:10" x14ac:dyDescent="0.2">
      <c r="A11">
        <v>4</v>
      </c>
      <c r="B11" s="31" t="s">
        <v>135</v>
      </c>
      <c r="C11">
        <v>3.9445339274151864E-2</v>
      </c>
      <c r="D11">
        <v>3.6265007967883504E-2</v>
      </c>
      <c r="H11" s="15">
        <v>4</v>
      </c>
      <c r="I11" s="26">
        <v>9.6717672404365074E-2</v>
      </c>
      <c r="J11" s="26">
        <v>0.10005616765379662</v>
      </c>
    </row>
    <row r="12" spans="1:10" x14ac:dyDescent="0.2">
      <c r="A12">
        <v>4</v>
      </c>
      <c r="B12" s="31" t="s">
        <v>138</v>
      </c>
      <c r="C12">
        <v>7.7047820439769339</v>
      </c>
      <c r="D12">
        <v>8.7749814781157447</v>
      </c>
      <c r="H12" s="15">
        <v>5</v>
      </c>
      <c r="I12" s="26">
        <v>9.0090408351511053E-2</v>
      </c>
      <c r="J12" s="26">
        <v>8.2031363547648284E-2</v>
      </c>
    </row>
    <row r="13" spans="1:10" x14ac:dyDescent="0.2">
      <c r="A13">
        <v>5</v>
      </c>
      <c r="B13" s="31" t="s">
        <v>141</v>
      </c>
      <c r="C13">
        <v>0.1681688423581717</v>
      </c>
      <c r="D13">
        <v>0.15461001274909103</v>
      </c>
      <c r="H13" s="15">
        <v>6</v>
      </c>
      <c r="I13" s="26">
        <v>6.5904807395622142E-2</v>
      </c>
      <c r="J13" s="26">
        <v>6.6568352943604636E-2</v>
      </c>
    </row>
    <row r="14" spans="1:10" x14ac:dyDescent="0.2">
      <c r="A14">
        <v>5</v>
      </c>
      <c r="B14" s="31" t="s">
        <v>142</v>
      </c>
      <c r="C14">
        <v>0.14227984896835599</v>
      </c>
      <c r="D14">
        <v>0.45053268523601969</v>
      </c>
      <c r="H14" s="15">
        <v>7</v>
      </c>
      <c r="I14" s="26">
        <v>4.6200162692909282E-2</v>
      </c>
      <c r="J14" s="26">
        <v>3.96291222963506E-2</v>
      </c>
    </row>
    <row r="15" spans="1:10" x14ac:dyDescent="0.2">
      <c r="A15">
        <v>5</v>
      </c>
      <c r="B15" s="31" t="s">
        <v>145</v>
      </c>
      <c r="C15">
        <v>7.7845917998890393</v>
      </c>
      <c r="D15">
        <v>7.4492828102752009</v>
      </c>
      <c r="H15" s="15">
        <v>8</v>
      </c>
      <c r="I15" s="26">
        <v>6.1410385598339806E-2</v>
      </c>
      <c r="J15" s="26">
        <v>5.280651395200936E-2</v>
      </c>
    </row>
    <row r="16" spans="1:10" x14ac:dyDescent="0.2">
      <c r="A16">
        <v>5</v>
      </c>
      <c r="B16" s="31" t="s">
        <v>350</v>
      </c>
      <c r="C16">
        <v>5.9510803896835815E-2</v>
      </c>
      <c r="D16">
        <v>5.4712668650010163E-2</v>
      </c>
      <c r="H16" s="15">
        <v>9</v>
      </c>
      <c r="I16" s="26">
        <v>6.2743434292970593E-2</v>
      </c>
      <c r="J16" s="26">
        <v>5.1998169398136472E-2</v>
      </c>
    </row>
    <row r="17" spans="1:10" x14ac:dyDescent="0.2">
      <c r="A17">
        <v>6</v>
      </c>
      <c r="B17" s="31" t="s">
        <v>148</v>
      </c>
      <c r="C17">
        <v>3.0084066962282048</v>
      </c>
      <c r="D17">
        <v>2.4578082615235211</v>
      </c>
      <c r="H17" s="15">
        <v>10</v>
      </c>
      <c r="I17" s="26">
        <v>5.5340172479460242E-2</v>
      </c>
      <c r="J17" s="26">
        <v>4.894438634622323E-2</v>
      </c>
    </row>
    <row r="18" spans="1:10" x14ac:dyDescent="0.2">
      <c r="A18">
        <v>6</v>
      </c>
      <c r="B18" s="31" t="s">
        <v>151</v>
      </c>
      <c r="C18">
        <v>3.6329073642742016E-2</v>
      </c>
      <c r="D18">
        <v>3.2533571458387166E-2</v>
      </c>
      <c r="H18" s="15">
        <v>11</v>
      </c>
      <c r="I18" s="26">
        <v>4.1573329598496418E-2</v>
      </c>
      <c r="J18" s="26">
        <v>3.8164806295547971E-2</v>
      </c>
    </row>
    <row r="19" spans="1:10" x14ac:dyDescent="0.2">
      <c r="A19">
        <v>6</v>
      </c>
      <c r="B19" s="31" t="s">
        <v>154</v>
      </c>
      <c r="C19">
        <v>2.6709448098954698</v>
      </c>
      <c r="D19">
        <v>3.8606407214413294</v>
      </c>
      <c r="H19" s="15">
        <v>12</v>
      </c>
      <c r="I19" s="26">
        <v>3.0472483140929072E-2</v>
      </c>
      <c r="J19" s="26">
        <v>2.9639484135991174E-2</v>
      </c>
    </row>
    <row r="20" spans="1:10" x14ac:dyDescent="0.2">
      <c r="A20">
        <v>6</v>
      </c>
      <c r="B20" s="31" t="s">
        <v>353</v>
      </c>
      <c r="C20">
        <v>1.913274338277374E-2</v>
      </c>
      <c r="D20">
        <v>1.7590141294042117E-2</v>
      </c>
      <c r="H20" s="15">
        <v>13</v>
      </c>
      <c r="I20" s="26">
        <v>1.8947525617386007E-2</v>
      </c>
      <c r="J20" s="26">
        <v>2.0434366811655461E-2</v>
      </c>
    </row>
    <row r="21" spans="1:10" x14ac:dyDescent="0.2">
      <c r="A21">
        <v>6</v>
      </c>
      <c r="B21" s="31" t="s">
        <v>351</v>
      </c>
      <c r="C21">
        <v>0.23057347369165204</v>
      </c>
      <c r="D21">
        <v>0.21198319026982509</v>
      </c>
      <c r="H21" s="15">
        <v>14</v>
      </c>
      <c r="I21" s="26">
        <v>1.5864565115364434E-2</v>
      </c>
      <c r="J21" s="26">
        <v>1.8095389094070657E-2</v>
      </c>
    </row>
    <row r="22" spans="1:10" x14ac:dyDescent="0.2">
      <c r="A22">
        <v>7</v>
      </c>
      <c r="B22" s="31" t="s">
        <v>157</v>
      </c>
      <c r="C22">
        <v>3.7961470066785014E-4</v>
      </c>
      <c r="D22">
        <v>9.8472887271422297E-5</v>
      </c>
      <c r="H22" s="15">
        <v>15</v>
      </c>
      <c r="I22" s="26">
        <v>1.4971541183549673E-2</v>
      </c>
      <c r="J22" s="26">
        <v>1.7112622112058409E-2</v>
      </c>
    </row>
    <row r="23" spans="1:10" x14ac:dyDescent="0.2">
      <c r="A23">
        <v>7</v>
      </c>
      <c r="B23" s="31" t="s">
        <v>160</v>
      </c>
      <c r="C23">
        <v>2.2831760437947315</v>
      </c>
      <c r="D23">
        <v>2.1027785797189829</v>
      </c>
      <c r="H23" s="15">
        <v>16</v>
      </c>
      <c r="I23" s="26">
        <v>1.4714999440317358E-2</v>
      </c>
      <c r="J23" s="26">
        <v>1.6285928256435024E-2</v>
      </c>
    </row>
    <row r="24" spans="1:10" x14ac:dyDescent="0.2">
      <c r="A24">
        <v>7</v>
      </c>
      <c r="B24" s="31" t="s">
        <v>163</v>
      </c>
      <c r="C24">
        <v>1.5956649952219988</v>
      </c>
      <c r="D24">
        <v>1.5364258418072099</v>
      </c>
      <c r="H24" s="15">
        <v>17</v>
      </c>
      <c r="I24" s="26">
        <v>1.2225671507531585E-2</v>
      </c>
      <c r="J24" s="26">
        <v>1.3896073624084836E-2</v>
      </c>
    </row>
    <row r="25" spans="1:10" x14ac:dyDescent="0.2">
      <c r="A25">
        <v>7</v>
      </c>
      <c r="B25" s="31" t="s">
        <v>166</v>
      </c>
      <c r="C25">
        <v>5.9682201389639845E-2</v>
      </c>
      <c r="D25">
        <v>5.4870246999102631E-2</v>
      </c>
      <c r="H25" s="15">
        <v>18</v>
      </c>
      <c r="I25" s="26">
        <v>1.097756047571889E-2</v>
      </c>
      <c r="J25" s="26">
        <v>1.2772608254154423E-2</v>
      </c>
    </row>
    <row r="26" spans="1:10" x14ac:dyDescent="0.2">
      <c r="A26">
        <v>7</v>
      </c>
      <c r="B26" s="31" t="s">
        <v>356</v>
      </c>
      <c r="C26">
        <v>0.24291409317354112</v>
      </c>
      <c r="D26">
        <v>0.22332883140448229</v>
      </c>
      <c r="H26" s="15">
        <v>19</v>
      </c>
      <c r="I26" s="26">
        <v>5.2330306210416197E-3</v>
      </c>
      <c r="J26" s="26">
        <v>6.0887344007259413E-3</v>
      </c>
    </row>
    <row r="27" spans="1:10" x14ac:dyDescent="0.2">
      <c r="A27">
        <v>8</v>
      </c>
      <c r="B27" s="31" t="s">
        <v>169</v>
      </c>
      <c r="C27">
        <v>0.18868965424741102</v>
      </c>
      <c r="D27">
        <v>0.23603939880703242</v>
      </c>
      <c r="H27" s="15">
        <v>20</v>
      </c>
      <c r="I27" s="26">
        <v>4.3280704384554749E-3</v>
      </c>
      <c r="J27" s="26">
        <v>5.0357953690214549E-3</v>
      </c>
    </row>
    <row r="28" spans="1:10" x14ac:dyDescent="0.2">
      <c r="A28">
        <v>8</v>
      </c>
      <c r="B28" s="31" t="s">
        <v>172</v>
      </c>
      <c r="C28">
        <v>1.089450296120775</v>
      </c>
      <c r="D28">
        <v>1.0016119621849151</v>
      </c>
      <c r="H28" s="15">
        <v>21</v>
      </c>
      <c r="I28" s="26">
        <v>4.1313399639802259E-3</v>
      </c>
      <c r="J28" s="26">
        <v>4.8068955795204796E-3</v>
      </c>
    </row>
    <row r="29" spans="1:10" x14ac:dyDescent="0.2">
      <c r="A29">
        <v>8</v>
      </c>
      <c r="B29" s="31" t="s">
        <v>175</v>
      </c>
      <c r="C29">
        <v>2.99086233350083</v>
      </c>
      <c r="D29">
        <v>2.7497202039868216</v>
      </c>
      <c r="H29" s="15">
        <v>22</v>
      </c>
      <c r="I29" s="26">
        <v>3.8952633946099276E-3</v>
      </c>
      <c r="J29" s="26">
        <v>4.5322158321193101E-3</v>
      </c>
    </row>
    <row r="30" spans="1:10" x14ac:dyDescent="0.2">
      <c r="A30">
        <v>8</v>
      </c>
      <c r="B30" s="31" t="s">
        <v>178</v>
      </c>
      <c r="C30">
        <v>0.48903292086369682</v>
      </c>
      <c r="D30">
        <v>0.44960401147571655</v>
      </c>
      <c r="H30" s="15">
        <v>23</v>
      </c>
      <c r="I30" s="26">
        <v>3.6198407303445791E-3</v>
      </c>
      <c r="J30" s="26">
        <v>4.2117561268179447E-3</v>
      </c>
    </row>
    <row r="31" spans="1:10" x14ac:dyDescent="0.2">
      <c r="A31">
        <v>8</v>
      </c>
      <c r="B31" s="31" t="s">
        <v>181</v>
      </c>
      <c r="C31">
        <v>0.80053810598416164</v>
      </c>
      <c r="D31">
        <v>0.78316583968881615</v>
      </c>
      <c r="H31" s="15">
        <v>24</v>
      </c>
      <c r="I31" s="26">
        <v>3.5411485405544793E-3</v>
      </c>
      <c r="J31" s="26">
        <v>4.1201962110175537E-3</v>
      </c>
    </row>
    <row r="32" spans="1:10" x14ac:dyDescent="0.2">
      <c r="A32">
        <v>9</v>
      </c>
      <c r="B32" s="31" t="s">
        <v>184</v>
      </c>
      <c r="C32">
        <v>0.5055889643879321</v>
      </c>
      <c r="D32">
        <v>0.55210071469928279</v>
      </c>
      <c r="H32" s="15">
        <v>25</v>
      </c>
      <c r="I32" s="26">
        <v>3.1968702102227937E-3</v>
      </c>
      <c r="J32" s="26">
        <v>3.7196215793908471E-3</v>
      </c>
    </row>
    <row r="33" spans="1:10" x14ac:dyDescent="0.2">
      <c r="A33">
        <v>9</v>
      </c>
      <c r="B33" s="31" t="s">
        <v>187</v>
      </c>
      <c r="C33">
        <v>3.2224801361021234</v>
      </c>
      <c r="D33">
        <v>2.9626635228022784</v>
      </c>
      <c r="H33" s="15">
        <v>26</v>
      </c>
      <c r="I33" s="26">
        <v>2.8132457849960584E-3</v>
      </c>
      <c r="J33" s="26">
        <v>3.273266989863946E-3</v>
      </c>
    </row>
    <row r="34" spans="1:10" x14ac:dyDescent="0.2">
      <c r="A34">
        <v>9</v>
      </c>
      <c r="B34" s="31" t="s">
        <v>190</v>
      </c>
      <c r="C34">
        <v>0.59385643867206861</v>
      </c>
      <c r="D34">
        <v>0.54597599809044994</v>
      </c>
      <c r="H34" s="15">
        <v>27</v>
      </c>
      <c r="I34" s="26">
        <v>2.3902752648742734E-3</v>
      </c>
      <c r="J34" s="26">
        <v>2.7811324424368493E-3</v>
      </c>
    </row>
    <row r="35" spans="1:10" x14ac:dyDescent="0.2">
      <c r="A35">
        <v>9</v>
      </c>
      <c r="B35" s="31" t="s">
        <v>193</v>
      </c>
      <c r="C35">
        <v>0.3347751773400835</v>
      </c>
      <c r="D35">
        <v>0.30778349729250198</v>
      </c>
      <c r="H35" s="15" t="s">
        <v>347</v>
      </c>
      <c r="I35" s="26">
        <v>1</v>
      </c>
      <c r="J35" s="26">
        <v>1</v>
      </c>
    </row>
    <row r="36" spans="1:10" x14ac:dyDescent="0.2">
      <c r="A36">
        <v>9</v>
      </c>
      <c r="B36" s="31" t="s">
        <v>196</v>
      </c>
      <c r="C36">
        <v>1.0225337629024103</v>
      </c>
      <c r="D36">
        <v>0.77170949450729076</v>
      </c>
    </row>
    <row r="37" spans="1:10" x14ac:dyDescent="0.2">
      <c r="A37">
        <v>10</v>
      </c>
      <c r="B37" s="31" t="s">
        <v>199</v>
      </c>
      <c r="C37">
        <v>0.74575363465812128</v>
      </c>
      <c r="D37">
        <v>0.91872102183663884</v>
      </c>
    </row>
    <row r="38" spans="1:10" x14ac:dyDescent="0.2">
      <c r="A38">
        <v>10</v>
      </c>
      <c r="B38" s="31" t="s">
        <v>202</v>
      </c>
      <c r="C38">
        <v>1.2171613582007894</v>
      </c>
      <c r="D38">
        <v>1.1190261553226462</v>
      </c>
    </row>
    <row r="39" spans="1:10" x14ac:dyDescent="0.2">
      <c r="A39">
        <v>10</v>
      </c>
      <c r="B39" s="31" t="s">
        <v>205</v>
      </c>
      <c r="C39">
        <v>1.3279319704106398</v>
      </c>
      <c r="D39">
        <v>1.2208657441896107</v>
      </c>
    </row>
    <row r="40" spans="1:10" x14ac:dyDescent="0.2">
      <c r="A40">
        <v>10</v>
      </c>
      <c r="B40" s="31" t="s">
        <v>208</v>
      </c>
      <c r="C40">
        <v>0.77256423384358452</v>
      </c>
      <c r="D40">
        <v>0.71027524700234224</v>
      </c>
    </row>
    <row r="41" spans="1:10" x14ac:dyDescent="0.2">
      <c r="A41">
        <v>10</v>
      </c>
      <c r="B41" s="31" t="s">
        <v>211</v>
      </c>
      <c r="C41">
        <v>0.9457155614576872</v>
      </c>
      <c r="D41">
        <v>0.86946602571342368</v>
      </c>
    </row>
    <row r="42" spans="1:10" x14ac:dyDescent="0.2">
      <c r="A42">
        <v>11</v>
      </c>
      <c r="B42" s="31" t="s">
        <v>214</v>
      </c>
      <c r="C42">
        <v>0.92728656860550784</v>
      </c>
      <c r="D42">
        <v>1.1656511649587913</v>
      </c>
    </row>
    <row r="43" spans="1:10" x14ac:dyDescent="0.2">
      <c r="A43">
        <v>11</v>
      </c>
      <c r="B43" s="31" t="s">
        <v>217</v>
      </c>
      <c r="C43">
        <v>1.3868887219470165</v>
      </c>
      <c r="D43">
        <v>1.275069031664648</v>
      </c>
    </row>
    <row r="44" spans="1:10" x14ac:dyDescent="0.2">
      <c r="A44">
        <v>11</v>
      </c>
      <c r="B44" s="31" t="s">
        <v>221</v>
      </c>
      <c r="C44">
        <v>0.55592178892751454</v>
      </c>
      <c r="D44">
        <v>0.51109987836224158</v>
      </c>
    </row>
    <row r="45" spans="1:10" x14ac:dyDescent="0.2">
      <c r="A45">
        <v>11</v>
      </c>
      <c r="B45" s="31" t="s">
        <v>357</v>
      </c>
      <c r="C45">
        <v>0.89292114768584585</v>
      </c>
      <c r="D45">
        <v>0.82092822958017608</v>
      </c>
    </row>
    <row r="46" spans="1:10" x14ac:dyDescent="0.2">
      <c r="A46">
        <v>12</v>
      </c>
      <c r="B46" s="31" t="s">
        <v>224</v>
      </c>
      <c r="C46">
        <v>1.0664591161558081</v>
      </c>
      <c r="D46">
        <v>0.98047447572990742</v>
      </c>
    </row>
    <row r="47" spans="1:10" x14ac:dyDescent="0.2">
      <c r="A47">
        <v>12</v>
      </c>
      <c r="B47" s="31" t="s">
        <v>227</v>
      </c>
      <c r="C47">
        <v>1.1218471845208211</v>
      </c>
      <c r="D47">
        <v>1.4255442834496859</v>
      </c>
    </row>
    <row r="48" spans="1:10" x14ac:dyDescent="0.2">
      <c r="A48">
        <v>12</v>
      </c>
      <c r="B48" s="31" t="s">
        <v>230</v>
      </c>
      <c r="C48">
        <v>0.10475177002068625</v>
      </c>
      <c r="D48">
        <v>9.6306023584880607E-2</v>
      </c>
    </row>
    <row r="49" spans="1:4" x14ac:dyDescent="0.2">
      <c r="A49">
        <v>12</v>
      </c>
      <c r="B49" s="31" t="s">
        <v>233</v>
      </c>
      <c r="C49">
        <v>0.36921411542907628</v>
      </c>
      <c r="D49">
        <v>0.33944575162177781</v>
      </c>
    </row>
    <row r="50" spans="1:4" x14ac:dyDescent="0.2">
      <c r="A50">
        <v>12</v>
      </c>
      <c r="B50" s="31" t="s">
        <v>355</v>
      </c>
      <c r="C50">
        <v>9.5950708064610313E-2</v>
      </c>
      <c r="D50">
        <v>8.8214558589621225E-2</v>
      </c>
    </row>
    <row r="51" spans="1:4" x14ac:dyDescent="0.2">
      <c r="A51">
        <v>13</v>
      </c>
      <c r="B51" s="31" t="s">
        <v>236</v>
      </c>
      <c r="C51">
        <v>0.41734093701316177</v>
      </c>
      <c r="D51">
        <v>0.38369228620183293</v>
      </c>
    </row>
    <row r="52" spans="1:4" x14ac:dyDescent="0.2">
      <c r="A52">
        <v>13</v>
      </c>
      <c r="B52" s="31" t="s">
        <v>239</v>
      </c>
      <c r="C52">
        <v>3.6065221276528496E-2</v>
      </c>
      <c r="D52">
        <v>3.3157416339269385E-2</v>
      </c>
    </row>
    <row r="53" spans="1:4" x14ac:dyDescent="0.2">
      <c r="A53">
        <v>13</v>
      </c>
      <c r="B53" s="31" t="s">
        <v>242</v>
      </c>
      <c r="C53">
        <v>1.2616329051317487</v>
      </c>
      <c r="D53">
        <v>1.6031716267049245</v>
      </c>
    </row>
    <row r="54" spans="1:4" x14ac:dyDescent="0.2">
      <c r="A54">
        <v>14</v>
      </c>
      <c r="B54" s="31" t="s">
        <v>245</v>
      </c>
      <c r="C54">
        <v>0.10223262547528765</v>
      </c>
      <c r="D54">
        <v>9.3989988314498354E-2</v>
      </c>
    </row>
    <row r="55" spans="1:4" x14ac:dyDescent="0.2">
      <c r="A55">
        <v>14</v>
      </c>
      <c r="B55" s="31" t="s">
        <v>248</v>
      </c>
      <c r="C55">
        <v>1.3337516527080875</v>
      </c>
      <c r="D55">
        <v>1.6948137592124048</v>
      </c>
    </row>
    <row r="56" spans="1:4" x14ac:dyDescent="0.2">
      <c r="A56">
        <v>15</v>
      </c>
      <c r="B56" s="31" t="s">
        <v>251</v>
      </c>
      <c r="C56">
        <v>8.6396294337837673E-2</v>
      </c>
      <c r="D56">
        <v>7.9430481780908946E-2</v>
      </c>
    </row>
    <row r="57" spans="1:4" x14ac:dyDescent="0.2">
      <c r="A57">
        <v>15</v>
      </c>
      <c r="B57" s="31" t="s">
        <v>254</v>
      </c>
      <c r="C57">
        <v>1.2687557443985478</v>
      </c>
      <c r="D57">
        <v>1.6122227015204782</v>
      </c>
    </row>
    <row r="58" spans="1:4" x14ac:dyDescent="0.2">
      <c r="A58">
        <v>16</v>
      </c>
      <c r="B58" s="31" t="s">
        <v>257</v>
      </c>
      <c r="C58">
        <v>0.23501386455173739</v>
      </c>
      <c r="D58">
        <v>0.21606556889515063</v>
      </c>
    </row>
    <row r="59" spans="1:4" x14ac:dyDescent="0.2">
      <c r="A59">
        <v>16</v>
      </c>
      <c r="B59" s="31" t="s">
        <v>260</v>
      </c>
      <c r="C59">
        <v>1.0969172470870254</v>
      </c>
      <c r="D59">
        <v>1.3938655215952489</v>
      </c>
    </row>
    <row r="60" spans="1:4" x14ac:dyDescent="0.2">
      <c r="A60">
        <v>17</v>
      </c>
      <c r="B60" s="31" t="s">
        <v>263</v>
      </c>
      <c r="C60">
        <v>9.24948562910968E-2</v>
      </c>
      <c r="D60">
        <v>8.5037339318384864E-2</v>
      </c>
    </row>
    <row r="61" spans="1:4" x14ac:dyDescent="0.2">
      <c r="A61">
        <v>17</v>
      </c>
      <c r="B61" s="31" t="s">
        <v>266</v>
      </c>
      <c r="C61">
        <v>1.0141142406104864</v>
      </c>
      <c r="D61">
        <v>1.2886467768644363</v>
      </c>
    </row>
    <row r="62" spans="1:4" x14ac:dyDescent="0.2">
      <c r="A62">
        <v>18</v>
      </c>
      <c r="B62" s="31" t="s">
        <v>269</v>
      </c>
      <c r="C62">
        <v>0.99363607771844198</v>
      </c>
      <c r="D62">
        <v>1.2626249367697224</v>
      </c>
    </row>
    <row r="63" spans="1:4" x14ac:dyDescent="0.2">
      <c r="A63">
        <v>19</v>
      </c>
      <c r="B63" s="31" t="s">
        <v>272</v>
      </c>
      <c r="C63">
        <v>0.47366881124212445</v>
      </c>
      <c r="D63">
        <v>0.60189647523431189</v>
      </c>
    </row>
    <row r="64" spans="1:4" x14ac:dyDescent="0.2">
      <c r="A64">
        <v>20</v>
      </c>
      <c r="B64" s="31" t="s">
        <v>275</v>
      </c>
      <c r="C64">
        <v>0.39175615967393751</v>
      </c>
      <c r="D64">
        <v>0.49780911485544588</v>
      </c>
    </row>
    <row r="65" spans="1:4" x14ac:dyDescent="0.2">
      <c r="A65">
        <v>21</v>
      </c>
      <c r="B65" s="31" t="s">
        <v>278</v>
      </c>
      <c r="C65">
        <v>0.37394906150694035</v>
      </c>
      <c r="D65">
        <v>0.47518142781656203</v>
      </c>
    </row>
    <row r="66" spans="1:4" x14ac:dyDescent="0.2">
      <c r="A66">
        <v>22</v>
      </c>
      <c r="B66" s="31" t="s">
        <v>281</v>
      </c>
      <c r="C66">
        <v>0.35258054370654379</v>
      </c>
      <c r="D66">
        <v>0.44802820336990135</v>
      </c>
    </row>
    <row r="67" spans="1:4" x14ac:dyDescent="0.2">
      <c r="A67">
        <v>23</v>
      </c>
      <c r="B67" s="31" t="s">
        <v>284</v>
      </c>
      <c r="C67">
        <v>0.32765060627274778</v>
      </c>
      <c r="D67">
        <v>0.41634944151546388</v>
      </c>
    </row>
    <row r="68" spans="1:4" x14ac:dyDescent="0.2">
      <c r="A68">
        <v>24</v>
      </c>
      <c r="B68" s="31" t="s">
        <v>287</v>
      </c>
      <c r="C68">
        <v>0.32052776700594887</v>
      </c>
      <c r="D68">
        <v>0.40729836669991026</v>
      </c>
    </row>
    <row r="69" spans="1:4" x14ac:dyDescent="0.2">
      <c r="A69">
        <v>25</v>
      </c>
      <c r="B69" s="31" t="s">
        <v>290</v>
      </c>
      <c r="C69">
        <v>0.28936534521370383</v>
      </c>
      <c r="D69">
        <v>0.36769991438186345</v>
      </c>
    </row>
    <row r="70" spans="1:4" x14ac:dyDescent="0.2">
      <c r="A70">
        <v>26</v>
      </c>
      <c r="B70" s="31" t="s">
        <v>293</v>
      </c>
      <c r="C70">
        <v>0.25464150378805939</v>
      </c>
      <c r="D70">
        <v>0.32357592465603985</v>
      </c>
    </row>
    <row r="71" spans="1:4" x14ac:dyDescent="0.2">
      <c r="A71">
        <v>27</v>
      </c>
      <c r="B71" s="31" t="s">
        <v>296</v>
      </c>
      <c r="C71">
        <v>0.21635624272901549</v>
      </c>
      <c r="D71">
        <v>0.27492639752243947</v>
      </c>
    </row>
    <row r="72" spans="1:4" x14ac:dyDescent="0.2">
      <c r="B72" s="31" t="s">
        <v>309</v>
      </c>
      <c r="C72">
        <v>47.511741715533745</v>
      </c>
      <c r="D72" s="33">
        <v>23.728411731180913</v>
      </c>
    </row>
    <row r="73" spans="1:4" x14ac:dyDescent="0.2">
      <c r="B73" s="31" t="s">
        <v>386</v>
      </c>
      <c r="C73">
        <v>42.969379720010799</v>
      </c>
      <c r="D73" s="33">
        <v>77.124996333025905</v>
      </c>
    </row>
    <row r="74" spans="1:4" x14ac:dyDescent="0.2">
      <c r="B74" s="31" t="s">
        <v>42</v>
      </c>
      <c r="C74">
        <v>360.37400960887692</v>
      </c>
      <c r="D74" s="33">
        <v>327.09126944404454</v>
      </c>
    </row>
    <row r="75" spans="1:4" x14ac:dyDescent="0.2">
      <c r="B75" s="31" t="s">
        <v>312</v>
      </c>
      <c r="C75">
        <v>137.18834143880898</v>
      </c>
      <c r="D75" s="33">
        <v>123.6525233999993</v>
      </c>
    </row>
    <row r="76" spans="1:4" x14ac:dyDescent="0.2">
      <c r="B76" s="36" t="s">
        <v>395</v>
      </c>
      <c r="C76">
        <v>234</v>
      </c>
      <c r="D76" s="33">
        <v>74</v>
      </c>
    </row>
    <row r="78" spans="1:4" x14ac:dyDescent="0.2">
      <c r="B78" s="30" t="s">
        <v>309</v>
      </c>
      <c r="C78" s="30">
        <v>165.62</v>
      </c>
      <c r="D78" s="30">
        <v>132.19999999999999</v>
      </c>
    </row>
    <row r="79" spans="1:4" x14ac:dyDescent="0.2">
      <c r="B79" s="30" t="s">
        <v>386</v>
      </c>
      <c r="C79" s="30">
        <v>52.7</v>
      </c>
      <c r="D79" s="30">
        <v>86.1</v>
      </c>
    </row>
    <row r="80" spans="1:4" x14ac:dyDescent="0.2">
      <c r="B80" s="30" t="s">
        <v>42</v>
      </c>
      <c r="C80" s="30">
        <f>C78*3+C79*2</f>
        <v>602.26</v>
      </c>
      <c r="D80" s="30">
        <f>D78*3+D79*2</f>
        <v>568.79999999999995</v>
      </c>
    </row>
    <row r="83" spans="1:9" x14ac:dyDescent="0.2">
      <c r="A83" s="38">
        <v>5</v>
      </c>
      <c r="B83" s="38"/>
      <c r="C83" s="38">
        <v>10</v>
      </c>
      <c r="D83" s="38"/>
    </row>
    <row r="84" spans="1:9" x14ac:dyDescent="0.2">
      <c r="A84" t="s">
        <v>401</v>
      </c>
      <c r="B84" t="s">
        <v>400</v>
      </c>
      <c r="C84" t="s">
        <v>401</v>
      </c>
      <c r="D84" t="s">
        <v>400</v>
      </c>
    </row>
    <row r="85" spans="1:9" x14ac:dyDescent="0.2">
      <c r="A85">
        <v>250</v>
      </c>
      <c r="B85" s="33">
        <v>71.728710217816285</v>
      </c>
      <c r="C85">
        <v>240</v>
      </c>
      <c r="D85">
        <v>43.071308543328087</v>
      </c>
      <c r="F85" s="9">
        <f>+A85/A$90</f>
        <v>0.15625</v>
      </c>
      <c r="G85" s="9">
        <f>+B85/B$90</f>
        <v>5.5646788376893935E-2</v>
      </c>
      <c r="H85" s="9">
        <f>+C85/C$90</f>
        <v>0.15</v>
      </c>
      <c r="I85" s="9">
        <f t="shared" ref="I85:I88" si="0">+D85/$B$90</f>
        <v>3.3414513997927144E-2</v>
      </c>
    </row>
    <row r="86" spans="1:9" x14ac:dyDescent="0.2">
      <c r="A86">
        <v>80</v>
      </c>
      <c r="B86" s="33">
        <v>65.226094161811318</v>
      </c>
      <c r="C86">
        <v>160</v>
      </c>
      <c r="D86">
        <v>143.32470190078806</v>
      </c>
      <c r="E86" s="1"/>
      <c r="F86" s="9">
        <f t="shared" ref="F86:F88" si="1">+A86/A$90</f>
        <v>0.05</v>
      </c>
      <c r="G86" s="9">
        <f t="shared" ref="G86:G88" si="2">+B86/B$90</f>
        <v>5.0602090117774487E-2</v>
      </c>
      <c r="H86" s="9">
        <f t="shared" ref="H86:H88" si="3">+C86/C$90</f>
        <v>0.1</v>
      </c>
      <c r="I86" s="9">
        <f t="shared" si="0"/>
        <v>0.11119061435282239</v>
      </c>
    </row>
    <row r="87" spans="1:9" x14ac:dyDescent="0.2">
      <c r="A87">
        <v>910</v>
      </c>
      <c r="B87" s="33">
        <v>544.06149651244095</v>
      </c>
      <c r="C87">
        <v>1040</v>
      </c>
      <c r="D87">
        <v>594.0595762159079</v>
      </c>
      <c r="F87" s="9">
        <f t="shared" si="1"/>
        <v>0.56874999999999998</v>
      </c>
      <c r="G87" s="9">
        <f t="shared" si="2"/>
        <v>0.42208029209654069</v>
      </c>
      <c r="H87" s="9">
        <f t="shared" si="3"/>
        <v>0.65</v>
      </c>
      <c r="I87" s="9">
        <f t="shared" si="0"/>
        <v>0.46086856184321789</v>
      </c>
    </row>
    <row r="88" spans="1:9" x14ac:dyDescent="0.2">
      <c r="B88" s="33">
        <v>207.46578259230085</v>
      </c>
      <c r="D88">
        <v>227.74978999557391</v>
      </c>
      <c r="F88" s="9">
        <f t="shared" si="1"/>
        <v>0</v>
      </c>
      <c r="G88" s="9">
        <f t="shared" si="2"/>
        <v>0.16095095623917832</v>
      </c>
      <c r="H88" s="9">
        <f t="shared" si="3"/>
        <v>0</v>
      </c>
      <c r="I88" s="9">
        <f t="shared" si="0"/>
        <v>0.17668719161797822</v>
      </c>
    </row>
    <row r="90" spans="1:9" x14ac:dyDescent="0.2">
      <c r="A90">
        <v>1600</v>
      </c>
      <c r="B90" s="33">
        <v>1289</v>
      </c>
      <c r="C90">
        <v>1600</v>
      </c>
      <c r="D90">
        <v>1226</v>
      </c>
    </row>
  </sheetData>
  <mergeCells count="2">
    <mergeCell ref="A83:B83"/>
    <mergeCell ref="C83:D83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5% CO</vt:lpstr>
      <vt:lpstr>5% CO Elab</vt:lpstr>
      <vt:lpstr>10% CO</vt:lpstr>
      <vt:lpstr>10% CO Elab</vt:lpstr>
      <vt:lpstr>Conv</vt:lpstr>
      <vt:lpstr>Interp</vt:lpstr>
      <vt:lpstr>RSTOIC</vt:lpstr>
      <vt:lpstr>Foglio11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 Tauro</dc:creator>
  <cp:lastModifiedBy>Alessio  Tauro</cp:lastModifiedBy>
  <dcterms:created xsi:type="dcterms:W3CDTF">2025-12-01T13:21:18Z</dcterms:created>
  <dcterms:modified xsi:type="dcterms:W3CDTF">2026-02-13T14:54:47Z</dcterms:modified>
</cp:coreProperties>
</file>