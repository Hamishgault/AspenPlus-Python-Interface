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sb21122\AspenPlus-Python-Interface\Project\Aspen\Aspen\"/>
    </mc:Choice>
  </mc:AlternateContent>
  <xr:revisionPtr revIDLastSave="0" documentId="13_ncr:1_{2B797146-3B58-4ABB-A69B-C2A267B6E5F9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5% CO" sheetId="1" r:id="rId1"/>
    <sheet name="5% CO Elab" sheetId="2" r:id="rId2"/>
    <sheet name="10% CO" sheetId="3" r:id="rId3"/>
    <sheet name="10% CO Elab" sheetId="4" r:id="rId4"/>
    <sheet name="Conv" sheetId="5" r:id="rId5"/>
    <sheet name="Interp" sheetId="6" r:id="rId6"/>
    <sheet name="RSTOIC" sheetId="7" r:id="rId7"/>
    <sheet name="Foglio11" sheetId="8" r:id="rId8"/>
  </sheets>
  <calcPr calcId="191029"/>
  <pivotCaches>
    <pivotCache cacheId="8" r:id="rId9"/>
    <pivotCache cacheId="13" r:id="rId10"/>
    <pivotCache cacheId="17" r:id="rId11"/>
    <pivotCache cacheId="22" r:id="rId12"/>
    <pivotCache cacheId="2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8" i="8" l="1"/>
  <c r="H88" i="8"/>
  <c r="G88" i="8"/>
  <c r="F88" i="8"/>
  <c r="I87" i="8"/>
  <c r="H87" i="8"/>
  <c r="G87" i="8"/>
  <c r="F87" i="8"/>
  <c r="I86" i="8"/>
  <c r="H86" i="8"/>
  <c r="G86" i="8"/>
  <c r="F86" i="8"/>
  <c r="I85" i="8"/>
  <c r="H85" i="8"/>
  <c r="G85" i="8"/>
  <c r="F85" i="8"/>
  <c r="D80" i="8"/>
  <c r="C80" i="8"/>
  <c r="L74" i="7"/>
  <c r="AT71" i="7"/>
  <c r="AR71" i="7"/>
  <c r="AQ71" i="7"/>
  <c r="AP71" i="7"/>
  <c r="AO71" i="7"/>
  <c r="AN71" i="7"/>
  <c r="AL71" i="7"/>
  <c r="AJ71" i="7"/>
  <c r="AT70" i="7"/>
  <c r="AR70" i="7"/>
  <c r="AQ70" i="7"/>
  <c r="AP70" i="7"/>
  <c r="AO70" i="7"/>
  <c r="AN70" i="7"/>
  <c r="AL70" i="7"/>
  <c r="AJ70" i="7"/>
  <c r="AT69" i="7"/>
  <c r="AR69" i="7"/>
  <c r="AQ69" i="7"/>
  <c r="AP69" i="7"/>
  <c r="AO69" i="7"/>
  <c r="AN69" i="7"/>
  <c r="AL69" i="7"/>
  <c r="AJ69" i="7"/>
  <c r="AT68" i="7"/>
  <c r="AR68" i="7"/>
  <c r="AQ68" i="7"/>
  <c r="AP68" i="7"/>
  <c r="AO68" i="7"/>
  <c r="AN68" i="7"/>
  <c r="AL68" i="7"/>
  <c r="AJ68" i="7"/>
  <c r="AT67" i="7"/>
  <c r="AR67" i="7"/>
  <c r="AQ67" i="7"/>
  <c r="AP67" i="7"/>
  <c r="AO67" i="7"/>
  <c r="AN67" i="7"/>
  <c r="AL67" i="7"/>
  <c r="AJ67" i="7"/>
  <c r="AT66" i="7"/>
  <c r="AR66" i="7"/>
  <c r="AQ66" i="7"/>
  <c r="AP66" i="7"/>
  <c r="AO66" i="7"/>
  <c r="AN66" i="7"/>
  <c r="AL66" i="7"/>
  <c r="AJ66" i="7"/>
  <c r="AT65" i="7"/>
  <c r="AR65" i="7"/>
  <c r="AQ65" i="7"/>
  <c r="AP65" i="7"/>
  <c r="AO65" i="7"/>
  <c r="AN65" i="7"/>
  <c r="AL65" i="7"/>
  <c r="AJ65" i="7"/>
  <c r="AT64" i="7"/>
  <c r="AR64" i="7"/>
  <c r="AQ64" i="7"/>
  <c r="AP64" i="7"/>
  <c r="AO64" i="7"/>
  <c r="AN64" i="7"/>
  <c r="AL64" i="7"/>
  <c r="AJ64" i="7"/>
  <c r="AT63" i="7"/>
  <c r="AR63" i="7"/>
  <c r="AQ63" i="7"/>
  <c r="AP63" i="7"/>
  <c r="AO63" i="7"/>
  <c r="AN63" i="7"/>
  <c r="AL63" i="7"/>
  <c r="AJ63" i="7"/>
  <c r="AT62" i="7"/>
  <c r="AR62" i="7"/>
  <c r="AQ62" i="7"/>
  <c r="AP62" i="7"/>
  <c r="AO62" i="7"/>
  <c r="AN62" i="7"/>
  <c r="AL62" i="7"/>
  <c r="AJ62" i="7"/>
  <c r="AT61" i="7"/>
  <c r="AR61" i="7"/>
  <c r="AQ61" i="7"/>
  <c r="AP61" i="7"/>
  <c r="AO61" i="7"/>
  <c r="AN61" i="7"/>
  <c r="AL61" i="7"/>
  <c r="AJ61" i="7"/>
  <c r="AT60" i="7"/>
  <c r="AR60" i="7"/>
  <c r="AQ60" i="7"/>
  <c r="AP60" i="7"/>
  <c r="AO60" i="7"/>
  <c r="AN60" i="7"/>
  <c r="AL60" i="7"/>
  <c r="AJ60" i="7"/>
  <c r="AT59" i="7"/>
  <c r="AR59" i="7"/>
  <c r="AQ59" i="7"/>
  <c r="AP59" i="7"/>
  <c r="AO59" i="7"/>
  <c r="AN59" i="7"/>
  <c r="AL59" i="7"/>
  <c r="AJ59" i="7"/>
  <c r="AT58" i="7"/>
  <c r="AR58" i="7"/>
  <c r="AQ58" i="7"/>
  <c r="AP58" i="7"/>
  <c r="AO58" i="7"/>
  <c r="AN58" i="7"/>
  <c r="AL58" i="7"/>
  <c r="AJ58" i="7"/>
  <c r="AT57" i="7"/>
  <c r="AR57" i="7"/>
  <c r="AQ57" i="7"/>
  <c r="AP57" i="7"/>
  <c r="AO57" i="7"/>
  <c r="AN57" i="7"/>
  <c r="AL57" i="7"/>
  <c r="AJ57" i="7"/>
  <c r="AT56" i="7"/>
  <c r="AR56" i="7"/>
  <c r="AQ56" i="7"/>
  <c r="AP56" i="7"/>
  <c r="AO56" i="7"/>
  <c r="AN56" i="7"/>
  <c r="AL56" i="7"/>
  <c r="AJ56" i="7"/>
  <c r="AT55" i="7"/>
  <c r="AR55" i="7"/>
  <c r="AQ55" i="7"/>
  <c r="AP55" i="7"/>
  <c r="AO55" i="7"/>
  <c r="AN55" i="7"/>
  <c r="AL55" i="7"/>
  <c r="AJ55" i="7"/>
  <c r="AT54" i="7"/>
  <c r="AR54" i="7"/>
  <c r="AQ54" i="7"/>
  <c r="AP54" i="7"/>
  <c r="AO54" i="7"/>
  <c r="AN54" i="7"/>
  <c r="AL54" i="7"/>
  <c r="AJ54" i="7"/>
  <c r="AT53" i="7"/>
  <c r="AR53" i="7"/>
  <c r="AQ53" i="7"/>
  <c r="AP53" i="7"/>
  <c r="AO53" i="7"/>
  <c r="AN53" i="7"/>
  <c r="AL53" i="7"/>
  <c r="AJ53" i="7"/>
  <c r="AT52" i="7"/>
  <c r="AR52" i="7"/>
  <c r="AQ52" i="7"/>
  <c r="AP52" i="7"/>
  <c r="AO52" i="7"/>
  <c r="AN52" i="7"/>
  <c r="AL52" i="7"/>
  <c r="AJ52" i="7"/>
  <c r="AT51" i="7"/>
  <c r="AR51" i="7"/>
  <c r="AQ51" i="7"/>
  <c r="AP51" i="7"/>
  <c r="AO51" i="7"/>
  <c r="AN51" i="7"/>
  <c r="AL51" i="7"/>
  <c r="AJ51" i="7"/>
  <c r="AT50" i="7"/>
  <c r="AR50" i="7"/>
  <c r="AQ50" i="7"/>
  <c r="AP50" i="7"/>
  <c r="AO50" i="7"/>
  <c r="AN50" i="7"/>
  <c r="AL50" i="7"/>
  <c r="AJ50" i="7"/>
  <c r="AT49" i="7"/>
  <c r="AR49" i="7"/>
  <c r="AQ49" i="7"/>
  <c r="AP49" i="7"/>
  <c r="AO49" i="7"/>
  <c r="AN49" i="7"/>
  <c r="AL49" i="7"/>
  <c r="AJ49" i="7"/>
  <c r="AT48" i="7"/>
  <c r="AR48" i="7"/>
  <c r="AQ48" i="7"/>
  <c r="AP48" i="7"/>
  <c r="AO48" i="7"/>
  <c r="AN48" i="7"/>
  <c r="AL48" i="7"/>
  <c r="AJ48" i="7"/>
  <c r="AT47" i="7"/>
  <c r="AR47" i="7"/>
  <c r="AQ47" i="7"/>
  <c r="AP47" i="7"/>
  <c r="AO47" i="7"/>
  <c r="AN47" i="7"/>
  <c r="AL47" i="7"/>
  <c r="AJ47" i="7"/>
  <c r="AT46" i="7"/>
  <c r="AR46" i="7"/>
  <c r="AQ46" i="7"/>
  <c r="AP46" i="7"/>
  <c r="AO46" i="7"/>
  <c r="AN46" i="7"/>
  <c r="AL46" i="7"/>
  <c r="AJ46" i="7"/>
  <c r="AT45" i="7"/>
  <c r="AR45" i="7"/>
  <c r="AQ45" i="7"/>
  <c r="AP45" i="7"/>
  <c r="AO45" i="7"/>
  <c r="AN45" i="7"/>
  <c r="AL45" i="7"/>
  <c r="AJ45" i="7"/>
  <c r="AT44" i="7"/>
  <c r="AR44" i="7"/>
  <c r="AQ44" i="7"/>
  <c r="AP44" i="7"/>
  <c r="AO44" i="7"/>
  <c r="AN44" i="7"/>
  <c r="AL44" i="7"/>
  <c r="AJ44" i="7"/>
  <c r="AT43" i="7"/>
  <c r="AR43" i="7"/>
  <c r="AQ43" i="7"/>
  <c r="AP43" i="7"/>
  <c r="AO43" i="7"/>
  <c r="AN43" i="7"/>
  <c r="AL43" i="7"/>
  <c r="AJ43" i="7"/>
  <c r="AT42" i="7"/>
  <c r="AR42" i="7"/>
  <c r="AQ42" i="7"/>
  <c r="AP42" i="7"/>
  <c r="AO42" i="7"/>
  <c r="AN42" i="7"/>
  <c r="AL42" i="7"/>
  <c r="AJ42" i="7"/>
  <c r="AT41" i="7"/>
  <c r="AR41" i="7"/>
  <c r="AQ41" i="7"/>
  <c r="AP41" i="7"/>
  <c r="AO41" i="7"/>
  <c r="AN41" i="7"/>
  <c r="AL41" i="7"/>
  <c r="AJ41" i="7"/>
  <c r="AT40" i="7"/>
  <c r="AR40" i="7"/>
  <c r="AQ40" i="7"/>
  <c r="AP40" i="7"/>
  <c r="AO40" i="7"/>
  <c r="AN40" i="7"/>
  <c r="AL40" i="7"/>
  <c r="AJ40" i="7"/>
  <c r="AT39" i="7"/>
  <c r="AR39" i="7"/>
  <c r="AQ39" i="7"/>
  <c r="AP39" i="7"/>
  <c r="AO39" i="7"/>
  <c r="AN39" i="7"/>
  <c r="AL39" i="7"/>
  <c r="AJ39" i="7"/>
  <c r="AT38" i="7"/>
  <c r="AR38" i="7"/>
  <c r="AQ38" i="7"/>
  <c r="AP38" i="7"/>
  <c r="AO38" i="7"/>
  <c r="AN38" i="7"/>
  <c r="AL38" i="7"/>
  <c r="AJ38" i="7"/>
  <c r="AT37" i="7"/>
  <c r="AR37" i="7"/>
  <c r="AQ37" i="7"/>
  <c r="AP37" i="7"/>
  <c r="AO37" i="7"/>
  <c r="AN37" i="7"/>
  <c r="AL37" i="7"/>
  <c r="AJ37" i="7"/>
  <c r="AT36" i="7"/>
  <c r="AR36" i="7"/>
  <c r="AQ36" i="7"/>
  <c r="AP36" i="7"/>
  <c r="AO36" i="7"/>
  <c r="AN36" i="7"/>
  <c r="AL36" i="7"/>
  <c r="AJ36" i="7"/>
  <c r="AT35" i="7"/>
  <c r="AR35" i="7"/>
  <c r="AQ35" i="7"/>
  <c r="AP35" i="7"/>
  <c r="AO35" i="7"/>
  <c r="AN35" i="7"/>
  <c r="AL35" i="7"/>
  <c r="AJ35" i="7"/>
  <c r="AT34" i="7"/>
  <c r="AR34" i="7"/>
  <c r="AQ34" i="7"/>
  <c r="AP34" i="7"/>
  <c r="AO34" i="7"/>
  <c r="AN34" i="7"/>
  <c r="AL34" i="7"/>
  <c r="AJ34" i="7"/>
  <c r="AT33" i="7"/>
  <c r="AR33" i="7"/>
  <c r="AQ33" i="7"/>
  <c r="AP33" i="7"/>
  <c r="AO33" i="7"/>
  <c r="AN33" i="7"/>
  <c r="AL33" i="7"/>
  <c r="AJ33" i="7"/>
  <c r="AT32" i="7"/>
  <c r="AR32" i="7"/>
  <c r="AQ32" i="7"/>
  <c r="AP32" i="7"/>
  <c r="AO32" i="7"/>
  <c r="AN32" i="7"/>
  <c r="AL32" i="7"/>
  <c r="AJ32" i="7"/>
  <c r="AT31" i="7"/>
  <c r="AR31" i="7"/>
  <c r="AQ31" i="7"/>
  <c r="AP31" i="7"/>
  <c r="AO31" i="7"/>
  <c r="AN31" i="7"/>
  <c r="AL31" i="7"/>
  <c r="AJ31" i="7"/>
  <c r="AT30" i="7"/>
  <c r="AR30" i="7"/>
  <c r="AQ30" i="7"/>
  <c r="AP30" i="7"/>
  <c r="AO30" i="7"/>
  <c r="AN30" i="7"/>
  <c r="AL30" i="7"/>
  <c r="AJ30" i="7"/>
  <c r="AT29" i="7"/>
  <c r="AR29" i="7"/>
  <c r="AQ29" i="7"/>
  <c r="AP29" i="7"/>
  <c r="AO29" i="7"/>
  <c r="AN29" i="7"/>
  <c r="AL29" i="7"/>
  <c r="AJ29" i="7"/>
  <c r="AT28" i="7"/>
  <c r="AR28" i="7"/>
  <c r="AQ28" i="7"/>
  <c r="AP28" i="7"/>
  <c r="AO28" i="7"/>
  <c r="AN28" i="7"/>
  <c r="AL28" i="7"/>
  <c r="AJ28" i="7"/>
  <c r="AT27" i="7"/>
  <c r="AR27" i="7"/>
  <c r="AQ27" i="7"/>
  <c r="AP27" i="7"/>
  <c r="AO27" i="7"/>
  <c r="AN27" i="7"/>
  <c r="AL27" i="7"/>
  <c r="AJ27" i="7"/>
  <c r="AT26" i="7"/>
  <c r="AR26" i="7"/>
  <c r="AQ26" i="7"/>
  <c r="AP26" i="7"/>
  <c r="AO26" i="7"/>
  <c r="AN26" i="7"/>
  <c r="AL26" i="7"/>
  <c r="AJ26" i="7"/>
  <c r="AT25" i="7"/>
  <c r="AR25" i="7"/>
  <c r="AQ25" i="7"/>
  <c r="AP25" i="7"/>
  <c r="AO25" i="7"/>
  <c r="AN25" i="7"/>
  <c r="AL25" i="7"/>
  <c r="AJ25" i="7"/>
  <c r="AT24" i="7"/>
  <c r="AR24" i="7"/>
  <c r="AQ24" i="7"/>
  <c r="AP24" i="7"/>
  <c r="AO24" i="7"/>
  <c r="AN24" i="7"/>
  <c r="AL24" i="7"/>
  <c r="AJ24" i="7"/>
  <c r="AT23" i="7"/>
  <c r="AR23" i="7"/>
  <c r="AQ23" i="7"/>
  <c r="AP23" i="7"/>
  <c r="AO23" i="7"/>
  <c r="AN23" i="7"/>
  <c r="AL23" i="7"/>
  <c r="AJ23" i="7"/>
  <c r="AT22" i="7"/>
  <c r="AR22" i="7"/>
  <c r="AQ22" i="7"/>
  <c r="AP22" i="7"/>
  <c r="AO22" i="7"/>
  <c r="AN22" i="7"/>
  <c r="AL22" i="7"/>
  <c r="AJ22" i="7"/>
  <c r="AT21" i="7"/>
  <c r="AR21" i="7"/>
  <c r="AQ21" i="7"/>
  <c r="AP21" i="7"/>
  <c r="AO21" i="7"/>
  <c r="AN21" i="7"/>
  <c r="AL21" i="7"/>
  <c r="AJ21" i="7"/>
  <c r="AT20" i="7"/>
  <c r="AR20" i="7"/>
  <c r="AQ20" i="7"/>
  <c r="AP20" i="7"/>
  <c r="AO20" i="7"/>
  <c r="AN20" i="7"/>
  <c r="AL20" i="7"/>
  <c r="AJ20" i="7"/>
  <c r="AT19" i="7"/>
  <c r="AR19" i="7"/>
  <c r="AQ19" i="7"/>
  <c r="AP19" i="7"/>
  <c r="AO19" i="7"/>
  <c r="AN19" i="7"/>
  <c r="AL19" i="7"/>
  <c r="AJ19" i="7"/>
  <c r="AT18" i="7"/>
  <c r="AR18" i="7"/>
  <c r="AQ18" i="7"/>
  <c r="AP18" i="7"/>
  <c r="AO18" i="7"/>
  <c r="AN18" i="7"/>
  <c r="AL18" i="7"/>
  <c r="AJ18" i="7"/>
  <c r="AT17" i="7"/>
  <c r="AR17" i="7"/>
  <c r="AQ17" i="7"/>
  <c r="AP17" i="7"/>
  <c r="AO17" i="7"/>
  <c r="AN17" i="7"/>
  <c r="AL17" i="7"/>
  <c r="AJ17" i="7"/>
  <c r="AT16" i="7"/>
  <c r="AR16" i="7"/>
  <c r="AQ16" i="7"/>
  <c r="AP16" i="7"/>
  <c r="AO16" i="7"/>
  <c r="AN16" i="7"/>
  <c r="AL16" i="7"/>
  <c r="AJ16" i="7"/>
  <c r="AT15" i="7"/>
  <c r="AR15" i="7"/>
  <c r="AQ15" i="7"/>
  <c r="AP15" i="7"/>
  <c r="AO15" i="7"/>
  <c r="AN15" i="7"/>
  <c r="AL15" i="7"/>
  <c r="AJ15" i="7"/>
  <c r="AT14" i="7"/>
  <c r="AR14" i="7"/>
  <c r="AQ14" i="7"/>
  <c r="AP14" i="7"/>
  <c r="AO14" i="7"/>
  <c r="AN14" i="7"/>
  <c r="AL14" i="7"/>
  <c r="AJ14" i="7"/>
  <c r="AT13" i="7"/>
  <c r="AR13" i="7"/>
  <c r="AQ13" i="7"/>
  <c r="AP13" i="7"/>
  <c r="AO13" i="7"/>
  <c r="AN13" i="7"/>
  <c r="AL13" i="7"/>
  <c r="AJ13" i="7"/>
  <c r="AT12" i="7"/>
  <c r="AR12" i="7"/>
  <c r="AQ12" i="7"/>
  <c r="AP12" i="7"/>
  <c r="AO12" i="7"/>
  <c r="AN12" i="7"/>
  <c r="AL12" i="7"/>
  <c r="AJ12" i="7"/>
  <c r="AT11" i="7"/>
  <c r="AR11" i="7"/>
  <c r="AQ11" i="7"/>
  <c r="AP11" i="7"/>
  <c r="AO11" i="7"/>
  <c r="AN11" i="7"/>
  <c r="AL11" i="7"/>
  <c r="AJ11" i="7"/>
  <c r="AT10" i="7"/>
  <c r="AR10" i="7"/>
  <c r="AQ10" i="7"/>
  <c r="AP10" i="7"/>
  <c r="AO10" i="7"/>
  <c r="AN10" i="7"/>
  <c r="AL10" i="7"/>
  <c r="AJ10" i="7"/>
  <c r="AT9" i="7"/>
  <c r="AR9" i="7"/>
  <c r="AQ9" i="7"/>
  <c r="AP9" i="7"/>
  <c r="AO9" i="7"/>
  <c r="AN9" i="7"/>
  <c r="AL9" i="7"/>
  <c r="AJ9" i="7"/>
  <c r="AT8" i="7"/>
  <c r="AR8" i="7"/>
  <c r="AQ8" i="7"/>
  <c r="AP8" i="7"/>
  <c r="AO8" i="7"/>
  <c r="AN8" i="7"/>
  <c r="AL8" i="7"/>
  <c r="AJ8" i="7"/>
  <c r="AT7" i="7"/>
  <c r="AR7" i="7"/>
  <c r="AQ7" i="7"/>
  <c r="AP7" i="7"/>
  <c r="AO7" i="7"/>
  <c r="AN7" i="7"/>
  <c r="AL7" i="7"/>
  <c r="AJ7" i="7"/>
  <c r="AT6" i="7"/>
  <c r="AR6" i="7"/>
  <c r="AQ6" i="7"/>
  <c r="AP6" i="7"/>
  <c r="AO6" i="7"/>
  <c r="AN6" i="7"/>
  <c r="AL6" i="7"/>
  <c r="AJ6" i="7"/>
  <c r="AT5" i="7"/>
  <c r="AR5" i="7"/>
  <c r="AQ5" i="7"/>
  <c r="AP5" i="7"/>
  <c r="AO5" i="7"/>
  <c r="AN5" i="7"/>
  <c r="AL5" i="7"/>
  <c r="AJ5" i="7"/>
  <c r="AM5" i="7" s="1"/>
  <c r="AT4" i="7"/>
  <c r="AR4" i="7"/>
  <c r="AQ4" i="7"/>
  <c r="AP4" i="7"/>
  <c r="AO4" i="7"/>
  <c r="AN4" i="7"/>
  <c r="AL4" i="7"/>
  <c r="AJ4" i="7"/>
  <c r="L1" i="7"/>
  <c r="D32" i="6"/>
  <c r="C32" i="6"/>
  <c r="D31" i="6"/>
  <c r="C31" i="6"/>
  <c r="BU73" i="5"/>
  <c r="BS73" i="5"/>
  <c r="BR73" i="5"/>
  <c r="BQ73" i="5"/>
  <c r="BP73" i="5"/>
  <c r="BO73" i="5"/>
  <c r="BM73" i="5"/>
  <c r="BK73" i="5"/>
  <c r="AS73" i="5"/>
  <c r="AR73" i="5"/>
  <c r="AQ73" i="5"/>
  <c r="AP73" i="5"/>
  <c r="AJ73" i="5"/>
  <c r="AH73" i="5"/>
  <c r="AG73" i="5"/>
  <c r="AF73" i="5"/>
  <c r="AE73" i="5"/>
  <c r="AD73" i="5"/>
  <c r="AB73" i="5"/>
  <c r="Z73" i="5"/>
  <c r="I73" i="5"/>
  <c r="H73" i="5"/>
  <c r="G73" i="5"/>
  <c r="F73" i="5"/>
  <c r="E73" i="5"/>
  <c r="BU72" i="5"/>
  <c r="BS72" i="5"/>
  <c r="BR72" i="5"/>
  <c r="BQ72" i="5"/>
  <c r="BP72" i="5"/>
  <c r="BO72" i="5"/>
  <c r="BM72" i="5"/>
  <c r="BK72" i="5"/>
  <c r="AS72" i="5"/>
  <c r="AR72" i="5"/>
  <c r="AQ72" i="5"/>
  <c r="AP72" i="5"/>
  <c r="AJ72" i="5"/>
  <c r="AH72" i="5"/>
  <c r="AG72" i="5"/>
  <c r="AF72" i="5"/>
  <c r="AE72" i="5"/>
  <c r="AD72" i="5"/>
  <c r="AB72" i="5"/>
  <c r="Z72" i="5"/>
  <c r="I72" i="5"/>
  <c r="H72" i="5"/>
  <c r="G72" i="5"/>
  <c r="F72" i="5"/>
  <c r="E72" i="5"/>
  <c r="BU71" i="5"/>
  <c r="BS71" i="5"/>
  <c r="BR71" i="5"/>
  <c r="BQ71" i="5"/>
  <c r="BP71" i="5"/>
  <c r="BO71" i="5"/>
  <c r="BM71" i="5"/>
  <c r="BK71" i="5"/>
  <c r="AS71" i="5"/>
  <c r="AR71" i="5"/>
  <c r="AQ71" i="5"/>
  <c r="AP71" i="5"/>
  <c r="AJ71" i="5"/>
  <c r="AH71" i="5"/>
  <c r="AG71" i="5"/>
  <c r="AF71" i="5"/>
  <c r="AE71" i="5"/>
  <c r="AD71" i="5"/>
  <c r="AB71" i="5"/>
  <c r="Z71" i="5"/>
  <c r="I71" i="5"/>
  <c r="H71" i="5"/>
  <c r="G71" i="5"/>
  <c r="F71" i="5"/>
  <c r="E71" i="5"/>
  <c r="BU70" i="5"/>
  <c r="BS70" i="5"/>
  <c r="BR70" i="5"/>
  <c r="BQ70" i="5"/>
  <c r="BP70" i="5"/>
  <c r="BO70" i="5"/>
  <c r="BM70" i="5"/>
  <c r="BK70" i="5"/>
  <c r="AS70" i="5"/>
  <c r="AR70" i="5"/>
  <c r="AQ70" i="5"/>
  <c r="AP70" i="5"/>
  <c r="AJ70" i="5"/>
  <c r="AH70" i="5"/>
  <c r="AG70" i="5"/>
  <c r="AF70" i="5"/>
  <c r="AE70" i="5"/>
  <c r="AD70" i="5"/>
  <c r="AB70" i="5"/>
  <c r="Z70" i="5"/>
  <c r="I70" i="5"/>
  <c r="H70" i="5"/>
  <c r="G70" i="5"/>
  <c r="F70" i="5"/>
  <c r="E70" i="5"/>
  <c r="BU69" i="5"/>
  <c r="BS69" i="5"/>
  <c r="BR69" i="5"/>
  <c r="BQ69" i="5"/>
  <c r="BP69" i="5"/>
  <c r="BO69" i="5"/>
  <c r="BM69" i="5"/>
  <c r="BK69" i="5"/>
  <c r="AS69" i="5"/>
  <c r="AR69" i="5"/>
  <c r="AQ69" i="5"/>
  <c r="AP69" i="5"/>
  <c r="AJ69" i="5"/>
  <c r="AH69" i="5"/>
  <c r="AG69" i="5"/>
  <c r="AF69" i="5"/>
  <c r="AE69" i="5"/>
  <c r="AD69" i="5"/>
  <c r="AB69" i="5"/>
  <c r="Z69" i="5"/>
  <c r="I69" i="5"/>
  <c r="H69" i="5"/>
  <c r="G69" i="5"/>
  <c r="F69" i="5"/>
  <c r="E69" i="5"/>
  <c r="BU68" i="5"/>
  <c r="BS68" i="5"/>
  <c r="BR68" i="5"/>
  <c r="BQ68" i="5"/>
  <c r="BP68" i="5"/>
  <c r="BO68" i="5"/>
  <c r="BM68" i="5"/>
  <c r="BK68" i="5"/>
  <c r="AS68" i="5"/>
  <c r="AR68" i="5"/>
  <c r="AQ68" i="5"/>
  <c r="AP68" i="5"/>
  <c r="AJ68" i="5"/>
  <c r="AH68" i="5"/>
  <c r="AG68" i="5"/>
  <c r="AF68" i="5"/>
  <c r="AE68" i="5"/>
  <c r="AD68" i="5"/>
  <c r="AB68" i="5"/>
  <c r="Z68" i="5"/>
  <c r="I68" i="5"/>
  <c r="H68" i="5"/>
  <c r="G68" i="5"/>
  <c r="F68" i="5"/>
  <c r="E68" i="5"/>
  <c r="BU67" i="5"/>
  <c r="BS67" i="5"/>
  <c r="BR67" i="5"/>
  <c r="BQ67" i="5"/>
  <c r="BP67" i="5"/>
  <c r="BO67" i="5"/>
  <c r="BM67" i="5"/>
  <c r="BK67" i="5"/>
  <c r="AS67" i="5"/>
  <c r="AR67" i="5"/>
  <c r="AQ67" i="5"/>
  <c r="AP67" i="5"/>
  <c r="AJ67" i="5"/>
  <c r="AH67" i="5"/>
  <c r="AG67" i="5"/>
  <c r="AF67" i="5"/>
  <c r="AE67" i="5"/>
  <c r="AD67" i="5"/>
  <c r="AB67" i="5"/>
  <c r="Z67" i="5"/>
  <c r="I67" i="5"/>
  <c r="H67" i="5"/>
  <c r="G67" i="5"/>
  <c r="F67" i="5"/>
  <c r="E67" i="5"/>
  <c r="BU66" i="5"/>
  <c r="BS66" i="5"/>
  <c r="BR66" i="5"/>
  <c r="BQ66" i="5"/>
  <c r="BP66" i="5"/>
  <c r="BO66" i="5"/>
  <c r="BM66" i="5"/>
  <c r="BK66" i="5"/>
  <c r="AS66" i="5"/>
  <c r="AR66" i="5"/>
  <c r="AQ66" i="5"/>
  <c r="AP66" i="5"/>
  <c r="AJ66" i="5"/>
  <c r="AH66" i="5"/>
  <c r="AG66" i="5"/>
  <c r="AF66" i="5"/>
  <c r="AE66" i="5"/>
  <c r="AD66" i="5"/>
  <c r="AB66" i="5"/>
  <c r="Z66" i="5"/>
  <c r="I66" i="5"/>
  <c r="H66" i="5"/>
  <c r="G66" i="5"/>
  <c r="F66" i="5"/>
  <c r="E66" i="5"/>
  <c r="BU65" i="5"/>
  <c r="BS65" i="5"/>
  <c r="BR65" i="5"/>
  <c r="BQ65" i="5"/>
  <c r="BP65" i="5"/>
  <c r="BO65" i="5"/>
  <c r="BM65" i="5"/>
  <c r="BK65" i="5"/>
  <c r="AS65" i="5"/>
  <c r="AR65" i="5"/>
  <c r="AQ65" i="5"/>
  <c r="AP65" i="5"/>
  <c r="AJ65" i="5"/>
  <c r="AH65" i="5"/>
  <c r="AG65" i="5"/>
  <c r="AF65" i="5"/>
  <c r="AE65" i="5"/>
  <c r="AD65" i="5"/>
  <c r="AB65" i="5"/>
  <c r="Z65" i="5"/>
  <c r="I65" i="5"/>
  <c r="H65" i="5"/>
  <c r="G65" i="5"/>
  <c r="F65" i="5"/>
  <c r="E65" i="5"/>
  <c r="BU64" i="5"/>
  <c r="BS64" i="5"/>
  <c r="BR64" i="5"/>
  <c r="BQ64" i="5"/>
  <c r="BP64" i="5"/>
  <c r="BO64" i="5"/>
  <c r="BM64" i="5"/>
  <c r="BK64" i="5"/>
  <c r="AS64" i="5"/>
  <c r="AR64" i="5"/>
  <c r="AQ64" i="5"/>
  <c r="AP64" i="5"/>
  <c r="AJ64" i="5"/>
  <c r="AH64" i="5"/>
  <c r="AG64" i="5"/>
  <c r="AF64" i="5"/>
  <c r="AE64" i="5"/>
  <c r="AD64" i="5"/>
  <c r="AB64" i="5"/>
  <c r="Z64" i="5"/>
  <c r="I64" i="5"/>
  <c r="H64" i="5"/>
  <c r="G64" i="5"/>
  <c r="F64" i="5"/>
  <c r="E64" i="5"/>
  <c r="BU63" i="5"/>
  <c r="BS63" i="5"/>
  <c r="BR63" i="5"/>
  <c r="BQ63" i="5"/>
  <c r="BP63" i="5"/>
  <c r="BO63" i="5"/>
  <c r="BM63" i="5"/>
  <c r="BK63" i="5"/>
  <c r="AS63" i="5"/>
  <c r="AR63" i="5"/>
  <c r="AQ63" i="5"/>
  <c r="AP63" i="5"/>
  <c r="AJ63" i="5"/>
  <c r="AH63" i="5"/>
  <c r="AG63" i="5"/>
  <c r="AF63" i="5"/>
  <c r="AE63" i="5"/>
  <c r="AD63" i="5"/>
  <c r="AB63" i="5"/>
  <c r="Z63" i="5"/>
  <c r="I63" i="5"/>
  <c r="H63" i="5"/>
  <c r="G63" i="5"/>
  <c r="F63" i="5"/>
  <c r="E63" i="5"/>
  <c r="BU62" i="5"/>
  <c r="BS62" i="5"/>
  <c r="BR62" i="5"/>
  <c r="BQ62" i="5"/>
  <c r="BP62" i="5"/>
  <c r="BO62" i="5"/>
  <c r="BM62" i="5"/>
  <c r="BK62" i="5"/>
  <c r="AS62" i="5"/>
  <c r="AR62" i="5"/>
  <c r="AQ62" i="5"/>
  <c r="AP62" i="5"/>
  <c r="AJ62" i="5"/>
  <c r="AH62" i="5"/>
  <c r="AG62" i="5"/>
  <c r="AF62" i="5"/>
  <c r="AE62" i="5"/>
  <c r="AD62" i="5"/>
  <c r="AB62" i="5"/>
  <c r="Z62" i="5"/>
  <c r="I62" i="5"/>
  <c r="H62" i="5"/>
  <c r="G62" i="5"/>
  <c r="F62" i="5"/>
  <c r="E62" i="5"/>
  <c r="BU61" i="5"/>
  <c r="BS61" i="5"/>
  <c r="BR61" i="5"/>
  <c r="BQ61" i="5"/>
  <c r="BP61" i="5"/>
  <c r="BO61" i="5"/>
  <c r="BM61" i="5"/>
  <c r="BK61" i="5"/>
  <c r="AS61" i="5"/>
  <c r="AR61" i="5"/>
  <c r="AQ61" i="5"/>
  <c r="AP61" i="5"/>
  <c r="AJ61" i="5"/>
  <c r="AH61" i="5"/>
  <c r="AG61" i="5"/>
  <c r="AF61" i="5"/>
  <c r="AE61" i="5"/>
  <c r="AD61" i="5"/>
  <c r="AB61" i="5"/>
  <c r="Z61" i="5"/>
  <c r="I61" i="5"/>
  <c r="H61" i="5"/>
  <c r="G61" i="5"/>
  <c r="F61" i="5"/>
  <c r="E61" i="5"/>
  <c r="BU60" i="5"/>
  <c r="BS60" i="5"/>
  <c r="BR60" i="5"/>
  <c r="BQ60" i="5"/>
  <c r="BP60" i="5"/>
  <c r="BO60" i="5"/>
  <c r="BM60" i="5"/>
  <c r="BK60" i="5"/>
  <c r="AS60" i="5"/>
  <c r="AR60" i="5"/>
  <c r="AQ60" i="5"/>
  <c r="AP60" i="5"/>
  <c r="AJ60" i="5"/>
  <c r="AH60" i="5"/>
  <c r="AG60" i="5"/>
  <c r="AF60" i="5"/>
  <c r="AE60" i="5"/>
  <c r="AD60" i="5"/>
  <c r="AB60" i="5"/>
  <c r="Z60" i="5"/>
  <c r="I60" i="5"/>
  <c r="H60" i="5"/>
  <c r="G60" i="5"/>
  <c r="F60" i="5"/>
  <c r="E60" i="5"/>
  <c r="BU59" i="5"/>
  <c r="BS59" i="5"/>
  <c r="BR59" i="5"/>
  <c r="BQ59" i="5"/>
  <c r="BP59" i="5"/>
  <c r="BO59" i="5"/>
  <c r="BM59" i="5"/>
  <c r="BK59" i="5"/>
  <c r="AS59" i="5"/>
  <c r="AR59" i="5"/>
  <c r="AQ59" i="5"/>
  <c r="AP59" i="5"/>
  <c r="AJ59" i="5"/>
  <c r="AH59" i="5"/>
  <c r="AG59" i="5"/>
  <c r="AF59" i="5"/>
  <c r="AE59" i="5"/>
  <c r="AD59" i="5"/>
  <c r="AB59" i="5"/>
  <c r="Z59" i="5"/>
  <c r="I59" i="5"/>
  <c r="H59" i="5"/>
  <c r="G59" i="5"/>
  <c r="F59" i="5"/>
  <c r="E59" i="5"/>
  <c r="BU58" i="5"/>
  <c r="BS58" i="5"/>
  <c r="BR58" i="5"/>
  <c r="BQ58" i="5"/>
  <c r="BP58" i="5"/>
  <c r="BO58" i="5"/>
  <c r="BM58" i="5"/>
  <c r="BK58" i="5"/>
  <c r="AS58" i="5"/>
  <c r="AR58" i="5"/>
  <c r="AQ58" i="5"/>
  <c r="AP58" i="5"/>
  <c r="AJ58" i="5"/>
  <c r="AH58" i="5"/>
  <c r="AG58" i="5"/>
  <c r="AF58" i="5"/>
  <c r="AE58" i="5"/>
  <c r="AD58" i="5"/>
  <c r="AB58" i="5"/>
  <c r="Z58" i="5"/>
  <c r="I58" i="5"/>
  <c r="H58" i="5"/>
  <c r="G58" i="5"/>
  <c r="F58" i="5"/>
  <c r="E58" i="5"/>
  <c r="BU57" i="5"/>
  <c r="BS57" i="5"/>
  <c r="BR57" i="5"/>
  <c r="BQ57" i="5"/>
  <c r="BP57" i="5"/>
  <c r="BO57" i="5"/>
  <c r="BM57" i="5"/>
  <c r="BK57" i="5"/>
  <c r="AS57" i="5"/>
  <c r="AR57" i="5"/>
  <c r="AQ57" i="5"/>
  <c r="AP57" i="5"/>
  <c r="AJ57" i="5"/>
  <c r="AH57" i="5"/>
  <c r="AG57" i="5"/>
  <c r="AF57" i="5"/>
  <c r="AE57" i="5"/>
  <c r="AD57" i="5"/>
  <c r="AB57" i="5"/>
  <c r="Z57" i="5"/>
  <c r="I57" i="5"/>
  <c r="H57" i="5"/>
  <c r="G57" i="5"/>
  <c r="F57" i="5"/>
  <c r="E57" i="5"/>
  <c r="BU56" i="5"/>
  <c r="BS56" i="5"/>
  <c r="BR56" i="5"/>
  <c r="BQ56" i="5"/>
  <c r="BP56" i="5"/>
  <c r="BO56" i="5"/>
  <c r="BM56" i="5"/>
  <c r="BK56" i="5"/>
  <c r="AS56" i="5"/>
  <c r="AR56" i="5"/>
  <c r="AQ56" i="5"/>
  <c r="AP56" i="5"/>
  <c r="AJ56" i="5"/>
  <c r="AH56" i="5"/>
  <c r="AG56" i="5"/>
  <c r="AF56" i="5"/>
  <c r="AE56" i="5"/>
  <c r="AD56" i="5"/>
  <c r="AB56" i="5"/>
  <c r="Z56" i="5"/>
  <c r="I56" i="5"/>
  <c r="H56" i="5"/>
  <c r="G56" i="5"/>
  <c r="F56" i="5"/>
  <c r="E56" i="5"/>
  <c r="BU55" i="5"/>
  <c r="BS55" i="5"/>
  <c r="BR55" i="5"/>
  <c r="BQ55" i="5"/>
  <c r="BP55" i="5"/>
  <c r="BO55" i="5"/>
  <c r="BM55" i="5"/>
  <c r="BK55" i="5"/>
  <c r="AS55" i="5"/>
  <c r="AR55" i="5"/>
  <c r="AQ55" i="5"/>
  <c r="AP55" i="5"/>
  <c r="AJ55" i="5"/>
  <c r="AH55" i="5"/>
  <c r="AG55" i="5"/>
  <c r="AF55" i="5"/>
  <c r="AE55" i="5"/>
  <c r="AD55" i="5"/>
  <c r="AB55" i="5"/>
  <c r="Z55" i="5"/>
  <c r="I55" i="5"/>
  <c r="H55" i="5"/>
  <c r="G55" i="5"/>
  <c r="F55" i="5"/>
  <c r="E55" i="5"/>
  <c r="BU54" i="5"/>
  <c r="BS54" i="5"/>
  <c r="BR54" i="5"/>
  <c r="BQ54" i="5"/>
  <c r="BP54" i="5"/>
  <c r="BO54" i="5"/>
  <c r="BM54" i="5"/>
  <c r="BK54" i="5"/>
  <c r="AS54" i="5"/>
  <c r="AR54" i="5"/>
  <c r="AQ54" i="5"/>
  <c r="AP54" i="5"/>
  <c r="AJ54" i="5"/>
  <c r="AH54" i="5"/>
  <c r="AG54" i="5"/>
  <c r="AF54" i="5"/>
  <c r="AE54" i="5"/>
  <c r="AD54" i="5"/>
  <c r="AB54" i="5"/>
  <c r="Z54" i="5"/>
  <c r="I54" i="5"/>
  <c r="H54" i="5"/>
  <c r="G54" i="5"/>
  <c r="F54" i="5"/>
  <c r="E54" i="5"/>
  <c r="BU53" i="5"/>
  <c r="BS53" i="5"/>
  <c r="BR53" i="5"/>
  <c r="BQ53" i="5"/>
  <c r="BP53" i="5"/>
  <c r="BO53" i="5"/>
  <c r="BM53" i="5"/>
  <c r="BK53" i="5"/>
  <c r="AS53" i="5"/>
  <c r="AR53" i="5"/>
  <c r="AQ53" i="5"/>
  <c r="AP53" i="5"/>
  <c r="AJ53" i="5"/>
  <c r="AH53" i="5"/>
  <c r="AG53" i="5"/>
  <c r="AF53" i="5"/>
  <c r="AE53" i="5"/>
  <c r="AD53" i="5"/>
  <c r="AB53" i="5"/>
  <c r="Z53" i="5"/>
  <c r="I53" i="5"/>
  <c r="H53" i="5"/>
  <c r="G53" i="5"/>
  <c r="F53" i="5"/>
  <c r="E53" i="5"/>
  <c r="BU52" i="5"/>
  <c r="BS52" i="5"/>
  <c r="BR52" i="5"/>
  <c r="BQ52" i="5"/>
  <c r="BP52" i="5"/>
  <c r="BO52" i="5"/>
  <c r="BM52" i="5"/>
  <c r="BK52" i="5"/>
  <c r="AS52" i="5"/>
  <c r="AR52" i="5"/>
  <c r="AQ52" i="5"/>
  <c r="AP52" i="5"/>
  <c r="AJ52" i="5"/>
  <c r="AH52" i="5"/>
  <c r="AG52" i="5"/>
  <c r="AF52" i="5"/>
  <c r="AE52" i="5"/>
  <c r="AD52" i="5"/>
  <c r="AB52" i="5"/>
  <c r="Z52" i="5"/>
  <c r="I52" i="5"/>
  <c r="H52" i="5"/>
  <c r="G52" i="5"/>
  <c r="F52" i="5"/>
  <c r="E52" i="5"/>
  <c r="BU51" i="5"/>
  <c r="BS51" i="5"/>
  <c r="BR51" i="5"/>
  <c r="BQ51" i="5"/>
  <c r="BP51" i="5"/>
  <c r="BO51" i="5"/>
  <c r="BM51" i="5"/>
  <c r="BK51" i="5"/>
  <c r="AS51" i="5"/>
  <c r="AR51" i="5"/>
  <c r="AQ51" i="5"/>
  <c r="AP51" i="5"/>
  <c r="AJ51" i="5"/>
  <c r="AH51" i="5"/>
  <c r="AG51" i="5"/>
  <c r="AF51" i="5"/>
  <c r="AE51" i="5"/>
  <c r="AD51" i="5"/>
  <c r="AB51" i="5"/>
  <c r="Z51" i="5"/>
  <c r="I51" i="5"/>
  <c r="H51" i="5"/>
  <c r="G51" i="5"/>
  <c r="F51" i="5"/>
  <c r="E51" i="5"/>
  <c r="BU50" i="5"/>
  <c r="BS50" i="5"/>
  <c r="BR50" i="5"/>
  <c r="BQ50" i="5"/>
  <c r="BP50" i="5"/>
  <c r="BO50" i="5"/>
  <c r="BM50" i="5"/>
  <c r="BK50" i="5"/>
  <c r="AS50" i="5"/>
  <c r="AR50" i="5"/>
  <c r="AQ50" i="5"/>
  <c r="AP50" i="5"/>
  <c r="AJ50" i="5"/>
  <c r="AH50" i="5"/>
  <c r="AG50" i="5"/>
  <c r="AF50" i="5"/>
  <c r="AE50" i="5"/>
  <c r="AD50" i="5"/>
  <c r="AB50" i="5"/>
  <c r="Z50" i="5"/>
  <c r="I50" i="5"/>
  <c r="H50" i="5"/>
  <c r="G50" i="5"/>
  <c r="F50" i="5"/>
  <c r="E50" i="5"/>
  <c r="BU49" i="5"/>
  <c r="BS49" i="5"/>
  <c r="BR49" i="5"/>
  <c r="BQ49" i="5"/>
  <c r="BP49" i="5"/>
  <c r="BO49" i="5"/>
  <c r="BM49" i="5"/>
  <c r="BK49" i="5"/>
  <c r="AS49" i="5"/>
  <c r="AR49" i="5"/>
  <c r="AQ49" i="5"/>
  <c r="AP49" i="5"/>
  <c r="AJ49" i="5"/>
  <c r="AH49" i="5"/>
  <c r="AG49" i="5"/>
  <c r="AF49" i="5"/>
  <c r="AE49" i="5"/>
  <c r="AD49" i="5"/>
  <c r="AB49" i="5"/>
  <c r="Z49" i="5"/>
  <c r="I49" i="5"/>
  <c r="H49" i="5"/>
  <c r="G49" i="5"/>
  <c r="F49" i="5"/>
  <c r="E49" i="5"/>
  <c r="BU48" i="5"/>
  <c r="BS48" i="5"/>
  <c r="BR48" i="5"/>
  <c r="BQ48" i="5"/>
  <c r="BP48" i="5"/>
  <c r="BO48" i="5"/>
  <c r="BM48" i="5"/>
  <c r="BK48" i="5"/>
  <c r="AS48" i="5"/>
  <c r="AR48" i="5"/>
  <c r="AQ48" i="5"/>
  <c r="AP48" i="5"/>
  <c r="AJ48" i="5"/>
  <c r="AH48" i="5"/>
  <c r="AG48" i="5"/>
  <c r="AF48" i="5"/>
  <c r="AE48" i="5"/>
  <c r="AD48" i="5"/>
  <c r="AB48" i="5"/>
  <c r="Z48" i="5"/>
  <c r="I48" i="5"/>
  <c r="H48" i="5"/>
  <c r="G48" i="5"/>
  <c r="F48" i="5"/>
  <c r="E48" i="5"/>
  <c r="BU47" i="5"/>
  <c r="BS47" i="5"/>
  <c r="BR47" i="5"/>
  <c r="BQ47" i="5"/>
  <c r="BP47" i="5"/>
  <c r="BO47" i="5"/>
  <c r="BM47" i="5"/>
  <c r="BK47" i="5"/>
  <c r="AS47" i="5"/>
  <c r="AR47" i="5"/>
  <c r="AQ47" i="5"/>
  <c r="AP47" i="5"/>
  <c r="AJ47" i="5"/>
  <c r="AH47" i="5"/>
  <c r="AG47" i="5"/>
  <c r="AF47" i="5"/>
  <c r="AE47" i="5"/>
  <c r="AD47" i="5"/>
  <c r="AB47" i="5"/>
  <c r="Z47" i="5"/>
  <c r="I47" i="5"/>
  <c r="H47" i="5"/>
  <c r="G47" i="5"/>
  <c r="F47" i="5"/>
  <c r="E47" i="5"/>
  <c r="BU46" i="5"/>
  <c r="BS46" i="5"/>
  <c r="BR46" i="5"/>
  <c r="BQ46" i="5"/>
  <c r="BP46" i="5"/>
  <c r="BO46" i="5"/>
  <c r="BM46" i="5"/>
  <c r="BK46" i="5"/>
  <c r="AS46" i="5"/>
  <c r="AR46" i="5"/>
  <c r="AQ46" i="5"/>
  <c r="AP46" i="5"/>
  <c r="AJ46" i="5"/>
  <c r="AH46" i="5"/>
  <c r="AG46" i="5"/>
  <c r="AF46" i="5"/>
  <c r="AE46" i="5"/>
  <c r="AD46" i="5"/>
  <c r="AB46" i="5"/>
  <c r="Z46" i="5"/>
  <c r="I46" i="5"/>
  <c r="H46" i="5"/>
  <c r="G46" i="5"/>
  <c r="F46" i="5"/>
  <c r="E46" i="5"/>
  <c r="BU45" i="5"/>
  <c r="BS45" i="5"/>
  <c r="BR45" i="5"/>
  <c r="BQ45" i="5"/>
  <c r="BP45" i="5"/>
  <c r="BO45" i="5"/>
  <c r="BM45" i="5"/>
  <c r="BK45" i="5"/>
  <c r="AS45" i="5"/>
  <c r="AR45" i="5"/>
  <c r="AQ45" i="5"/>
  <c r="AP45" i="5"/>
  <c r="AJ45" i="5"/>
  <c r="AH45" i="5"/>
  <c r="AG45" i="5"/>
  <c r="AF45" i="5"/>
  <c r="AE45" i="5"/>
  <c r="AD45" i="5"/>
  <c r="AB45" i="5"/>
  <c r="Z45" i="5"/>
  <c r="I45" i="5"/>
  <c r="H45" i="5"/>
  <c r="G45" i="5"/>
  <c r="F45" i="5"/>
  <c r="E45" i="5"/>
  <c r="BU44" i="5"/>
  <c r="BS44" i="5"/>
  <c r="BR44" i="5"/>
  <c r="BQ44" i="5"/>
  <c r="BP44" i="5"/>
  <c r="BO44" i="5"/>
  <c r="BM44" i="5"/>
  <c r="BK44" i="5"/>
  <c r="AS44" i="5"/>
  <c r="AR44" i="5"/>
  <c r="AQ44" i="5"/>
  <c r="AP44" i="5"/>
  <c r="AJ44" i="5"/>
  <c r="AH44" i="5"/>
  <c r="AG44" i="5"/>
  <c r="AF44" i="5"/>
  <c r="AE44" i="5"/>
  <c r="AD44" i="5"/>
  <c r="AB44" i="5"/>
  <c r="Z44" i="5"/>
  <c r="I44" i="5"/>
  <c r="H44" i="5"/>
  <c r="G44" i="5"/>
  <c r="F44" i="5"/>
  <c r="E44" i="5"/>
  <c r="BU43" i="5"/>
  <c r="BS43" i="5"/>
  <c r="BR43" i="5"/>
  <c r="BQ43" i="5"/>
  <c r="BP43" i="5"/>
  <c r="BO43" i="5"/>
  <c r="BM43" i="5"/>
  <c r="BK43" i="5"/>
  <c r="AS43" i="5"/>
  <c r="AR43" i="5"/>
  <c r="AQ43" i="5"/>
  <c r="AP43" i="5"/>
  <c r="AJ43" i="5"/>
  <c r="AH43" i="5"/>
  <c r="AG43" i="5"/>
  <c r="AF43" i="5"/>
  <c r="AE43" i="5"/>
  <c r="AD43" i="5"/>
  <c r="AB43" i="5"/>
  <c r="Z43" i="5"/>
  <c r="I43" i="5"/>
  <c r="H43" i="5"/>
  <c r="G43" i="5"/>
  <c r="F43" i="5"/>
  <c r="E43" i="5"/>
  <c r="BU42" i="5"/>
  <c r="BS42" i="5"/>
  <c r="BR42" i="5"/>
  <c r="BQ42" i="5"/>
  <c r="BP42" i="5"/>
  <c r="BO42" i="5"/>
  <c r="BM42" i="5"/>
  <c r="BK42" i="5"/>
  <c r="AS42" i="5"/>
  <c r="AR42" i="5"/>
  <c r="AQ42" i="5"/>
  <c r="AP42" i="5"/>
  <c r="AJ42" i="5"/>
  <c r="AH42" i="5"/>
  <c r="AG42" i="5"/>
  <c r="AF42" i="5"/>
  <c r="AE42" i="5"/>
  <c r="AD42" i="5"/>
  <c r="AB42" i="5"/>
  <c r="Z42" i="5"/>
  <c r="I42" i="5"/>
  <c r="H42" i="5"/>
  <c r="G42" i="5"/>
  <c r="F42" i="5"/>
  <c r="E42" i="5"/>
  <c r="BU41" i="5"/>
  <c r="BS41" i="5"/>
  <c r="BR41" i="5"/>
  <c r="BQ41" i="5"/>
  <c r="BP41" i="5"/>
  <c r="BO41" i="5"/>
  <c r="BM41" i="5"/>
  <c r="BK41" i="5"/>
  <c r="AS41" i="5"/>
  <c r="AR41" i="5"/>
  <c r="AQ41" i="5"/>
  <c r="AP41" i="5"/>
  <c r="AJ41" i="5"/>
  <c r="AH41" i="5"/>
  <c r="AG41" i="5"/>
  <c r="AF41" i="5"/>
  <c r="AE41" i="5"/>
  <c r="AD41" i="5"/>
  <c r="AB41" i="5"/>
  <c r="Z41" i="5"/>
  <c r="I41" i="5"/>
  <c r="H41" i="5"/>
  <c r="G41" i="5"/>
  <c r="F41" i="5"/>
  <c r="E41" i="5"/>
  <c r="BU40" i="5"/>
  <c r="BS40" i="5"/>
  <c r="BR40" i="5"/>
  <c r="BQ40" i="5"/>
  <c r="BP40" i="5"/>
  <c r="BO40" i="5"/>
  <c r="BM40" i="5"/>
  <c r="BK40" i="5"/>
  <c r="AS40" i="5"/>
  <c r="AR40" i="5"/>
  <c r="AQ40" i="5"/>
  <c r="AP40" i="5"/>
  <c r="AJ40" i="5"/>
  <c r="AH40" i="5"/>
  <c r="AG40" i="5"/>
  <c r="AF40" i="5"/>
  <c r="AE40" i="5"/>
  <c r="AD40" i="5"/>
  <c r="AB40" i="5"/>
  <c r="Z40" i="5"/>
  <c r="I40" i="5"/>
  <c r="H40" i="5"/>
  <c r="G40" i="5"/>
  <c r="F40" i="5"/>
  <c r="E40" i="5"/>
  <c r="BU39" i="5"/>
  <c r="BS39" i="5"/>
  <c r="BR39" i="5"/>
  <c r="BQ39" i="5"/>
  <c r="BP39" i="5"/>
  <c r="BO39" i="5"/>
  <c r="BM39" i="5"/>
  <c r="BK39" i="5"/>
  <c r="AS39" i="5"/>
  <c r="AR39" i="5"/>
  <c r="AQ39" i="5"/>
  <c r="AP39" i="5"/>
  <c r="AJ39" i="5"/>
  <c r="AH39" i="5"/>
  <c r="AG39" i="5"/>
  <c r="AF39" i="5"/>
  <c r="AE39" i="5"/>
  <c r="AD39" i="5"/>
  <c r="AB39" i="5"/>
  <c r="Z39" i="5"/>
  <c r="I39" i="5"/>
  <c r="H39" i="5"/>
  <c r="G39" i="5"/>
  <c r="F39" i="5"/>
  <c r="E39" i="5"/>
  <c r="BU38" i="5"/>
  <c r="BS38" i="5"/>
  <c r="BR38" i="5"/>
  <c r="BQ38" i="5"/>
  <c r="BP38" i="5"/>
  <c r="BO38" i="5"/>
  <c r="BM38" i="5"/>
  <c r="BK38" i="5"/>
  <c r="AS38" i="5"/>
  <c r="AR38" i="5"/>
  <c r="AQ38" i="5"/>
  <c r="AP38" i="5"/>
  <c r="AJ38" i="5"/>
  <c r="AH38" i="5"/>
  <c r="AG38" i="5"/>
  <c r="AF38" i="5"/>
  <c r="AE38" i="5"/>
  <c r="AD38" i="5"/>
  <c r="AB38" i="5"/>
  <c r="Z38" i="5"/>
  <c r="I38" i="5"/>
  <c r="H38" i="5"/>
  <c r="G38" i="5"/>
  <c r="F38" i="5"/>
  <c r="E38" i="5"/>
  <c r="BU37" i="5"/>
  <c r="BS37" i="5"/>
  <c r="BR37" i="5"/>
  <c r="BQ37" i="5"/>
  <c r="BP37" i="5"/>
  <c r="BO37" i="5"/>
  <c r="BM37" i="5"/>
  <c r="BK37" i="5"/>
  <c r="AS37" i="5"/>
  <c r="AR37" i="5"/>
  <c r="AQ37" i="5"/>
  <c r="AP37" i="5"/>
  <c r="AJ37" i="5"/>
  <c r="AH37" i="5"/>
  <c r="AG37" i="5"/>
  <c r="AF37" i="5"/>
  <c r="AE37" i="5"/>
  <c r="AD37" i="5"/>
  <c r="AB37" i="5"/>
  <c r="Z37" i="5"/>
  <c r="I37" i="5"/>
  <c r="H37" i="5"/>
  <c r="G37" i="5"/>
  <c r="F37" i="5"/>
  <c r="E37" i="5"/>
  <c r="BU36" i="5"/>
  <c r="BS36" i="5"/>
  <c r="BR36" i="5"/>
  <c r="BQ36" i="5"/>
  <c r="BP36" i="5"/>
  <c r="BO36" i="5"/>
  <c r="BM36" i="5"/>
  <c r="BK36" i="5"/>
  <c r="AS36" i="5"/>
  <c r="AR36" i="5"/>
  <c r="AQ36" i="5"/>
  <c r="AP36" i="5"/>
  <c r="AJ36" i="5"/>
  <c r="AH36" i="5"/>
  <c r="AG36" i="5"/>
  <c r="AF36" i="5"/>
  <c r="AE36" i="5"/>
  <c r="AD36" i="5"/>
  <c r="AB36" i="5"/>
  <c r="Z36" i="5"/>
  <c r="I36" i="5"/>
  <c r="H36" i="5"/>
  <c r="G36" i="5"/>
  <c r="F36" i="5"/>
  <c r="E36" i="5"/>
  <c r="BU35" i="5"/>
  <c r="BS35" i="5"/>
  <c r="BR35" i="5"/>
  <c r="BQ35" i="5"/>
  <c r="BP35" i="5"/>
  <c r="BO35" i="5"/>
  <c r="BM35" i="5"/>
  <c r="BK35" i="5"/>
  <c r="AS35" i="5"/>
  <c r="AR35" i="5"/>
  <c r="AQ35" i="5"/>
  <c r="AP35" i="5"/>
  <c r="AJ35" i="5"/>
  <c r="AH35" i="5"/>
  <c r="AG35" i="5"/>
  <c r="AF35" i="5"/>
  <c r="AE35" i="5"/>
  <c r="AD35" i="5"/>
  <c r="AB35" i="5"/>
  <c r="Z35" i="5"/>
  <c r="I35" i="5"/>
  <c r="H35" i="5"/>
  <c r="G35" i="5"/>
  <c r="F35" i="5"/>
  <c r="E35" i="5"/>
  <c r="BU34" i="5"/>
  <c r="BS34" i="5"/>
  <c r="BR34" i="5"/>
  <c r="BQ34" i="5"/>
  <c r="BP34" i="5"/>
  <c r="BO34" i="5"/>
  <c r="BM34" i="5"/>
  <c r="BK34" i="5"/>
  <c r="AS34" i="5"/>
  <c r="AR34" i="5"/>
  <c r="AQ34" i="5"/>
  <c r="AP34" i="5"/>
  <c r="AJ34" i="5"/>
  <c r="AH34" i="5"/>
  <c r="AG34" i="5"/>
  <c r="AF34" i="5"/>
  <c r="AE34" i="5"/>
  <c r="AD34" i="5"/>
  <c r="AB34" i="5"/>
  <c r="Z34" i="5"/>
  <c r="I34" i="5"/>
  <c r="H34" i="5"/>
  <c r="G34" i="5"/>
  <c r="F34" i="5"/>
  <c r="E34" i="5"/>
  <c r="BU33" i="5"/>
  <c r="BS33" i="5"/>
  <c r="BR33" i="5"/>
  <c r="BQ33" i="5"/>
  <c r="BP33" i="5"/>
  <c r="BO33" i="5"/>
  <c r="BM33" i="5"/>
  <c r="BK33" i="5"/>
  <c r="AS33" i="5"/>
  <c r="AR33" i="5"/>
  <c r="AQ33" i="5"/>
  <c r="AP33" i="5"/>
  <c r="AJ33" i="5"/>
  <c r="AH33" i="5"/>
  <c r="AG33" i="5"/>
  <c r="AF33" i="5"/>
  <c r="AE33" i="5"/>
  <c r="AD33" i="5"/>
  <c r="AB33" i="5"/>
  <c r="Z33" i="5"/>
  <c r="I33" i="5"/>
  <c r="H33" i="5"/>
  <c r="G33" i="5"/>
  <c r="F33" i="5"/>
  <c r="E33" i="5"/>
  <c r="BU32" i="5"/>
  <c r="BS32" i="5"/>
  <c r="BR32" i="5"/>
  <c r="BQ32" i="5"/>
  <c r="BP32" i="5"/>
  <c r="BO32" i="5"/>
  <c r="BM32" i="5"/>
  <c r="BK32" i="5"/>
  <c r="AS32" i="5"/>
  <c r="AR32" i="5"/>
  <c r="AQ32" i="5"/>
  <c r="AP32" i="5"/>
  <c r="AJ32" i="5"/>
  <c r="AH32" i="5"/>
  <c r="AG32" i="5"/>
  <c r="AF32" i="5"/>
  <c r="AE32" i="5"/>
  <c r="AD32" i="5"/>
  <c r="AB32" i="5"/>
  <c r="Z32" i="5"/>
  <c r="I32" i="5"/>
  <c r="H32" i="5"/>
  <c r="G32" i="5"/>
  <c r="F32" i="5"/>
  <c r="E32" i="5"/>
  <c r="BU31" i="5"/>
  <c r="BS31" i="5"/>
  <c r="BR31" i="5"/>
  <c r="BQ31" i="5"/>
  <c r="BP31" i="5"/>
  <c r="BO31" i="5"/>
  <c r="BM31" i="5"/>
  <c r="BK31" i="5"/>
  <c r="AS31" i="5"/>
  <c r="AR31" i="5"/>
  <c r="AQ31" i="5"/>
  <c r="AP31" i="5"/>
  <c r="AJ31" i="5"/>
  <c r="AH31" i="5"/>
  <c r="AG31" i="5"/>
  <c r="AF31" i="5"/>
  <c r="AE31" i="5"/>
  <c r="AD31" i="5"/>
  <c r="AB31" i="5"/>
  <c r="Z31" i="5"/>
  <c r="I31" i="5"/>
  <c r="H31" i="5"/>
  <c r="G31" i="5"/>
  <c r="F31" i="5"/>
  <c r="E31" i="5"/>
  <c r="BU30" i="5"/>
  <c r="BS30" i="5"/>
  <c r="BR30" i="5"/>
  <c r="BQ30" i="5"/>
  <c r="BP30" i="5"/>
  <c r="BO30" i="5"/>
  <c r="BM30" i="5"/>
  <c r="BK30" i="5"/>
  <c r="AS30" i="5"/>
  <c r="AR30" i="5"/>
  <c r="AQ30" i="5"/>
  <c r="AP30" i="5"/>
  <c r="AJ30" i="5"/>
  <c r="AH30" i="5"/>
  <c r="AG30" i="5"/>
  <c r="AF30" i="5"/>
  <c r="AE30" i="5"/>
  <c r="AD30" i="5"/>
  <c r="AB30" i="5"/>
  <c r="Z30" i="5"/>
  <c r="I30" i="5"/>
  <c r="H30" i="5"/>
  <c r="G30" i="5"/>
  <c r="F30" i="5"/>
  <c r="E30" i="5"/>
  <c r="BU29" i="5"/>
  <c r="BS29" i="5"/>
  <c r="BR29" i="5"/>
  <c r="BQ29" i="5"/>
  <c r="BP29" i="5"/>
  <c r="BO29" i="5"/>
  <c r="BM29" i="5"/>
  <c r="BK29" i="5"/>
  <c r="AS29" i="5"/>
  <c r="AR29" i="5"/>
  <c r="AQ29" i="5"/>
  <c r="AP29" i="5"/>
  <c r="AJ29" i="5"/>
  <c r="AH29" i="5"/>
  <c r="AG29" i="5"/>
  <c r="AF29" i="5"/>
  <c r="AE29" i="5"/>
  <c r="AD29" i="5"/>
  <c r="AB29" i="5"/>
  <c r="Z29" i="5"/>
  <c r="I29" i="5"/>
  <c r="H29" i="5"/>
  <c r="G29" i="5"/>
  <c r="F29" i="5"/>
  <c r="E29" i="5"/>
  <c r="BU28" i="5"/>
  <c r="BS28" i="5"/>
  <c r="BR28" i="5"/>
  <c r="BQ28" i="5"/>
  <c r="BP28" i="5"/>
  <c r="BO28" i="5"/>
  <c r="BM28" i="5"/>
  <c r="BK28" i="5"/>
  <c r="AS28" i="5"/>
  <c r="AR28" i="5"/>
  <c r="AQ28" i="5"/>
  <c r="AP28" i="5"/>
  <c r="AJ28" i="5"/>
  <c r="AH28" i="5"/>
  <c r="AG28" i="5"/>
  <c r="AF28" i="5"/>
  <c r="AE28" i="5"/>
  <c r="AD28" i="5"/>
  <c r="AB28" i="5"/>
  <c r="Z28" i="5"/>
  <c r="I28" i="5"/>
  <c r="H28" i="5"/>
  <c r="G28" i="5"/>
  <c r="F28" i="5"/>
  <c r="E28" i="5"/>
  <c r="BU27" i="5"/>
  <c r="BS27" i="5"/>
  <c r="BR27" i="5"/>
  <c r="BQ27" i="5"/>
  <c r="BP27" i="5"/>
  <c r="BO27" i="5"/>
  <c r="BM27" i="5"/>
  <c r="BK27" i="5"/>
  <c r="AS27" i="5"/>
  <c r="AR27" i="5"/>
  <c r="AQ27" i="5"/>
  <c r="AP27" i="5"/>
  <c r="AJ27" i="5"/>
  <c r="AH27" i="5"/>
  <c r="AG27" i="5"/>
  <c r="AF27" i="5"/>
  <c r="AE27" i="5"/>
  <c r="AD27" i="5"/>
  <c r="AB27" i="5"/>
  <c r="Z27" i="5"/>
  <c r="I27" i="5"/>
  <c r="H27" i="5"/>
  <c r="G27" i="5"/>
  <c r="F27" i="5"/>
  <c r="E27" i="5"/>
  <c r="BU26" i="5"/>
  <c r="BS26" i="5"/>
  <c r="BR26" i="5"/>
  <c r="BQ26" i="5"/>
  <c r="BP26" i="5"/>
  <c r="BO26" i="5"/>
  <c r="BM26" i="5"/>
  <c r="BK26" i="5"/>
  <c r="AS26" i="5"/>
  <c r="AR26" i="5"/>
  <c r="AQ26" i="5"/>
  <c r="AP26" i="5"/>
  <c r="AJ26" i="5"/>
  <c r="AH26" i="5"/>
  <c r="AG26" i="5"/>
  <c r="AF26" i="5"/>
  <c r="AE26" i="5"/>
  <c r="AD26" i="5"/>
  <c r="AB26" i="5"/>
  <c r="Z26" i="5"/>
  <c r="I26" i="5"/>
  <c r="H26" i="5"/>
  <c r="G26" i="5"/>
  <c r="F26" i="5"/>
  <c r="E26" i="5"/>
  <c r="BU25" i="5"/>
  <c r="BS25" i="5"/>
  <c r="BR25" i="5"/>
  <c r="BQ25" i="5"/>
  <c r="BP25" i="5"/>
  <c r="BO25" i="5"/>
  <c r="BM25" i="5"/>
  <c r="BK25" i="5"/>
  <c r="AS25" i="5"/>
  <c r="AR25" i="5"/>
  <c r="AQ25" i="5"/>
  <c r="AP25" i="5"/>
  <c r="AJ25" i="5"/>
  <c r="AH25" i="5"/>
  <c r="AG25" i="5"/>
  <c r="AF25" i="5"/>
  <c r="AE25" i="5"/>
  <c r="AD25" i="5"/>
  <c r="AB25" i="5"/>
  <c r="Z25" i="5"/>
  <c r="I25" i="5"/>
  <c r="H25" i="5"/>
  <c r="G25" i="5"/>
  <c r="F25" i="5"/>
  <c r="E25" i="5"/>
  <c r="BU24" i="5"/>
  <c r="BS24" i="5"/>
  <c r="BR24" i="5"/>
  <c r="BQ24" i="5"/>
  <c r="BP24" i="5"/>
  <c r="BO24" i="5"/>
  <c r="BM24" i="5"/>
  <c r="BK24" i="5"/>
  <c r="AS24" i="5"/>
  <c r="AR24" i="5"/>
  <c r="AQ24" i="5"/>
  <c r="AP24" i="5"/>
  <c r="AJ24" i="5"/>
  <c r="AH24" i="5"/>
  <c r="AG24" i="5"/>
  <c r="AF24" i="5"/>
  <c r="AE24" i="5"/>
  <c r="AD24" i="5"/>
  <c r="AB24" i="5"/>
  <c r="Z24" i="5"/>
  <c r="I24" i="5"/>
  <c r="H24" i="5"/>
  <c r="G24" i="5"/>
  <c r="F24" i="5"/>
  <c r="E24" i="5"/>
  <c r="BU23" i="5"/>
  <c r="BS23" i="5"/>
  <c r="BR23" i="5"/>
  <c r="BQ23" i="5"/>
  <c r="BP23" i="5"/>
  <c r="BO23" i="5"/>
  <c r="BM23" i="5"/>
  <c r="BK23" i="5"/>
  <c r="AS23" i="5"/>
  <c r="AR23" i="5"/>
  <c r="AQ23" i="5"/>
  <c r="AP23" i="5"/>
  <c r="AJ23" i="5"/>
  <c r="AH23" i="5"/>
  <c r="AG23" i="5"/>
  <c r="AF23" i="5"/>
  <c r="AE23" i="5"/>
  <c r="AD23" i="5"/>
  <c r="AB23" i="5"/>
  <c r="Z23" i="5"/>
  <c r="I23" i="5"/>
  <c r="H23" i="5"/>
  <c r="G23" i="5"/>
  <c r="F23" i="5"/>
  <c r="E23" i="5"/>
  <c r="BU22" i="5"/>
  <c r="BS22" i="5"/>
  <c r="BR22" i="5"/>
  <c r="BQ22" i="5"/>
  <c r="BP22" i="5"/>
  <c r="BO22" i="5"/>
  <c r="BM22" i="5"/>
  <c r="BK22" i="5"/>
  <c r="AS22" i="5"/>
  <c r="AR22" i="5"/>
  <c r="AQ22" i="5"/>
  <c r="AP22" i="5"/>
  <c r="AJ22" i="5"/>
  <c r="AH22" i="5"/>
  <c r="AG22" i="5"/>
  <c r="AF22" i="5"/>
  <c r="AE22" i="5"/>
  <c r="AD22" i="5"/>
  <c r="AB22" i="5"/>
  <c r="Z22" i="5"/>
  <c r="I22" i="5"/>
  <c r="H22" i="5"/>
  <c r="G22" i="5"/>
  <c r="F22" i="5"/>
  <c r="E22" i="5"/>
  <c r="BU21" i="5"/>
  <c r="BS21" i="5"/>
  <c r="BR21" i="5"/>
  <c r="BQ21" i="5"/>
  <c r="BP21" i="5"/>
  <c r="BO21" i="5"/>
  <c r="BM21" i="5"/>
  <c r="BK21" i="5"/>
  <c r="AS21" i="5"/>
  <c r="AR21" i="5"/>
  <c r="AQ21" i="5"/>
  <c r="AP21" i="5"/>
  <c r="AJ21" i="5"/>
  <c r="AH21" i="5"/>
  <c r="AG21" i="5"/>
  <c r="AF21" i="5"/>
  <c r="AE21" i="5"/>
  <c r="AD21" i="5"/>
  <c r="AB21" i="5"/>
  <c r="Z21" i="5"/>
  <c r="I21" i="5"/>
  <c r="H21" i="5"/>
  <c r="G21" i="5"/>
  <c r="F21" i="5"/>
  <c r="E21" i="5"/>
  <c r="BU20" i="5"/>
  <c r="BS20" i="5"/>
  <c r="BR20" i="5"/>
  <c r="BQ20" i="5"/>
  <c r="BP20" i="5"/>
  <c r="BO20" i="5"/>
  <c r="BM20" i="5"/>
  <c r="BK20" i="5"/>
  <c r="AS20" i="5"/>
  <c r="AR20" i="5"/>
  <c r="AQ20" i="5"/>
  <c r="AP20" i="5"/>
  <c r="AJ20" i="5"/>
  <c r="AH20" i="5"/>
  <c r="AG20" i="5"/>
  <c r="AF20" i="5"/>
  <c r="AE20" i="5"/>
  <c r="AD20" i="5"/>
  <c r="AB20" i="5"/>
  <c r="Z20" i="5"/>
  <c r="I20" i="5"/>
  <c r="H20" i="5"/>
  <c r="G20" i="5"/>
  <c r="F20" i="5"/>
  <c r="E20" i="5"/>
  <c r="BU19" i="5"/>
  <c r="BS19" i="5"/>
  <c r="BR19" i="5"/>
  <c r="BQ19" i="5"/>
  <c r="BP19" i="5"/>
  <c r="BO19" i="5"/>
  <c r="BM19" i="5"/>
  <c r="BK19" i="5"/>
  <c r="AS19" i="5"/>
  <c r="AR19" i="5"/>
  <c r="AQ19" i="5"/>
  <c r="AP19" i="5"/>
  <c r="AJ19" i="5"/>
  <c r="AH19" i="5"/>
  <c r="AG19" i="5"/>
  <c r="AF19" i="5"/>
  <c r="AE19" i="5"/>
  <c r="AD19" i="5"/>
  <c r="AB19" i="5"/>
  <c r="Z19" i="5"/>
  <c r="I19" i="5"/>
  <c r="H19" i="5"/>
  <c r="G19" i="5"/>
  <c r="F19" i="5"/>
  <c r="E19" i="5"/>
  <c r="BU18" i="5"/>
  <c r="BS18" i="5"/>
  <c r="BR18" i="5"/>
  <c r="BQ18" i="5"/>
  <c r="BP18" i="5"/>
  <c r="BO18" i="5"/>
  <c r="BM18" i="5"/>
  <c r="BK18" i="5"/>
  <c r="AS18" i="5"/>
  <c r="AR18" i="5"/>
  <c r="AQ18" i="5"/>
  <c r="AP18" i="5"/>
  <c r="AJ18" i="5"/>
  <c r="AH18" i="5"/>
  <c r="AG18" i="5"/>
  <c r="AF18" i="5"/>
  <c r="AE18" i="5"/>
  <c r="AD18" i="5"/>
  <c r="AB18" i="5"/>
  <c r="Z18" i="5"/>
  <c r="I18" i="5"/>
  <c r="H18" i="5"/>
  <c r="G18" i="5"/>
  <c r="F18" i="5"/>
  <c r="E18" i="5"/>
  <c r="BU17" i="5"/>
  <c r="BS17" i="5"/>
  <c r="BR17" i="5"/>
  <c r="BQ17" i="5"/>
  <c r="BP17" i="5"/>
  <c r="BO17" i="5"/>
  <c r="BM17" i="5"/>
  <c r="BK17" i="5"/>
  <c r="AS17" i="5"/>
  <c r="AR17" i="5"/>
  <c r="AQ17" i="5"/>
  <c r="AP17" i="5"/>
  <c r="AJ17" i="5"/>
  <c r="AH17" i="5"/>
  <c r="AG17" i="5"/>
  <c r="AF17" i="5"/>
  <c r="AE17" i="5"/>
  <c r="AD17" i="5"/>
  <c r="AB17" i="5"/>
  <c r="Z17" i="5"/>
  <c r="I17" i="5"/>
  <c r="H17" i="5"/>
  <c r="G17" i="5"/>
  <c r="F17" i="5"/>
  <c r="E17" i="5"/>
  <c r="BU16" i="5"/>
  <c r="BS16" i="5"/>
  <c r="BR16" i="5"/>
  <c r="BQ16" i="5"/>
  <c r="BP16" i="5"/>
  <c r="BO16" i="5"/>
  <c r="BM16" i="5"/>
  <c r="BK16" i="5"/>
  <c r="AS16" i="5"/>
  <c r="AR16" i="5"/>
  <c r="AQ16" i="5"/>
  <c r="AP16" i="5"/>
  <c r="AJ16" i="5"/>
  <c r="AH16" i="5"/>
  <c r="AG16" i="5"/>
  <c r="AF16" i="5"/>
  <c r="AE16" i="5"/>
  <c r="AD16" i="5"/>
  <c r="AB16" i="5"/>
  <c r="Z16" i="5"/>
  <c r="I16" i="5"/>
  <c r="H16" i="5"/>
  <c r="G16" i="5"/>
  <c r="F16" i="5"/>
  <c r="E16" i="5"/>
  <c r="BU15" i="5"/>
  <c r="BS15" i="5"/>
  <c r="BR15" i="5"/>
  <c r="BQ15" i="5"/>
  <c r="BP15" i="5"/>
  <c r="BO15" i="5"/>
  <c r="BM15" i="5"/>
  <c r="BK15" i="5"/>
  <c r="AS15" i="5"/>
  <c r="AR15" i="5"/>
  <c r="AQ15" i="5"/>
  <c r="AP15" i="5"/>
  <c r="AJ15" i="5"/>
  <c r="AH15" i="5"/>
  <c r="AG15" i="5"/>
  <c r="AF15" i="5"/>
  <c r="AE15" i="5"/>
  <c r="AD15" i="5"/>
  <c r="AB15" i="5"/>
  <c r="Z15" i="5"/>
  <c r="I15" i="5"/>
  <c r="H15" i="5"/>
  <c r="G15" i="5"/>
  <c r="F15" i="5"/>
  <c r="E15" i="5"/>
  <c r="BU14" i="5"/>
  <c r="BS14" i="5"/>
  <c r="BR14" i="5"/>
  <c r="BQ14" i="5"/>
  <c r="BP14" i="5"/>
  <c r="BO14" i="5"/>
  <c r="BM14" i="5"/>
  <c r="BK14" i="5"/>
  <c r="AS14" i="5"/>
  <c r="AR14" i="5"/>
  <c r="AQ14" i="5"/>
  <c r="AP14" i="5"/>
  <c r="AJ14" i="5"/>
  <c r="AH14" i="5"/>
  <c r="AG14" i="5"/>
  <c r="AF14" i="5"/>
  <c r="AE14" i="5"/>
  <c r="AD14" i="5"/>
  <c r="AB14" i="5"/>
  <c r="Z14" i="5"/>
  <c r="I14" i="5"/>
  <c r="H14" i="5"/>
  <c r="G14" i="5"/>
  <c r="F14" i="5"/>
  <c r="E14" i="5"/>
  <c r="BU13" i="5"/>
  <c r="BS13" i="5"/>
  <c r="BR13" i="5"/>
  <c r="BQ13" i="5"/>
  <c r="BP13" i="5"/>
  <c r="BO13" i="5"/>
  <c r="BM13" i="5"/>
  <c r="BK13" i="5"/>
  <c r="AS13" i="5"/>
  <c r="AR13" i="5"/>
  <c r="AQ13" i="5"/>
  <c r="AP13" i="5"/>
  <c r="AJ13" i="5"/>
  <c r="AH13" i="5"/>
  <c r="AG13" i="5"/>
  <c r="AF13" i="5"/>
  <c r="AE13" i="5"/>
  <c r="AD13" i="5"/>
  <c r="AB13" i="5"/>
  <c r="Z13" i="5"/>
  <c r="I13" i="5"/>
  <c r="H13" i="5"/>
  <c r="G13" i="5"/>
  <c r="F13" i="5"/>
  <c r="E13" i="5"/>
  <c r="BU12" i="5"/>
  <c r="BS12" i="5"/>
  <c r="BR12" i="5"/>
  <c r="BQ12" i="5"/>
  <c r="BP12" i="5"/>
  <c r="BO12" i="5"/>
  <c r="BM12" i="5"/>
  <c r="BK12" i="5"/>
  <c r="AS12" i="5"/>
  <c r="AR12" i="5"/>
  <c r="AQ12" i="5"/>
  <c r="AP12" i="5"/>
  <c r="AJ12" i="5"/>
  <c r="AH12" i="5"/>
  <c r="AG12" i="5"/>
  <c r="AF12" i="5"/>
  <c r="AE12" i="5"/>
  <c r="AD12" i="5"/>
  <c r="AB12" i="5"/>
  <c r="Z12" i="5"/>
  <c r="I12" i="5"/>
  <c r="H12" i="5"/>
  <c r="G12" i="5"/>
  <c r="F12" i="5"/>
  <c r="E12" i="5"/>
  <c r="BU11" i="5"/>
  <c r="BS11" i="5"/>
  <c r="BR11" i="5"/>
  <c r="BQ11" i="5"/>
  <c r="BP11" i="5"/>
  <c r="BO11" i="5"/>
  <c r="BM11" i="5"/>
  <c r="BK11" i="5"/>
  <c r="AS11" i="5"/>
  <c r="AR11" i="5"/>
  <c r="AQ11" i="5"/>
  <c r="AP11" i="5"/>
  <c r="AJ11" i="5"/>
  <c r="AH11" i="5"/>
  <c r="AG11" i="5"/>
  <c r="AF11" i="5"/>
  <c r="AE11" i="5"/>
  <c r="AD11" i="5"/>
  <c r="AB11" i="5"/>
  <c r="Z11" i="5"/>
  <c r="I11" i="5"/>
  <c r="H11" i="5"/>
  <c r="G11" i="5"/>
  <c r="F11" i="5"/>
  <c r="E11" i="5"/>
  <c r="BU10" i="5"/>
  <c r="BS10" i="5"/>
  <c r="BR10" i="5"/>
  <c r="BQ10" i="5"/>
  <c r="BP10" i="5"/>
  <c r="BO10" i="5"/>
  <c r="BM10" i="5"/>
  <c r="BK10" i="5"/>
  <c r="AS10" i="5"/>
  <c r="AR10" i="5"/>
  <c r="AQ10" i="5"/>
  <c r="AP10" i="5"/>
  <c r="AJ10" i="5"/>
  <c r="AH10" i="5"/>
  <c r="AG10" i="5"/>
  <c r="AF10" i="5"/>
  <c r="AE10" i="5"/>
  <c r="AD10" i="5"/>
  <c r="AB10" i="5"/>
  <c r="Z10" i="5"/>
  <c r="I10" i="5"/>
  <c r="H10" i="5"/>
  <c r="G10" i="5"/>
  <c r="F10" i="5"/>
  <c r="E10" i="5"/>
  <c r="BU9" i="5"/>
  <c r="BS9" i="5"/>
  <c r="BR9" i="5"/>
  <c r="BQ9" i="5"/>
  <c r="BP9" i="5"/>
  <c r="BO9" i="5"/>
  <c r="BM9" i="5"/>
  <c r="BK9" i="5"/>
  <c r="AS9" i="5"/>
  <c r="AR9" i="5"/>
  <c r="AQ9" i="5"/>
  <c r="AP9" i="5"/>
  <c r="AJ9" i="5"/>
  <c r="AH9" i="5"/>
  <c r="AG9" i="5"/>
  <c r="AF9" i="5"/>
  <c r="AE9" i="5"/>
  <c r="AD9" i="5"/>
  <c r="AB9" i="5"/>
  <c r="Z9" i="5"/>
  <c r="I9" i="5"/>
  <c r="H9" i="5"/>
  <c r="G9" i="5"/>
  <c r="F9" i="5"/>
  <c r="E9" i="5"/>
  <c r="BU8" i="5"/>
  <c r="BS8" i="5"/>
  <c r="BR8" i="5"/>
  <c r="BQ8" i="5"/>
  <c r="BP8" i="5"/>
  <c r="BO8" i="5"/>
  <c r="BM8" i="5"/>
  <c r="BK8" i="5"/>
  <c r="AS8" i="5"/>
  <c r="AR8" i="5"/>
  <c r="AQ8" i="5"/>
  <c r="AP8" i="5"/>
  <c r="AJ8" i="5"/>
  <c r="AH8" i="5"/>
  <c r="AG8" i="5"/>
  <c r="AF8" i="5"/>
  <c r="AE8" i="5"/>
  <c r="AD8" i="5"/>
  <c r="AB8" i="5"/>
  <c r="Z8" i="5"/>
  <c r="I8" i="5"/>
  <c r="H8" i="5"/>
  <c r="G8" i="5"/>
  <c r="F8" i="5"/>
  <c r="E8" i="5"/>
  <c r="BU7" i="5"/>
  <c r="BS7" i="5"/>
  <c r="BR7" i="5"/>
  <c r="BQ7" i="5"/>
  <c r="BP7" i="5"/>
  <c r="BO7" i="5"/>
  <c r="BM7" i="5"/>
  <c r="BK7" i="5"/>
  <c r="BN7" i="5" s="1"/>
  <c r="AS7" i="5"/>
  <c r="AR7" i="5"/>
  <c r="AQ7" i="5"/>
  <c r="AP7" i="5"/>
  <c r="AJ7" i="5"/>
  <c r="AH7" i="5"/>
  <c r="AG7" i="5"/>
  <c r="AF7" i="5"/>
  <c r="AE7" i="5"/>
  <c r="AD7" i="5"/>
  <c r="AB7" i="5"/>
  <c r="Z7" i="5"/>
  <c r="AC7" i="5" s="1"/>
  <c r="I7" i="5"/>
  <c r="H7" i="5"/>
  <c r="G7" i="5"/>
  <c r="F7" i="5"/>
  <c r="E7" i="5"/>
  <c r="BU6" i="5"/>
  <c r="BS6" i="5"/>
  <c r="BR6" i="5"/>
  <c r="BQ6" i="5"/>
  <c r="BP6" i="5"/>
  <c r="BO6" i="5"/>
  <c r="BM6" i="5"/>
  <c r="BK6" i="5"/>
  <c r="AS6" i="5"/>
  <c r="AR6" i="5"/>
  <c r="AQ6" i="5"/>
  <c r="AP6" i="5"/>
  <c r="AJ6" i="5"/>
  <c r="AH6" i="5"/>
  <c r="AG6" i="5"/>
  <c r="AF6" i="5"/>
  <c r="AE6" i="5"/>
  <c r="AD6" i="5"/>
  <c r="AB6" i="5"/>
  <c r="Z6" i="5"/>
  <c r="I6" i="5"/>
  <c r="H6" i="5"/>
  <c r="G6" i="5"/>
  <c r="F6" i="5"/>
  <c r="E6" i="5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D88" i="4"/>
  <c r="G88" i="4" s="1"/>
  <c r="C88" i="4"/>
  <c r="B88" i="4"/>
  <c r="D87" i="4"/>
  <c r="G87" i="4" s="1"/>
  <c r="C87" i="4"/>
  <c r="B87" i="4"/>
  <c r="D86" i="4"/>
  <c r="G86" i="4" s="1"/>
  <c r="C86" i="4"/>
  <c r="B86" i="4"/>
  <c r="D85" i="4"/>
  <c r="G85" i="4" s="1"/>
  <c r="C85" i="4"/>
  <c r="B85" i="4"/>
  <c r="D84" i="4"/>
  <c r="G84" i="4" s="1"/>
  <c r="C84" i="4"/>
  <c r="B84" i="4"/>
  <c r="D83" i="4"/>
  <c r="G83" i="4" s="1"/>
  <c r="C83" i="4"/>
  <c r="B83" i="4"/>
  <c r="D82" i="4"/>
  <c r="G82" i="4" s="1"/>
  <c r="C82" i="4"/>
  <c r="B82" i="4"/>
  <c r="D81" i="4"/>
  <c r="G81" i="4" s="1"/>
  <c r="C81" i="4"/>
  <c r="B81" i="4"/>
  <c r="D80" i="4"/>
  <c r="G80" i="4" s="1"/>
  <c r="C80" i="4"/>
  <c r="B80" i="4"/>
  <c r="D79" i="4"/>
  <c r="G79" i="4" s="1"/>
  <c r="C79" i="4"/>
  <c r="B79" i="4"/>
  <c r="D78" i="4"/>
  <c r="G78" i="4" s="1"/>
  <c r="C78" i="4"/>
  <c r="B78" i="4"/>
  <c r="D77" i="4"/>
  <c r="G77" i="4" s="1"/>
  <c r="C77" i="4"/>
  <c r="B77" i="4"/>
  <c r="D76" i="4"/>
  <c r="G76" i="4" s="1"/>
  <c r="C76" i="4"/>
  <c r="B76" i="4"/>
  <c r="D75" i="4"/>
  <c r="G75" i="4" s="1"/>
  <c r="C75" i="4"/>
  <c r="B75" i="4"/>
  <c r="D74" i="4"/>
  <c r="G74" i="4" s="1"/>
  <c r="C74" i="4"/>
  <c r="B74" i="4"/>
  <c r="W73" i="4"/>
  <c r="D73" i="4"/>
  <c r="G73" i="4" s="1"/>
  <c r="C73" i="4"/>
  <c r="B73" i="4"/>
  <c r="W72" i="4"/>
  <c r="D72" i="4"/>
  <c r="G72" i="4" s="1"/>
  <c r="C72" i="4"/>
  <c r="B72" i="4"/>
  <c r="W71" i="4"/>
  <c r="D71" i="4"/>
  <c r="G71" i="4" s="1"/>
  <c r="C71" i="4"/>
  <c r="B71" i="4"/>
  <c r="W70" i="4"/>
  <c r="D70" i="4"/>
  <c r="G70" i="4" s="1"/>
  <c r="C70" i="4"/>
  <c r="B70" i="4"/>
  <c r="W69" i="4"/>
  <c r="D69" i="4"/>
  <c r="G69" i="4" s="1"/>
  <c r="C69" i="4"/>
  <c r="B69" i="4"/>
  <c r="W68" i="4"/>
  <c r="D68" i="4"/>
  <c r="G68" i="4" s="1"/>
  <c r="C68" i="4"/>
  <c r="B68" i="4"/>
  <c r="W67" i="4"/>
  <c r="D67" i="4"/>
  <c r="G67" i="4" s="1"/>
  <c r="C67" i="4"/>
  <c r="B67" i="4"/>
  <c r="W66" i="4"/>
  <c r="D66" i="4"/>
  <c r="G66" i="4" s="1"/>
  <c r="C66" i="4"/>
  <c r="B66" i="4"/>
  <c r="W65" i="4"/>
  <c r="D65" i="4"/>
  <c r="G65" i="4" s="1"/>
  <c r="C65" i="4"/>
  <c r="B65" i="4"/>
  <c r="W64" i="4"/>
  <c r="D64" i="4"/>
  <c r="G64" i="4" s="1"/>
  <c r="C64" i="4"/>
  <c r="B64" i="4"/>
  <c r="W63" i="4"/>
  <c r="D63" i="4"/>
  <c r="G63" i="4" s="1"/>
  <c r="C63" i="4"/>
  <c r="B63" i="4"/>
  <c r="W62" i="4"/>
  <c r="D62" i="4"/>
  <c r="G62" i="4" s="1"/>
  <c r="C62" i="4"/>
  <c r="B62" i="4"/>
  <c r="W61" i="4"/>
  <c r="D61" i="4"/>
  <c r="G61" i="4" s="1"/>
  <c r="C61" i="4"/>
  <c r="B61" i="4"/>
  <c r="W60" i="4"/>
  <c r="D60" i="4"/>
  <c r="G60" i="4" s="1"/>
  <c r="C60" i="4"/>
  <c r="B60" i="4"/>
  <c r="W59" i="4"/>
  <c r="D59" i="4"/>
  <c r="G59" i="4" s="1"/>
  <c r="C59" i="4"/>
  <c r="B59" i="4"/>
  <c r="W58" i="4"/>
  <c r="D58" i="4"/>
  <c r="G58" i="4" s="1"/>
  <c r="C58" i="4"/>
  <c r="B58" i="4"/>
  <c r="W57" i="4"/>
  <c r="D57" i="4"/>
  <c r="G57" i="4" s="1"/>
  <c r="C57" i="4"/>
  <c r="B57" i="4"/>
  <c r="W56" i="4"/>
  <c r="D56" i="4"/>
  <c r="G56" i="4" s="1"/>
  <c r="C56" i="4"/>
  <c r="B56" i="4"/>
  <c r="W55" i="4"/>
  <c r="D55" i="4"/>
  <c r="G55" i="4" s="1"/>
  <c r="C55" i="4"/>
  <c r="B55" i="4"/>
  <c r="W54" i="4"/>
  <c r="D54" i="4"/>
  <c r="G54" i="4" s="1"/>
  <c r="C54" i="4"/>
  <c r="B54" i="4"/>
  <c r="W53" i="4"/>
  <c r="D53" i="4"/>
  <c r="G53" i="4" s="1"/>
  <c r="C53" i="4"/>
  <c r="B53" i="4"/>
  <c r="W52" i="4"/>
  <c r="D52" i="4"/>
  <c r="G52" i="4" s="1"/>
  <c r="C52" i="4"/>
  <c r="B52" i="4"/>
  <c r="W51" i="4"/>
  <c r="D51" i="4"/>
  <c r="G51" i="4" s="1"/>
  <c r="C51" i="4"/>
  <c r="B51" i="4"/>
  <c r="W50" i="4"/>
  <c r="D50" i="4"/>
  <c r="G50" i="4" s="1"/>
  <c r="C50" i="4"/>
  <c r="B50" i="4"/>
  <c r="W49" i="4"/>
  <c r="D49" i="4"/>
  <c r="G49" i="4" s="1"/>
  <c r="C49" i="4"/>
  <c r="B49" i="4"/>
  <c r="W48" i="4"/>
  <c r="D48" i="4"/>
  <c r="G48" i="4" s="1"/>
  <c r="C48" i="4"/>
  <c r="B48" i="4"/>
  <c r="W47" i="4"/>
  <c r="D47" i="4"/>
  <c r="G47" i="4" s="1"/>
  <c r="C47" i="4"/>
  <c r="B47" i="4"/>
  <c r="W46" i="4"/>
  <c r="D46" i="4"/>
  <c r="G46" i="4" s="1"/>
  <c r="C46" i="4"/>
  <c r="B46" i="4"/>
  <c r="W45" i="4"/>
  <c r="D45" i="4"/>
  <c r="G45" i="4" s="1"/>
  <c r="C45" i="4"/>
  <c r="B45" i="4"/>
  <c r="W44" i="4"/>
  <c r="D44" i="4"/>
  <c r="G44" i="4" s="1"/>
  <c r="C44" i="4"/>
  <c r="B44" i="4"/>
  <c r="W43" i="4"/>
  <c r="D43" i="4"/>
  <c r="G43" i="4" s="1"/>
  <c r="C43" i="4"/>
  <c r="B43" i="4"/>
  <c r="W42" i="4"/>
  <c r="D42" i="4"/>
  <c r="G42" i="4" s="1"/>
  <c r="C42" i="4"/>
  <c r="B42" i="4"/>
  <c r="W41" i="4"/>
  <c r="D41" i="4"/>
  <c r="G41" i="4" s="1"/>
  <c r="C41" i="4"/>
  <c r="B41" i="4"/>
  <c r="W40" i="4"/>
  <c r="D40" i="4"/>
  <c r="G40" i="4" s="1"/>
  <c r="C40" i="4"/>
  <c r="B40" i="4"/>
  <c r="W39" i="4"/>
  <c r="D39" i="4"/>
  <c r="G39" i="4" s="1"/>
  <c r="C39" i="4"/>
  <c r="B39" i="4"/>
  <c r="W38" i="4"/>
  <c r="D38" i="4"/>
  <c r="G38" i="4" s="1"/>
  <c r="C38" i="4"/>
  <c r="B38" i="4"/>
  <c r="W37" i="4"/>
  <c r="D37" i="4"/>
  <c r="G37" i="4" s="1"/>
  <c r="C37" i="4"/>
  <c r="B37" i="4"/>
  <c r="W36" i="4"/>
  <c r="D36" i="4"/>
  <c r="G36" i="4" s="1"/>
  <c r="C36" i="4"/>
  <c r="B36" i="4"/>
  <c r="W35" i="4"/>
  <c r="D35" i="4"/>
  <c r="G35" i="4" s="1"/>
  <c r="C35" i="4"/>
  <c r="B35" i="4"/>
  <c r="W34" i="4"/>
  <c r="D34" i="4"/>
  <c r="G34" i="4" s="1"/>
  <c r="C34" i="4"/>
  <c r="B34" i="4"/>
  <c r="W33" i="4"/>
  <c r="D33" i="4"/>
  <c r="G33" i="4" s="1"/>
  <c r="C33" i="4"/>
  <c r="B33" i="4"/>
  <c r="W32" i="4"/>
  <c r="D32" i="4"/>
  <c r="G32" i="4" s="1"/>
  <c r="C32" i="4"/>
  <c r="B32" i="4"/>
  <c r="W31" i="4"/>
  <c r="D31" i="4"/>
  <c r="G31" i="4" s="1"/>
  <c r="C31" i="4"/>
  <c r="B31" i="4"/>
  <c r="W30" i="4"/>
  <c r="D30" i="4"/>
  <c r="G30" i="4" s="1"/>
  <c r="C30" i="4"/>
  <c r="B30" i="4"/>
  <c r="W29" i="4"/>
  <c r="D29" i="4"/>
  <c r="G29" i="4" s="1"/>
  <c r="C29" i="4"/>
  <c r="B29" i="4"/>
  <c r="W28" i="4"/>
  <c r="D28" i="4"/>
  <c r="G28" i="4" s="1"/>
  <c r="C28" i="4"/>
  <c r="B28" i="4"/>
  <c r="W27" i="4"/>
  <c r="D27" i="4"/>
  <c r="G27" i="4" s="1"/>
  <c r="C27" i="4"/>
  <c r="B27" i="4"/>
  <c r="W26" i="4"/>
  <c r="D26" i="4"/>
  <c r="G26" i="4" s="1"/>
  <c r="C26" i="4"/>
  <c r="B26" i="4"/>
  <c r="W25" i="4"/>
  <c r="D25" i="4"/>
  <c r="G25" i="4" s="1"/>
  <c r="C25" i="4"/>
  <c r="B25" i="4"/>
  <c r="W24" i="4"/>
  <c r="D24" i="4"/>
  <c r="G24" i="4" s="1"/>
  <c r="C24" i="4"/>
  <c r="B24" i="4"/>
  <c r="W23" i="4"/>
  <c r="D23" i="4"/>
  <c r="G23" i="4" s="1"/>
  <c r="C23" i="4"/>
  <c r="B23" i="4"/>
  <c r="W22" i="4"/>
  <c r="D22" i="4"/>
  <c r="G22" i="4" s="1"/>
  <c r="C22" i="4"/>
  <c r="B22" i="4"/>
  <c r="W21" i="4"/>
  <c r="D21" i="4"/>
  <c r="G21" i="4" s="1"/>
  <c r="C21" i="4"/>
  <c r="B21" i="4"/>
  <c r="W20" i="4"/>
  <c r="D20" i="4"/>
  <c r="G20" i="4" s="1"/>
  <c r="C20" i="4"/>
  <c r="B20" i="4"/>
  <c r="W19" i="4"/>
  <c r="D19" i="4"/>
  <c r="G19" i="4" s="1"/>
  <c r="C19" i="4"/>
  <c r="B19" i="4"/>
  <c r="W18" i="4"/>
  <c r="D18" i="4"/>
  <c r="G18" i="4" s="1"/>
  <c r="C18" i="4"/>
  <c r="B18" i="4"/>
  <c r="W17" i="4"/>
  <c r="D17" i="4"/>
  <c r="G17" i="4" s="1"/>
  <c r="C17" i="4"/>
  <c r="B17" i="4"/>
  <c r="W16" i="4"/>
  <c r="D16" i="4"/>
  <c r="G16" i="4" s="1"/>
  <c r="C16" i="4"/>
  <c r="B16" i="4"/>
  <c r="W15" i="4"/>
  <c r="D15" i="4"/>
  <c r="G15" i="4" s="1"/>
  <c r="C15" i="4"/>
  <c r="B15" i="4"/>
  <c r="W14" i="4"/>
  <c r="D14" i="4"/>
  <c r="G14" i="4" s="1"/>
  <c r="C14" i="4"/>
  <c r="B14" i="4"/>
  <c r="W13" i="4"/>
  <c r="D13" i="4"/>
  <c r="G13" i="4" s="1"/>
  <c r="C13" i="4"/>
  <c r="B13" i="4"/>
  <c r="W12" i="4"/>
  <c r="D12" i="4"/>
  <c r="G12" i="4" s="1"/>
  <c r="C12" i="4"/>
  <c r="B12" i="4"/>
  <c r="W11" i="4"/>
  <c r="D11" i="4"/>
  <c r="G11" i="4" s="1"/>
  <c r="C11" i="4"/>
  <c r="B11" i="4"/>
  <c r="W10" i="4"/>
  <c r="D10" i="4"/>
  <c r="G10" i="4" s="1"/>
  <c r="C10" i="4"/>
  <c r="B10" i="4"/>
  <c r="W9" i="4"/>
  <c r="D9" i="4"/>
  <c r="G9" i="4" s="1"/>
  <c r="C9" i="4"/>
  <c r="B9" i="4"/>
  <c r="W8" i="4"/>
  <c r="D8" i="4"/>
  <c r="G8" i="4" s="1"/>
  <c r="C8" i="4"/>
  <c r="B8" i="4"/>
  <c r="W7" i="4"/>
  <c r="D7" i="4"/>
  <c r="G7" i="4" s="1"/>
  <c r="C7" i="4"/>
  <c r="B7" i="4"/>
  <c r="W6" i="4"/>
  <c r="D6" i="4"/>
  <c r="G6" i="4" s="1"/>
  <c r="C6" i="4"/>
  <c r="B6" i="4"/>
  <c r="D5" i="4"/>
  <c r="G5" i="4" s="1"/>
  <c r="C5" i="4"/>
  <c r="B5" i="4"/>
  <c r="D4" i="4"/>
  <c r="G4" i="4" s="1"/>
  <c r="C4" i="4"/>
  <c r="B4" i="4"/>
  <c r="AB3" i="4"/>
  <c r="AA3" i="4"/>
  <c r="Z3" i="4"/>
  <c r="Y3" i="4"/>
  <c r="Y4" i="4" s="1"/>
  <c r="Z4" i="4" s="1"/>
  <c r="E54" i="3"/>
  <c r="AH51" i="3"/>
  <c r="AH50" i="3"/>
  <c r="AH49" i="3"/>
  <c r="AH48" i="3"/>
  <c r="AH47" i="3"/>
  <c r="G47" i="3"/>
  <c r="E43" i="4" s="1"/>
  <c r="AH46" i="3"/>
  <c r="W46" i="3"/>
  <c r="G46" i="3"/>
  <c r="E42" i="4" s="1"/>
  <c r="AH45" i="3"/>
  <c r="W45" i="3"/>
  <c r="G45" i="3"/>
  <c r="E41" i="4" s="1"/>
  <c r="AH44" i="3"/>
  <c r="W44" i="3"/>
  <c r="G44" i="3"/>
  <c r="E40" i="4" s="1"/>
  <c r="AH43" i="3"/>
  <c r="W43" i="3"/>
  <c r="G43" i="3"/>
  <c r="E39" i="4" s="1"/>
  <c r="AH42" i="3"/>
  <c r="W42" i="3"/>
  <c r="G42" i="3"/>
  <c r="E38" i="4" s="1"/>
  <c r="AH41" i="3"/>
  <c r="W41" i="3"/>
  <c r="G41" i="3"/>
  <c r="E37" i="4" s="1"/>
  <c r="AH40" i="3"/>
  <c r="W40" i="3"/>
  <c r="G40" i="3"/>
  <c r="E36" i="4" s="1"/>
  <c r="AH39" i="3"/>
  <c r="W39" i="3"/>
  <c r="G39" i="3"/>
  <c r="E35" i="4" s="1"/>
  <c r="AH38" i="3"/>
  <c r="W38" i="3"/>
  <c r="G38" i="3"/>
  <c r="E34" i="4" s="1"/>
  <c r="AH37" i="3"/>
  <c r="W37" i="3"/>
  <c r="G37" i="3"/>
  <c r="E33" i="4" s="1"/>
  <c r="AH36" i="3"/>
  <c r="W36" i="3"/>
  <c r="G36" i="3"/>
  <c r="E32" i="4" s="1"/>
  <c r="AH35" i="3"/>
  <c r="W35" i="3"/>
  <c r="G35" i="3"/>
  <c r="E31" i="4" s="1"/>
  <c r="AH34" i="3"/>
  <c r="W34" i="3"/>
  <c r="G34" i="3"/>
  <c r="E30" i="4" s="1"/>
  <c r="AH33" i="3"/>
  <c r="W33" i="3"/>
  <c r="G33" i="3"/>
  <c r="E29" i="4" s="1"/>
  <c r="AH32" i="3"/>
  <c r="W32" i="3"/>
  <c r="G32" i="3"/>
  <c r="E28" i="4" s="1"/>
  <c r="AH31" i="3"/>
  <c r="W31" i="3"/>
  <c r="G31" i="3"/>
  <c r="E27" i="4" s="1"/>
  <c r="AH30" i="3"/>
  <c r="W30" i="3"/>
  <c r="G30" i="3"/>
  <c r="E26" i="4" s="1"/>
  <c r="AH29" i="3"/>
  <c r="W29" i="3"/>
  <c r="G29" i="3"/>
  <c r="E25" i="4" s="1"/>
  <c r="AH28" i="3"/>
  <c r="W28" i="3"/>
  <c r="G28" i="3"/>
  <c r="E24" i="4" s="1"/>
  <c r="AH27" i="3"/>
  <c r="W27" i="3"/>
  <c r="G27" i="3"/>
  <c r="E23" i="4" s="1"/>
  <c r="AH26" i="3"/>
  <c r="W26" i="3"/>
  <c r="G26" i="3"/>
  <c r="E22" i="4" s="1"/>
  <c r="AH25" i="3"/>
  <c r="W25" i="3"/>
  <c r="G25" i="3"/>
  <c r="E21" i="4" s="1"/>
  <c r="AH24" i="3"/>
  <c r="W24" i="3"/>
  <c r="G24" i="3"/>
  <c r="E20" i="4" s="1"/>
  <c r="AH23" i="3"/>
  <c r="W23" i="3"/>
  <c r="G23" i="3"/>
  <c r="E19" i="4" s="1"/>
  <c r="AH22" i="3"/>
  <c r="W22" i="3"/>
  <c r="G22" i="3"/>
  <c r="E18" i="4" s="1"/>
  <c r="AH21" i="3"/>
  <c r="W21" i="3"/>
  <c r="G21" i="3"/>
  <c r="E17" i="4" s="1"/>
  <c r="AH20" i="3"/>
  <c r="W20" i="3"/>
  <c r="G20" i="3"/>
  <c r="E16" i="4" s="1"/>
  <c r="AH19" i="3"/>
  <c r="W19" i="3"/>
  <c r="G19" i="3"/>
  <c r="E15" i="4" s="1"/>
  <c r="AH18" i="3"/>
  <c r="W18" i="3"/>
  <c r="G18" i="3"/>
  <c r="E14" i="4" s="1"/>
  <c r="AH17" i="3"/>
  <c r="W17" i="3"/>
  <c r="G17" i="3"/>
  <c r="E13" i="4" s="1"/>
  <c r="AH16" i="3"/>
  <c r="W16" i="3"/>
  <c r="G16" i="3"/>
  <c r="E12" i="4" s="1"/>
  <c r="AH15" i="3"/>
  <c r="W15" i="3"/>
  <c r="G15" i="3"/>
  <c r="E11" i="4" s="1"/>
  <c r="AH14" i="3"/>
  <c r="W14" i="3"/>
  <c r="G14" i="3"/>
  <c r="E10" i="4" s="1"/>
  <c r="AH13" i="3"/>
  <c r="W13" i="3"/>
  <c r="G13" i="3"/>
  <c r="E9" i="4" s="1"/>
  <c r="AH12" i="3"/>
  <c r="W12" i="3"/>
  <c r="G12" i="3"/>
  <c r="E8" i="4" s="1"/>
  <c r="AH11" i="3"/>
  <c r="W11" i="3"/>
  <c r="G11" i="3"/>
  <c r="E7" i="4" s="1"/>
  <c r="AH10" i="3"/>
  <c r="W10" i="3"/>
  <c r="G10" i="3"/>
  <c r="E6" i="4" s="1"/>
  <c r="AH9" i="3"/>
  <c r="W9" i="3"/>
  <c r="G9" i="3"/>
  <c r="E5" i="4" s="1"/>
  <c r="AH8" i="3"/>
  <c r="W8" i="3"/>
  <c r="G8" i="3"/>
  <c r="E4" i="4" s="1"/>
  <c r="AH7" i="3"/>
  <c r="W7" i="3"/>
  <c r="F7" i="3"/>
  <c r="D45" i="6" s="1"/>
  <c r="AH6" i="3"/>
  <c r="W6" i="3"/>
  <c r="L6" i="3"/>
  <c r="G6" i="3"/>
  <c r="G54" i="3" s="1"/>
  <c r="F6" i="3"/>
  <c r="C45" i="6" s="1"/>
  <c r="AH5" i="3"/>
  <c r="W5" i="3"/>
  <c r="E5" i="3"/>
  <c r="L24" i="3" s="1"/>
  <c r="D5" i="3"/>
  <c r="K54" i="3" s="1"/>
  <c r="AH4" i="3"/>
  <c r="W4" i="3"/>
  <c r="N4" i="3"/>
  <c r="W3" i="3"/>
  <c r="L3" i="3"/>
  <c r="L10" i="3" s="1"/>
  <c r="W2" i="3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W73" i="2"/>
  <c r="D73" i="2"/>
  <c r="C73" i="2"/>
  <c r="B73" i="2"/>
  <c r="W72" i="2"/>
  <c r="D72" i="2"/>
  <c r="C72" i="2"/>
  <c r="B72" i="2"/>
  <c r="W71" i="2"/>
  <c r="D71" i="2"/>
  <c r="C71" i="2"/>
  <c r="B71" i="2"/>
  <c r="W70" i="2"/>
  <c r="D70" i="2"/>
  <c r="C70" i="2"/>
  <c r="B70" i="2"/>
  <c r="W69" i="2"/>
  <c r="D69" i="2"/>
  <c r="C69" i="2"/>
  <c r="B69" i="2"/>
  <c r="W68" i="2"/>
  <c r="D68" i="2"/>
  <c r="C68" i="2"/>
  <c r="B68" i="2"/>
  <c r="W67" i="2"/>
  <c r="D67" i="2"/>
  <c r="C67" i="2"/>
  <c r="B67" i="2"/>
  <c r="W66" i="2"/>
  <c r="D66" i="2"/>
  <c r="C66" i="2"/>
  <c r="B66" i="2"/>
  <c r="W65" i="2"/>
  <c r="D65" i="2"/>
  <c r="C65" i="2"/>
  <c r="B65" i="2"/>
  <c r="W64" i="2"/>
  <c r="D64" i="2"/>
  <c r="C64" i="2"/>
  <c r="B64" i="2"/>
  <c r="W63" i="2"/>
  <c r="D63" i="2"/>
  <c r="C63" i="2"/>
  <c r="B63" i="2"/>
  <c r="W62" i="2"/>
  <c r="D62" i="2"/>
  <c r="C62" i="2"/>
  <c r="B62" i="2"/>
  <c r="W61" i="2"/>
  <c r="D61" i="2"/>
  <c r="C61" i="2"/>
  <c r="B61" i="2"/>
  <c r="W60" i="2"/>
  <c r="D60" i="2"/>
  <c r="C60" i="2"/>
  <c r="B60" i="2"/>
  <c r="W59" i="2"/>
  <c r="D59" i="2"/>
  <c r="C59" i="2"/>
  <c r="B59" i="2"/>
  <c r="W58" i="2"/>
  <c r="D58" i="2"/>
  <c r="C58" i="2"/>
  <c r="B58" i="2"/>
  <c r="W57" i="2"/>
  <c r="D57" i="2"/>
  <c r="C57" i="2"/>
  <c r="B57" i="2"/>
  <c r="W56" i="2"/>
  <c r="D56" i="2"/>
  <c r="C56" i="2"/>
  <c r="B56" i="2"/>
  <c r="W55" i="2"/>
  <c r="D55" i="2"/>
  <c r="C55" i="2"/>
  <c r="B55" i="2"/>
  <c r="W54" i="2"/>
  <c r="D54" i="2"/>
  <c r="C54" i="2"/>
  <c r="B54" i="2"/>
  <c r="W53" i="2"/>
  <c r="D53" i="2"/>
  <c r="C53" i="2"/>
  <c r="B53" i="2"/>
  <c r="W52" i="2"/>
  <c r="D52" i="2"/>
  <c r="C52" i="2"/>
  <c r="B52" i="2"/>
  <c r="W51" i="2"/>
  <c r="D51" i="2"/>
  <c r="C51" i="2"/>
  <c r="B51" i="2"/>
  <c r="W50" i="2"/>
  <c r="D50" i="2"/>
  <c r="C50" i="2"/>
  <c r="B50" i="2"/>
  <c r="W49" i="2"/>
  <c r="D49" i="2"/>
  <c r="C49" i="2"/>
  <c r="B49" i="2"/>
  <c r="W48" i="2"/>
  <c r="D48" i="2"/>
  <c r="C48" i="2"/>
  <c r="B48" i="2"/>
  <c r="W47" i="2"/>
  <c r="D47" i="2"/>
  <c r="C47" i="2"/>
  <c r="B47" i="2"/>
  <c r="W46" i="2"/>
  <c r="D46" i="2"/>
  <c r="C46" i="2"/>
  <c r="B46" i="2"/>
  <c r="W45" i="2"/>
  <c r="D45" i="2"/>
  <c r="C45" i="2"/>
  <c r="B45" i="2"/>
  <c r="W44" i="2"/>
  <c r="D44" i="2"/>
  <c r="C44" i="2"/>
  <c r="B44" i="2"/>
  <c r="W43" i="2"/>
  <c r="D43" i="2"/>
  <c r="C43" i="2"/>
  <c r="B43" i="2"/>
  <c r="W42" i="2"/>
  <c r="D42" i="2"/>
  <c r="C42" i="2"/>
  <c r="B42" i="2"/>
  <c r="W41" i="2"/>
  <c r="D41" i="2"/>
  <c r="C41" i="2"/>
  <c r="B41" i="2"/>
  <c r="W40" i="2"/>
  <c r="D40" i="2"/>
  <c r="C40" i="2"/>
  <c r="B40" i="2"/>
  <c r="W39" i="2"/>
  <c r="D39" i="2"/>
  <c r="C39" i="2"/>
  <c r="B39" i="2"/>
  <c r="W38" i="2"/>
  <c r="D38" i="2"/>
  <c r="C38" i="2"/>
  <c r="B38" i="2"/>
  <c r="W37" i="2"/>
  <c r="D37" i="2"/>
  <c r="C37" i="2"/>
  <c r="B37" i="2"/>
  <c r="W36" i="2"/>
  <c r="D36" i="2"/>
  <c r="C36" i="2"/>
  <c r="B36" i="2"/>
  <c r="W35" i="2"/>
  <c r="D35" i="2"/>
  <c r="C35" i="2"/>
  <c r="B35" i="2"/>
  <c r="W34" i="2"/>
  <c r="D34" i="2"/>
  <c r="C34" i="2"/>
  <c r="B34" i="2"/>
  <c r="W33" i="2"/>
  <c r="D33" i="2"/>
  <c r="C33" i="2"/>
  <c r="B33" i="2"/>
  <c r="W32" i="2"/>
  <c r="D32" i="2"/>
  <c r="C32" i="2"/>
  <c r="B32" i="2"/>
  <c r="W31" i="2"/>
  <c r="D31" i="2"/>
  <c r="C31" i="2"/>
  <c r="B31" i="2"/>
  <c r="W30" i="2"/>
  <c r="D30" i="2"/>
  <c r="C30" i="2"/>
  <c r="B30" i="2"/>
  <c r="W29" i="2"/>
  <c r="D29" i="2"/>
  <c r="C29" i="2"/>
  <c r="B29" i="2"/>
  <c r="W28" i="2"/>
  <c r="D28" i="2"/>
  <c r="C28" i="2"/>
  <c r="B28" i="2"/>
  <c r="W27" i="2"/>
  <c r="D27" i="2"/>
  <c r="C27" i="2"/>
  <c r="B27" i="2"/>
  <c r="W26" i="2"/>
  <c r="D26" i="2"/>
  <c r="C26" i="2"/>
  <c r="B26" i="2"/>
  <c r="W25" i="2"/>
  <c r="D25" i="2"/>
  <c r="C25" i="2"/>
  <c r="B25" i="2"/>
  <c r="W24" i="2"/>
  <c r="D24" i="2"/>
  <c r="C24" i="2"/>
  <c r="B24" i="2"/>
  <c r="W23" i="2"/>
  <c r="D23" i="2"/>
  <c r="C23" i="2"/>
  <c r="B23" i="2"/>
  <c r="W22" i="2"/>
  <c r="D22" i="2"/>
  <c r="C22" i="2"/>
  <c r="B22" i="2"/>
  <c r="W21" i="2"/>
  <c r="D21" i="2"/>
  <c r="C21" i="2"/>
  <c r="B21" i="2"/>
  <c r="W20" i="2"/>
  <c r="D20" i="2"/>
  <c r="C20" i="2"/>
  <c r="B20" i="2"/>
  <c r="W19" i="2"/>
  <c r="D19" i="2"/>
  <c r="C19" i="2"/>
  <c r="B19" i="2"/>
  <c r="W18" i="2"/>
  <c r="D18" i="2"/>
  <c r="C18" i="2"/>
  <c r="B18" i="2"/>
  <c r="W17" i="2"/>
  <c r="D17" i="2"/>
  <c r="C17" i="2"/>
  <c r="B17" i="2"/>
  <c r="W16" i="2"/>
  <c r="D16" i="2"/>
  <c r="C16" i="2"/>
  <c r="B16" i="2"/>
  <c r="W15" i="2"/>
  <c r="D15" i="2"/>
  <c r="C15" i="2"/>
  <c r="B15" i="2"/>
  <c r="W14" i="2"/>
  <c r="D14" i="2"/>
  <c r="C14" i="2"/>
  <c r="B14" i="2"/>
  <c r="W13" i="2"/>
  <c r="D13" i="2"/>
  <c r="C13" i="2"/>
  <c r="B13" i="2"/>
  <c r="W12" i="2"/>
  <c r="D12" i="2"/>
  <c r="C12" i="2"/>
  <c r="B12" i="2"/>
  <c r="W11" i="2"/>
  <c r="D11" i="2"/>
  <c r="C11" i="2"/>
  <c r="B11" i="2"/>
  <c r="W10" i="2"/>
  <c r="D10" i="2"/>
  <c r="C10" i="2"/>
  <c r="B10" i="2"/>
  <c r="W9" i="2"/>
  <c r="D9" i="2"/>
  <c r="C9" i="2"/>
  <c r="B9" i="2"/>
  <c r="W8" i="2"/>
  <c r="D8" i="2"/>
  <c r="C8" i="2"/>
  <c r="B8" i="2"/>
  <c r="W7" i="2"/>
  <c r="D7" i="2"/>
  <c r="C7" i="2"/>
  <c r="B7" i="2"/>
  <c r="W6" i="2"/>
  <c r="D6" i="2"/>
  <c r="C6" i="2"/>
  <c r="B6" i="2"/>
  <c r="D5" i="2"/>
  <c r="C5" i="2"/>
  <c r="B5" i="2"/>
  <c r="D4" i="2"/>
  <c r="C4" i="2"/>
  <c r="B4" i="2"/>
  <c r="AB3" i="2"/>
  <c r="AA3" i="2"/>
  <c r="Z3" i="2"/>
  <c r="Y3" i="2"/>
  <c r="Y4" i="2" s="1"/>
  <c r="Z4" i="2" s="1"/>
  <c r="E54" i="1"/>
  <c r="AH51" i="1"/>
  <c r="AH50" i="1"/>
  <c r="AH49" i="1"/>
  <c r="AH48" i="1"/>
  <c r="AH47" i="1"/>
  <c r="G47" i="1"/>
  <c r="E32" i="2" s="1"/>
  <c r="AH46" i="1"/>
  <c r="W46" i="1"/>
  <c r="G46" i="1"/>
  <c r="E34" i="2" s="1"/>
  <c r="AH45" i="1"/>
  <c r="W45" i="1"/>
  <c r="G45" i="1"/>
  <c r="E31" i="2" s="1"/>
  <c r="AH44" i="1"/>
  <c r="W44" i="1"/>
  <c r="G44" i="1"/>
  <c r="E33" i="2" s="1"/>
  <c r="AH43" i="1"/>
  <c r="W43" i="1"/>
  <c r="G43" i="1"/>
  <c r="E30" i="2" s="1"/>
  <c r="AH42" i="1"/>
  <c r="W42" i="1"/>
  <c r="G42" i="1"/>
  <c r="E25" i="2" s="1"/>
  <c r="AH41" i="1"/>
  <c r="W41" i="1"/>
  <c r="G41" i="1"/>
  <c r="E28" i="2" s="1"/>
  <c r="AH40" i="1"/>
  <c r="W40" i="1"/>
  <c r="G40" i="1"/>
  <c r="E23" i="2" s="1"/>
  <c r="AH39" i="1"/>
  <c r="W39" i="1"/>
  <c r="G39" i="1"/>
  <c r="E27" i="2" s="1"/>
  <c r="AH38" i="1"/>
  <c r="W38" i="1"/>
  <c r="G38" i="1"/>
  <c r="E26" i="2" s="1"/>
  <c r="AH37" i="1"/>
  <c r="W37" i="1"/>
  <c r="G37" i="1"/>
  <c r="E22" i="2" s="1"/>
  <c r="AH36" i="1"/>
  <c r="W36" i="1"/>
  <c r="G36" i="1"/>
  <c r="E24" i="2" s="1"/>
  <c r="AH35" i="1"/>
  <c r="W35" i="1"/>
  <c r="G35" i="1"/>
  <c r="E21" i="2" s="1"/>
  <c r="AH34" i="1"/>
  <c r="W34" i="1"/>
  <c r="G34" i="1"/>
  <c r="E19" i="2" s="1"/>
  <c r="AH33" i="1"/>
  <c r="W33" i="1"/>
  <c r="G33" i="1"/>
  <c r="E17" i="2" s="1"/>
  <c r="AH32" i="1"/>
  <c r="W32" i="1"/>
  <c r="G32" i="1"/>
  <c r="E18" i="2" s="1"/>
  <c r="AH31" i="1"/>
  <c r="W31" i="1"/>
  <c r="G31" i="1"/>
  <c r="E16" i="2" s="1"/>
  <c r="AH30" i="1"/>
  <c r="W30" i="1"/>
  <c r="G30" i="1"/>
  <c r="E20" i="2" s="1"/>
  <c r="AH29" i="1"/>
  <c r="W29" i="1"/>
  <c r="G29" i="1"/>
  <c r="E13" i="2" s="1"/>
  <c r="AH28" i="1"/>
  <c r="W28" i="1"/>
  <c r="G28" i="1"/>
  <c r="E15" i="2" s="1"/>
  <c r="AH27" i="1"/>
  <c r="W27" i="1"/>
  <c r="G27" i="1"/>
  <c r="E12" i="2" s="1"/>
  <c r="AH26" i="1"/>
  <c r="W26" i="1"/>
  <c r="G26" i="1"/>
  <c r="E14" i="2" s="1"/>
  <c r="AH25" i="1"/>
  <c r="W25" i="1"/>
  <c r="G25" i="1"/>
  <c r="E4" i="2" s="1"/>
  <c r="AH24" i="1"/>
  <c r="W24" i="1"/>
  <c r="G24" i="1"/>
  <c r="E8" i="2" s="1"/>
  <c r="AH23" i="1"/>
  <c r="W23" i="1"/>
  <c r="G23" i="1"/>
  <c r="E11" i="2" s="1"/>
  <c r="AH22" i="1"/>
  <c r="W22" i="1"/>
  <c r="G22" i="1"/>
  <c r="E10" i="2" s="1"/>
  <c r="AH21" i="1"/>
  <c r="W21" i="1"/>
  <c r="G21" i="1"/>
  <c r="E9" i="2" s="1"/>
  <c r="AH20" i="1"/>
  <c r="W20" i="1"/>
  <c r="G20" i="1"/>
  <c r="E6" i="2" s="1"/>
  <c r="AH19" i="1"/>
  <c r="W19" i="1"/>
  <c r="G19" i="1"/>
  <c r="E7" i="2" s="1"/>
  <c r="AH18" i="1"/>
  <c r="W18" i="1"/>
  <c r="G18" i="1"/>
  <c r="E5" i="2" s="1"/>
  <c r="AH17" i="1"/>
  <c r="W17" i="1"/>
  <c r="G17" i="1"/>
  <c r="E43" i="2" s="1"/>
  <c r="AH16" i="1"/>
  <c r="W16" i="1"/>
  <c r="G16" i="1"/>
  <c r="E42" i="2" s="1"/>
  <c r="AH15" i="1"/>
  <c r="W15" i="1"/>
  <c r="G15" i="1"/>
  <c r="E41" i="2" s="1"/>
  <c r="AH14" i="1"/>
  <c r="W14" i="1"/>
  <c r="G14" i="1"/>
  <c r="E37" i="2" s="1"/>
  <c r="AH13" i="1"/>
  <c r="W13" i="1"/>
  <c r="G13" i="1"/>
  <c r="E35" i="2" s="1"/>
  <c r="AH12" i="1"/>
  <c r="W12" i="1"/>
  <c r="G12" i="1"/>
  <c r="E36" i="2" s="1"/>
  <c r="AH11" i="1"/>
  <c r="W11" i="1"/>
  <c r="G11" i="1"/>
  <c r="E38" i="2" s="1"/>
  <c r="AH10" i="1"/>
  <c r="W10" i="1"/>
  <c r="G10" i="1"/>
  <c r="E40" i="2" s="1"/>
  <c r="AH9" i="1"/>
  <c r="W9" i="1"/>
  <c r="G9" i="1"/>
  <c r="E29" i="2" s="1"/>
  <c r="AH8" i="1"/>
  <c r="W8" i="1"/>
  <c r="G8" i="1"/>
  <c r="AH7" i="1"/>
  <c r="W7" i="1"/>
  <c r="F7" i="1"/>
  <c r="D44" i="6" s="1"/>
  <c r="AH6" i="1"/>
  <c r="W6" i="1"/>
  <c r="L6" i="1"/>
  <c r="F6" i="1"/>
  <c r="C44" i="6" s="1"/>
  <c r="AH5" i="1"/>
  <c r="W5" i="1"/>
  <c r="E5" i="1"/>
  <c r="D5" i="1"/>
  <c r="AH4" i="1"/>
  <c r="W4" i="1"/>
  <c r="N4" i="1"/>
  <c r="W3" i="1"/>
  <c r="L3" i="1"/>
  <c r="W2" i="1"/>
  <c r="W48" i="1" l="1"/>
  <c r="X2" i="1"/>
  <c r="X3" i="1"/>
  <c r="N5" i="1"/>
  <c r="O4" i="1"/>
  <c r="O5" i="1" s="1"/>
  <c r="X4" i="1"/>
  <c r="Y4" i="1" s="1"/>
  <c r="Z4" i="1" s="1"/>
  <c r="E47" i="2" s="1"/>
  <c r="AH54" i="1"/>
  <c r="AI4" i="1"/>
  <c r="AJ4" i="1" s="1"/>
  <c r="X5" i="1"/>
  <c r="Y5" i="1" s="1"/>
  <c r="Z5" i="1" s="1"/>
  <c r="E45" i="2" s="1"/>
  <c r="AI5" i="1"/>
  <c r="AJ5" i="1" s="1"/>
  <c r="AK5" i="1" s="1"/>
  <c r="E90" i="2" s="1"/>
  <c r="X6" i="1"/>
  <c r="Y6" i="1" s="1"/>
  <c r="Z6" i="1" s="1"/>
  <c r="E50" i="2" s="1"/>
  <c r="AI6" i="1"/>
  <c r="AJ6" i="1" s="1"/>
  <c r="AK6" i="1" s="1"/>
  <c r="E91" i="2" s="1"/>
  <c r="X7" i="1"/>
  <c r="Y7" i="1" s="1"/>
  <c r="Z7" i="1" s="1"/>
  <c r="E51" i="2" s="1"/>
  <c r="AI7" i="1"/>
  <c r="AJ7" i="1" s="1"/>
  <c r="AK7" i="1" s="1"/>
  <c r="E92" i="2" s="1"/>
  <c r="E39" i="2"/>
  <c r="G54" i="1"/>
  <c r="X8" i="1"/>
  <c r="Y8" i="1" s="1"/>
  <c r="Z8" i="1" s="1"/>
  <c r="E48" i="2" s="1"/>
  <c r="AI8" i="1"/>
  <c r="AJ8" i="1" s="1"/>
  <c r="AK8" i="1" s="1"/>
  <c r="E93" i="2" s="1"/>
  <c r="X9" i="1"/>
  <c r="Y9" i="1" s="1"/>
  <c r="Z9" i="1" s="1"/>
  <c r="E49" i="2" s="1"/>
  <c r="AI9" i="1"/>
  <c r="AJ9" i="1" s="1"/>
  <c r="AK9" i="1" s="1"/>
  <c r="E94" i="2" s="1"/>
  <c r="X10" i="1"/>
  <c r="Y10" i="1" s="1"/>
  <c r="Z10" i="1" s="1"/>
  <c r="E53" i="2" s="1"/>
  <c r="AI10" i="1"/>
  <c r="AJ10" i="1" s="1"/>
  <c r="AK10" i="1" s="1"/>
  <c r="E95" i="2" s="1"/>
  <c r="X11" i="1"/>
  <c r="Y11" i="1" s="1"/>
  <c r="Z11" i="1" s="1"/>
  <c r="E55" i="2" s="1"/>
  <c r="AI11" i="1"/>
  <c r="AJ11" i="1" s="1"/>
  <c r="AK11" i="1" s="1"/>
  <c r="E96" i="2" s="1"/>
  <c r="X12" i="1"/>
  <c r="Y12" i="1" s="1"/>
  <c r="Z12" i="1" s="1"/>
  <c r="E54" i="2" s="1"/>
  <c r="AI12" i="1"/>
  <c r="AJ12" i="1" s="1"/>
  <c r="AK12" i="1" s="1"/>
  <c r="E97" i="2" s="1"/>
  <c r="X13" i="1"/>
  <c r="Y13" i="1" s="1"/>
  <c r="Z13" i="1" s="1"/>
  <c r="E56" i="2" s="1"/>
  <c r="AI13" i="1"/>
  <c r="AJ13" i="1" s="1"/>
  <c r="AK13" i="1" s="1"/>
  <c r="E98" i="2" s="1"/>
  <c r="X14" i="1"/>
  <c r="Y14" i="1" s="1"/>
  <c r="Z14" i="1" s="1"/>
  <c r="E52" i="2" s="1"/>
  <c r="AI14" i="1"/>
  <c r="AJ14" i="1" s="1"/>
  <c r="AK14" i="1" s="1"/>
  <c r="E99" i="2" s="1"/>
  <c r="X15" i="1"/>
  <c r="Y15" i="1" s="1"/>
  <c r="Z15" i="1" s="1"/>
  <c r="E58" i="2" s="1"/>
  <c r="AI15" i="1"/>
  <c r="AJ15" i="1" s="1"/>
  <c r="AK15" i="1" s="1"/>
  <c r="E100" i="2" s="1"/>
  <c r="X16" i="1"/>
  <c r="Y16" i="1" s="1"/>
  <c r="Z16" i="1" s="1"/>
  <c r="E60" i="2" s="1"/>
  <c r="AI16" i="1"/>
  <c r="AJ16" i="1" s="1"/>
  <c r="AK16" i="1" s="1"/>
  <c r="E101" i="2" s="1"/>
  <c r="X17" i="1"/>
  <c r="Y17" i="1" s="1"/>
  <c r="Z17" i="1" s="1"/>
  <c r="E59" i="2" s="1"/>
  <c r="AI17" i="1"/>
  <c r="AJ17" i="1" s="1"/>
  <c r="AK17" i="1" s="1"/>
  <c r="E102" i="2" s="1"/>
  <c r="X18" i="1"/>
  <c r="Y18" i="1" s="1"/>
  <c r="Z18" i="1" s="1"/>
  <c r="E57" i="2" s="1"/>
  <c r="AI18" i="1"/>
  <c r="AJ18" i="1" s="1"/>
  <c r="AK18" i="1" s="1"/>
  <c r="E103" i="2" s="1"/>
  <c r="X19" i="1"/>
  <c r="Y19" i="1" s="1"/>
  <c r="Z19" i="1" s="1"/>
  <c r="E64" i="2" s="1"/>
  <c r="AI19" i="1"/>
  <c r="AJ19" i="1" s="1"/>
  <c r="AK19" i="1" s="1"/>
  <c r="E104" i="2" s="1"/>
  <c r="X20" i="1"/>
  <c r="Y20" i="1" s="1"/>
  <c r="Z20" i="1" s="1"/>
  <c r="E61" i="2" s="1"/>
  <c r="AI20" i="1"/>
  <c r="AJ20" i="1" s="1"/>
  <c r="AK20" i="1" s="1"/>
  <c r="E105" i="2" s="1"/>
  <c r="X21" i="1"/>
  <c r="Y21" i="1" s="1"/>
  <c r="Z21" i="1" s="1"/>
  <c r="E62" i="2" s="1"/>
  <c r="AI21" i="1"/>
  <c r="AJ21" i="1" s="1"/>
  <c r="AK21" i="1" s="1"/>
  <c r="E106" i="2" s="1"/>
  <c r="X22" i="1"/>
  <c r="Y22" i="1" s="1"/>
  <c r="Z22" i="1" s="1"/>
  <c r="E63" i="2" s="1"/>
  <c r="AI22" i="1"/>
  <c r="AJ22" i="1" s="1"/>
  <c r="AK22" i="1" s="1"/>
  <c r="E107" i="2" s="1"/>
  <c r="X23" i="1"/>
  <c r="Y23" i="1" s="1"/>
  <c r="Z23" i="1" s="1"/>
  <c r="E65" i="2" s="1"/>
  <c r="AI23" i="1"/>
  <c r="AJ23" i="1" s="1"/>
  <c r="AK23" i="1" s="1"/>
  <c r="E108" i="2" s="1"/>
  <c r="X24" i="1"/>
  <c r="Y24" i="1" s="1"/>
  <c r="Z24" i="1" s="1"/>
  <c r="E67" i="2" s="1"/>
  <c r="AI24" i="1"/>
  <c r="AJ24" i="1" s="1"/>
  <c r="AK24" i="1" s="1"/>
  <c r="E109" i="2" s="1"/>
  <c r="X25" i="1"/>
  <c r="Y25" i="1" s="1"/>
  <c r="Z25" i="1" s="1"/>
  <c r="E69" i="2" s="1"/>
  <c r="AI25" i="1"/>
  <c r="AJ25" i="1" s="1"/>
  <c r="AK25" i="1" s="1"/>
  <c r="E110" i="2" s="1"/>
  <c r="X26" i="1"/>
  <c r="Y26" i="1" s="1"/>
  <c r="Z26" i="1" s="1"/>
  <c r="E66" i="2" s="1"/>
  <c r="AI26" i="1"/>
  <c r="AJ26" i="1" s="1"/>
  <c r="AK26" i="1" s="1"/>
  <c r="E111" i="2" s="1"/>
  <c r="X27" i="1"/>
  <c r="Y27" i="1" s="1"/>
  <c r="Z27" i="1" s="1"/>
  <c r="E70" i="2" s="1"/>
  <c r="AI27" i="1"/>
  <c r="AJ27" i="1" s="1"/>
  <c r="AK27" i="1" s="1"/>
  <c r="E112" i="2" s="1"/>
  <c r="X28" i="1"/>
  <c r="Y28" i="1" s="1"/>
  <c r="Z28" i="1" s="1"/>
  <c r="E68" i="2" s="1"/>
  <c r="AI28" i="1"/>
  <c r="AJ28" i="1" s="1"/>
  <c r="AK28" i="1" s="1"/>
  <c r="E113" i="2" s="1"/>
  <c r="X29" i="1"/>
  <c r="Y29" i="1" s="1"/>
  <c r="Z29" i="1" s="1"/>
  <c r="E74" i="2" s="1"/>
  <c r="AI29" i="1"/>
  <c r="AJ29" i="1" s="1"/>
  <c r="AK29" i="1" s="1"/>
  <c r="E114" i="2" s="1"/>
  <c r="X30" i="1"/>
  <c r="Y30" i="1" s="1"/>
  <c r="Z30" i="1" s="1"/>
  <c r="E72" i="2" s="1"/>
  <c r="AI30" i="1"/>
  <c r="AJ30" i="1" s="1"/>
  <c r="AK30" i="1" s="1"/>
  <c r="E115" i="2" s="1"/>
  <c r="X31" i="1"/>
  <c r="Y31" i="1" s="1"/>
  <c r="Z31" i="1" s="1"/>
  <c r="E71" i="2" s="1"/>
  <c r="AI31" i="1"/>
  <c r="AJ31" i="1" s="1"/>
  <c r="AK31" i="1" s="1"/>
  <c r="E116" i="2" s="1"/>
  <c r="X32" i="1"/>
  <c r="Y32" i="1" s="1"/>
  <c r="Z32" i="1" s="1"/>
  <c r="E73" i="2" s="1"/>
  <c r="AI32" i="1"/>
  <c r="AJ32" i="1" s="1"/>
  <c r="AK32" i="1" s="1"/>
  <c r="E117" i="2" s="1"/>
  <c r="X33" i="1"/>
  <c r="Y33" i="1" s="1"/>
  <c r="Z33" i="1" s="1"/>
  <c r="E77" i="2" s="1"/>
  <c r="AI33" i="1"/>
  <c r="AJ33" i="1" s="1"/>
  <c r="AK33" i="1" s="1"/>
  <c r="E118" i="2" s="1"/>
  <c r="X34" i="1"/>
  <c r="Y34" i="1" s="1"/>
  <c r="Z34" i="1" s="1"/>
  <c r="E76" i="2" s="1"/>
  <c r="AI34" i="1"/>
  <c r="AJ34" i="1" s="1"/>
  <c r="AK34" i="1" s="1"/>
  <c r="E119" i="2" s="1"/>
  <c r="X35" i="1"/>
  <c r="Y35" i="1" s="1"/>
  <c r="Z35" i="1" s="1"/>
  <c r="E75" i="2" s="1"/>
  <c r="AI35" i="1"/>
  <c r="AJ35" i="1" s="1"/>
  <c r="AK35" i="1" s="1"/>
  <c r="E120" i="2" s="1"/>
  <c r="X36" i="1"/>
  <c r="Y36" i="1" s="1"/>
  <c r="Z36" i="1" s="1"/>
  <c r="E78" i="2" s="1"/>
  <c r="AI36" i="1"/>
  <c r="AJ36" i="1" s="1"/>
  <c r="AK36" i="1" s="1"/>
  <c r="E121" i="2" s="1"/>
  <c r="X37" i="1"/>
  <c r="Y37" i="1" s="1"/>
  <c r="Z37" i="1" s="1"/>
  <c r="E80" i="2" s="1"/>
  <c r="AI37" i="1"/>
  <c r="AJ37" i="1" s="1"/>
  <c r="AK37" i="1" s="1"/>
  <c r="E122" i="2" s="1"/>
  <c r="X38" i="1"/>
  <c r="Y38" i="1" s="1"/>
  <c r="Z38" i="1" s="1"/>
  <c r="E82" i="2" s="1"/>
  <c r="AI38" i="1"/>
  <c r="AJ38" i="1" s="1"/>
  <c r="AK38" i="1" s="1"/>
  <c r="E123" i="2" s="1"/>
  <c r="X39" i="1"/>
  <c r="Y39" i="1" s="1"/>
  <c r="Z39" i="1" s="1"/>
  <c r="E81" i="2" s="1"/>
  <c r="AI39" i="1"/>
  <c r="AJ39" i="1" s="1"/>
  <c r="AK39" i="1" s="1"/>
  <c r="E124" i="2" s="1"/>
  <c r="X40" i="1"/>
  <c r="Y40" i="1" s="1"/>
  <c r="Z40" i="1" s="1"/>
  <c r="E79" i="2" s="1"/>
  <c r="AI40" i="1"/>
  <c r="AJ40" i="1" s="1"/>
  <c r="AK40" i="1" s="1"/>
  <c r="E125" i="2" s="1"/>
  <c r="X41" i="1"/>
  <c r="Y41" i="1" s="1"/>
  <c r="Z41" i="1" s="1"/>
  <c r="E83" i="2" s="1"/>
  <c r="AI41" i="1"/>
  <c r="AJ41" i="1" s="1"/>
  <c r="AK41" i="1" s="1"/>
  <c r="E126" i="2" s="1"/>
  <c r="X42" i="1"/>
  <c r="Y42" i="1" s="1"/>
  <c r="Z42" i="1" s="1"/>
  <c r="E84" i="2" s="1"/>
  <c r="AI42" i="1"/>
  <c r="AJ42" i="1" s="1"/>
  <c r="AK42" i="1" s="1"/>
  <c r="E127" i="2" s="1"/>
  <c r="X43" i="1"/>
  <c r="Y43" i="1" s="1"/>
  <c r="Z43" i="1" s="1"/>
  <c r="E85" i="2" s="1"/>
  <c r="AI43" i="1"/>
  <c r="AJ43" i="1" s="1"/>
  <c r="AK43" i="1" s="1"/>
  <c r="X44" i="1"/>
  <c r="Y44" i="1" s="1"/>
  <c r="Z44" i="1" s="1"/>
  <c r="E86" i="2" s="1"/>
  <c r="AI44" i="1"/>
  <c r="AJ44" i="1" s="1"/>
  <c r="AK44" i="1" s="1"/>
  <c r="X45" i="1"/>
  <c r="Y45" i="1" s="1"/>
  <c r="Z45" i="1" s="1"/>
  <c r="E87" i="2" s="1"/>
  <c r="AI45" i="1"/>
  <c r="AJ45" i="1" s="1"/>
  <c r="AK45" i="1" s="1"/>
  <c r="X46" i="1"/>
  <c r="Y46" i="1" s="1"/>
  <c r="Z46" i="1" s="1"/>
  <c r="E88" i="2" s="1"/>
  <c r="AI46" i="1"/>
  <c r="AJ46" i="1" s="1"/>
  <c r="AK46" i="1" s="1"/>
  <c r="AI47" i="1"/>
  <c r="AJ47" i="1" s="1"/>
  <c r="AK47" i="1" s="1"/>
  <c r="AI48" i="1"/>
  <c r="AJ48" i="1" s="1"/>
  <c r="AK48" i="1" s="1"/>
  <c r="AI49" i="1"/>
  <c r="AJ49" i="1" s="1"/>
  <c r="AK49" i="1" s="1"/>
  <c r="AI50" i="1"/>
  <c r="AJ50" i="1" s="1"/>
  <c r="AK50" i="1" s="1"/>
  <c r="AI51" i="1"/>
  <c r="AJ51" i="1" s="1"/>
  <c r="AK51" i="1" s="1"/>
  <c r="J6" i="5"/>
  <c r="X6" i="2"/>
  <c r="J7" i="5"/>
  <c r="X7" i="2"/>
  <c r="J8" i="5"/>
  <c r="X8" i="2"/>
  <c r="J9" i="5"/>
  <c r="X9" i="2"/>
  <c r="J10" i="5"/>
  <c r="X10" i="2"/>
  <c r="J11" i="5"/>
  <c r="X11" i="2"/>
  <c r="J12" i="5"/>
  <c r="X12" i="2"/>
  <c r="J13" i="5"/>
  <c r="X13" i="2"/>
  <c r="J14" i="5"/>
  <c r="X14" i="2"/>
  <c r="J15" i="5"/>
  <c r="X15" i="2"/>
  <c r="J16" i="5"/>
  <c r="X16" i="2"/>
  <c r="J17" i="5"/>
  <c r="X17" i="2"/>
  <c r="J18" i="5"/>
  <c r="X18" i="2"/>
  <c r="J19" i="5"/>
  <c r="X19" i="2"/>
  <c r="J20" i="5"/>
  <c r="X20" i="2"/>
  <c r="J21" i="5"/>
  <c r="X21" i="2"/>
  <c r="J22" i="5"/>
  <c r="X22" i="2"/>
  <c r="J23" i="5"/>
  <c r="X23" i="2"/>
  <c r="J24" i="5"/>
  <c r="X24" i="2"/>
  <c r="J25" i="5"/>
  <c r="X25" i="2"/>
  <c r="J26" i="5"/>
  <c r="X26" i="2"/>
  <c r="J27" i="5"/>
  <c r="X27" i="2"/>
  <c r="J28" i="5"/>
  <c r="X28" i="2"/>
  <c r="J29" i="5"/>
  <c r="X29" i="2"/>
  <c r="J30" i="5"/>
  <c r="X30" i="2"/>
  <c r="J31" i="5"/>
  <c r="X31" i="2"/>
  <c r="J32" i="5"/>
  <c r="X32" i="2"/>
  <c r="J33" i="5"/>
  <c r="X33" i="2"/>
  <c r="J34" i="5"/>
  <c r="X34" i="2"/>
  <c r="J35" i="5"/>
  <c r="X35" i="2"/>
  <c r="J36" i="5"/>
  <c r="X36" i="2"/>
  <c r="J37" i="5"/>
  <c r="X37" i="2"/>
  <c r="J38" i="5"/>
  <c r="X38" i="2"/>
  <c r="J39" i="5"/>
  <c r="X39" i="2"/>
  <c r="J40" i="5"/>
  <c r="X40" i="2"/>
  <c r="J41" i="5"/>
  <c r="X41" i="2"/>
  <c r="J42" i="5"/>
  <c r="X42" i="2"/>
  <c r="J43" i="5"/>
  <c r="X43" i="2"/>
  <c r="J44" i="5"/>
  <c r="X44" i="2"/>
  <c r="J45" i="5"/>
  <c r="X45" i="2"/>
  <c r="J46" i="5"/>
  <c r="X46" i="2"/>
  <c r="J47" i="5"/>
  <c r="X47" i="2"/>
  <c r="J48" i="5"/>
  <c r="X48" i="2"/>
  <c r="J49" i="5"/>
  <c r="X49" i="2"/>
  <c r="J50" i="5"/>
  <c r="X50" i="2"/>
  <c r="J51" i="5"/>
  <c r="X51" i="2"/>
  <c r="J52" i="5"/>
  <c r="X52" i="2"/>
  <c r="J53" i="5"/>
  <c r="X53" i="2"/>
  <c r="J54" i="5"/>
  <c r="X54" i="2"/>
  <c r="J55" i="5"/>
  <c r="X55" i="2"/>
  <c r="J56" i="5"/>
  <c r="X56" i="2"/>
  <c r="J57" i="5"/>
  <c r="X57" i="2"/>
  <c r="J58" i="5"/>
  <c r="X58" i="2"/>
  <c r="J59" i="5"/>
  <c r="X59" i="2"/>
  <c r="J60" i="5"/>
  <c r="X60" i="2"/>
  <c r="J61" i="5"/>
  <c r="X61" i="2"/>
  <c r="J62" i="5"/>
  <c r="X62" i="2"/>
  <c r="J63" i="5"/>
  <c r="X63" i="2"/>
  <c r="J64" i="5"/>
  <c r="X64" i="2"/>
  <c r="J65" i="5"/>
  <c r="X65" i="2"/>
  <c r="J66" i="5"/>
  <c r="X66" i="2"/>
  <c r="J67" i="5"/>
  <c r="X67" i="2"/>
  <c r="J68" i="5"/>
  <c r="X68" i="2"/>
  <c r="J69" i="5"/>
  <c r="X69" i="2"/>
  <c r="J70" i="5"/>
  <c r="X70" i="2"/>
  <c r="J71" i="5"/>
  <c r="X71" i="2"/>
  <c r="J72" i="5"/>
  <c r="X72" i="2"/>
  <c r="J73" i="5"/>
  <c r="X73" i="2"/>
  <c r="W48" i="3"/>
  <c r="X2" i="3"/>
  <c r="X3" i="3"/>
  <c r="N5" i="3"/>
  <c r="O4" i="3"/>
  <c r="O5" i="3" s="1"/>
  <c r="X4" i="3"/>
  <c r="Y4" i="3" s="1"/>
  <c r="Z4" i="3" s="1"/>
  <c r="E46" i="4" s="1"/>
  <c r="AH54" i="3"/>
  <c r="AI4" i="3"/>
  <c r="AJ4" i="3" s="1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X5" i="3"/>
  <c r="Y5" i="3" s="1"/>
  <c r="Z5" i="3" s="1"/>
  <c r="E47" i="4" s="1"/>
  <c r="AI5" i="3"/>
  <c r="AJ5" i="3" s="1"/>
  <c r="AK5" i="3" s="1"/>
  <c r="E90" i="4" s="1"/>
  <c r="X6" i="3"/>
  <c r="Y6" i="3" s="1"/>
  <c r="Z6" i="3" s="1"/>
  <c r="E48" i="4" s="1"/>
  <c r="AI6" i="3"/>
  <c r="AJ6" i="3" s="1"/>
  <c r="AK6" i="3" s="1"/>
  <c r="E91" i="4" s="1"/>
  <c r="X7" i="3"/>
  <c r="Y7" i="3" s="1"/>
  <c r="Z7" i="3" s="1"/>
  <c r="E49" i="4" s="1"/>
  <c r="AI7" i="3"/>
  <c r="AJ7" i="3" s="1"/>
  <c r="AK7" i="3" s="1"/>
  <c r="E92" i="4" s="1"/>
  <c r="X8" i="3"/>
  <c r="Y8" i="3" s="1"/>
  <c r="Z8" i="3" s="1"/>
  <c r="E50" i="4" s="1"/>
  <c r="AI8" i="3"/>
  <c r="AJ8" i="3" s="1"/>
  <c r="AK8" i="3" s="1"/>
  <c r="E93" i="4" s="1"/>
  <c r="X9" i="3"/>
  <c r="Y9" i="3" s="1"/>
  <c r="Z9" i="3" s="1"/>
  <c r="E51" i="4" s="1"/>
  <c r="AI9" i="3"/>
  <c r="AJ9" i="3" s="1"/>
  <c r="AK9" i="3" s="1"/>
  <c r="E94" i="4" s="1"/>
  <c r="X10" i="3"/>
  <c r="Y10" i="3" s="1"/>
  <c r="Z10" i="3" s="1"/>
  <c r="E52" i="4" s="1"/>
  <c r="AI10" i="3"/>
  <c r="AJ10" i="3" s="1"/>
  <c r="AK10" i="3" s="1"/>
  <c r="E95" i="4" s="1"/>
  <c r="X11" i="3"/>
  <c r="Y11" i="3" s="1"/>
  <c r="Z11" i="3" s="1"/>
  <c r="E53" i="4" s="1"/>
  <c r="AI11" i="3"/>
  <c r="AJ11" i="3" s="1"/>
  <c r="AK11" i="3" s="1"/>
  <c r="E96" i="4" s="1"/>
  <c r="X12" i="3"/>
  <c r="Y12" i="3" s="1"/>
  <c r="Z12" i="3" s="1"/>
  <c r="E54" i="4" s="1"/>
  <c r="AI12" i="3"/>
  <c r="AJ12" i="3" s="1"/>
  <c r="AK12" i="3" s="1"/>
  <c r="E97" i="4" s="1"/>
  <c r="X13" i="3"/>
  <c r="Y13" i="3" s="1"/>
  <c r="Z13" i="3" s="1"/>
  <c r="E55" i="4" s="1"/>
  <c r="AI13" i="3"/>
  <c r="AJ13" i="3" s="1"/>
  <c r="AK13" i="3" s="1"/>
  <c r="E98" i="4" s="1"/>
  <c r="X14" i="3"/>
  <c r="Y14" i="3" s="1"/>
  <c r="Z14" i="3" s="1"/>
  <c r="E56" i="4" s="1"/>
  <c r="AI14" i="3"/>
  <c r="AJ14" i="3" s="1"/>
  <c r="AK14" i="3" s="1"/>
  <c r="E99" i="4" s="1"/>
  <c r="X15" i="3"/>
  <c r="Y15" i="3" s="1"/>
  <c r="Z15" i="3" s="1"/>
  <c r="E57" i="4" s="1"/>
  <c r="AI15" i="3"/>
  <c r="AJ15" i="3" s="1"/>
  <c r="AK15" i="3" s="1"/>
  <c r="E100" i="4" s="1"/>
  <c r="X16" i="3"/>
  <c r="Y16" i="3" s="1"/>
  <c r="Z16" i="3" s="1"/>
  <c r="E58" i="4" s="1"/>
  <c r="AI16" i="3"/>
  <c r="AJ16" i="3" s="1"/>
  <c r="AK16" i="3" s="1"/>
  <c r="E101" i="4" s="1"/>
  <c r="X17" i="3"/>
  <c r="Y17" i="3" s="1"/>
  <c r="Z17" i="3" s="1"/>
  <c r="E59" i="4" s="1"/>
  <c r="AI17" i="3"/>
  <c r="AJ17" i="3" s="1"/>
  <c r="AK17" i="3" s="1"/>
  <c r="E102" i="4" s="1"/>
  <c r="X18" i="3"/>
  <c r="Y18" i="3" s="1"/>
  <c r="Z18" i="3" s="1"/>
  <c r="E60" i="4" s="1"/>
  <c r="AI18" i="3"/>
  <c r="AJ18" i="3" s="1"/>
  <c r="AK18" i="3" s="1"/>
  <c r="E103" i="4" s="1"/>
  <c r="X19" i="3"/>
  <c r="Y19" i="3" s="1"/>
  <c r="Z19" i="3" s="1"/>
  <c r="E61" i="4" s="1"/>
  <c r="AI19" i="3"/>
  <c r="AJ19" i="3" s="1"/>
  <c r="AK19" i="3" s="1"/>
  <c r="E104" i="4" s="1"/>
  <c r="X20" i="3"/>
  <c r="Y20" i="3" s="1"/>
  <c r="Z20" i="3" s="1"/>
  <c r="E62" i="4" s="1"/>
  <c r="AI20" i="3"/>
  <c r="AJ20" i="3" s="1"/>
  <c r="AK20" i="3" s="1"/>
  <c r="E105" i="4" s="1"/>
  <c r="X21" i="3"/>
  <c r="Y21" i="3" s="1"/>
  <c r="Z21" i="3" s="1"/>
  <c r="E63" i="4" s="1"/>
  <c r="AI21" i="3"/>
  <c r="AJ21" i="3" s="1"/>
  <c r="AK21" i="3" s="1"/>
  <c r="E106" i="4" s="1"/>
  <c r="X22" i="3"/>
  <c r="Y22" i="3" s="1"/>
  <c r="Z22" i="3" s="1"/>
  <c r="E64" i="4" s="1"/>
  <c r="AI22" i="3"/>
  <c r="AJ22" i="3" s="1"/>
  <c r="AK22" i="3" s="1"/>
  <c r="E107" i="4" s="1"/>
  <c r="X23" i="3"/>
  <c r="Y23" i="3" s="1"/>
  <c r="Z23" i="3" s="1"/>
  <c r="E65" i="4" s="1"/>
  <c r="AI23" i="3"/>
  <c r="AJ23" i="3" s="1"/>
  <c r="AK23" i="3" s="1"/>
  <c r="E108" i="4" s="1"/>
  <c r="X24" i="3"/>
  <c r="Y24" i="3" s="1"/>
  <c r="Z24" i="3" s="1"/>
  <c r="E66" i="4" s="1"/>
  <c r="AI24" i="3"/>
  <c r="AJ24" i="3" s="1"/>
  <c r="AK24" i="3" s="1"/>
  <c r="E109" i="4" s="1"/>
  <c r="X25" i="3"/>
  <c r="Y25" i="3" s="1"/>
  <c r="Z25" i="3" s="1"/>
  <c r="E67" i="4" s="1"/>
  <c r="AI25" i="3"/>
  <c r="AJ25" i="3" s="1"/>
  <c r="AK25" i="3" s="1"/>
  <c r="E110" i="4" s="1"/>
  <c r="X26" i="3"/>
  <c r="Y26" i="3" s="1"/>
  <c r="Z26" i="3" s="1"/>
  <c r="E68" i="4" s="1"/>
  <c r="AI26" i="3"/>
  <c r="AJ26" i="3" s="1"/>
  <c r="AK26" i="3" s="1"/>
  <c r="E111" i="4" s="1"/>
  <c r="X27" i="3"/>
  <c r="Y27" i="3" s="1"/>
  <c r="Z27" i="3" s="1"/>
  <c r="E69" i="4" s="1"/>
  <c r="AI27" i="3"/>
  <c r="AJ27" i="3" s="1"/>
  <c r="AK27" i="3" s="1"/>
  <c r="E112" i="4" s="1"/>
  <c r="X28" i="3"/>
  <c r="Y28" i="3" s="1"/>
  <c r="Z28" i="3" s="1"/>
  <c r="E70" i="4" s="1"/>
  <c r="AI28" i="3"/>
  <c r="AJ28" i="3" s="1"/>
  <c r="AK28" i="3" s="1"/>
  <c r="E113" i="4" s="1"/>
  <c r="X29" i="3"/>
  <c r="Y29" i="3" s="1"/>
  <c r="Z29" i="3" s="1"/>
  <c r="E71" i="4" s="1"/>
  <c r="AI29" i="3"/>
  <c r="AJ29" i="3" s="1"/>
  <c r="AK29" i="3" s="1"/>
  <c r="E114" i="4" s="1"/>
  <c r="X30" i="3"/>
  <c r="Y30" i="3" s="1"/>
  <c r="Z30" i="3" s="1"/>
  <c r="E72" i="4" s="1"/>
  <c r="AI30" i="3"/>
  <c r="AJ30" i="3" s="1"/>
  <c r="AK30" i="3" s="1"/>
  <c r="E115" i="4" s="1"/>
  <c r="X31" i="3"/>
  <c r="Y31" i="3" s="1"/>
  <c r="Z31" i="3" s="1"/>
  <c r="E73" i="4" s="1"/>
  <c r="AI31" i="3"/>
  <c r="AJ31" i="3" s="1"/>
  <c r="AK31" i="3" s="1"/>
  <c r="E116" i="4" s="1"/>
  <c r="X32" i="3"/>
  <c r="Y32" i="3" s="1"/>
  <c r="Z32" i="3" s="1"/>
  <c r="E74" i="4" s="1"/>
  <c r="AI32" i="3"/>
  <c r="AJ32" i="3" s="1"/>
  <c r="AK32" i="3" s="1"/>
  <c r="E117" i="4" s="1"/>
  <c r="X33" i="3"/>
  <c r="Y33" i="3" s="1"/>
  <c r="Z33" i="3" s="1"/>
  <c r="E75" i="4" s="1"/>
  <c r="AI33" i="3"/>
  <c r="AJ33" i="3" s="1"/>
  <c r="AK33" i="3" s="1"/>
  <c r="E118" i="4" s="1"/>
  <c r="X34" i="3"/>
  <c r="Y34" i="3" s="1"/>
  <c r="Z34" i="3" s="1"/>
  <c r="E76" i="4" s="1"/>
  <c r="AI34" i="3"/>
  <c r="AJ34" i="3" s="1"/>
  <c r="AK34" i="3" s="1"/>
  <c r="E119" i="4" s="1"/>
  <c r="X35" i="3"/>
  <c r="Y35" i="3" s="1"/>
  <c r="Z35" i="3" s="1"/>
  <c r="E77" i="4" s="1"/>
  <c r="AI35" i="3"/>
  <c r="AJ35" i="3" s="1"/>
  <c r="AK35" i="3" s="1"/>
  <c r="E120" i="4" s="1"/>
  <c r="X36" i="3"/>
  <c r="Y36" i="3" s="1"/>
  <c r="Z36" i="3" s="1"/>
  <c r="E78" i="4" s="1"/>
  <c r="AI36" i="3"/>
  <c r="AJ36" i="3" s="1"/>
  <c r="AK36" i="3" s="1"/>
  <c r="E121" i="4" s="1"/>
  <c r="X37" i="3"/>
  <c r="Y37" i="3" s="1"/>
  <c r="Z37" i="3" s="1"/>
  <c r="E79" i="4" s="1"/>
  <c r="AI37" i="3"/>
  <c r="AJ37" i="3" s="1"/>
  <c r="AK37" i="3" s="1"/>
  <c r="E122" i="4" s="1"/>
  <c r="X38" i="3"/>
  <c r="Y38" i="3" s="1"/>
  <c r="Z38" i="3" s="1"/>
  <c r="E80" i="4" s="1"/>
  <c r="AI38" i="3"/>
  <c r="AJ38" i="3" s="1"/>
  <c r="AK38" i="3" s="1"/>
  <c r="E123" i="4" s="1"/>
  <c r="X39" i="3"/>
  <c r="Y39" i="3" s="1"/>
  <c r="Z39" i="3" s="1"/>
  <c r="E81" i="4" s="1"/>
  <c r="AI39" i="3"/>
  <c r="AJ39" i="3" s="1"/>
  <c r="AK39" i="3" s="1"/>
  <c r="E124" i="4" s="1"/>
  <c r="X40" i="3"/>
  <c r="Y40" i="3" s="1"/>
  <c r="Z40" i="3" s="1"/>
  <c r="E82" i="4" s="1"/>
  <c r="AI40" i="3"/>
  <c r="AJ40" i="3" s="1"/>
  <c r="AK40" i="3" s="1"/>
  <c r="E125" i="4" s="1"/>
  <c r="X41" i="3"/>
  <c r="Y41" i="3" s="1"/>
  <c r="Z41" i="3" s="1"/>
  <c r="E83" i="4" s="1"/>
  <c r="AI41" i="3"/>
  <c r="AJ41" i="3" s="1"/>
  <c r="AK41" i="3" s="1"/>
  <c r="E126" i="4" s="1"/>
  <c r="X42" i="3"/>
  <c r="Y42" i="3" s="1"/>
  <c r="Z42" i="3" s="1"/>
  <c r="E84" i="4" s="1"/>
  <c r="AI42" i="3"/>
  <c r="AJ42" i="3" s="1"/>
  <c r="AK42" i="3" s="1"/>
  <c r="E127" i="4" s="1"/>
  <c r="X43" i="3"/>
  <c r="Y43" i="3" s="1"/>
  <c r="Z43" i="3" s="1"/>
  <c r="E85" i="4" s="1"/>
  <c r="AI43" i="3"/>
  <c r="AJ43" i="3" s="1"/>
  <c r="AK43" i="3" s="1"/>
  <c r="X44" i="3"/>
  <c r="Y44" i="3" s="1"/>
  <c r="Z44" i="3" s="1"/>
  <c r="E86" i="4" s="1"/>
  <c r="AI44" i="3"/>
  <c r="AJ44" i="3" s="1"/>
  <c r="AK44" i="3" s="1"/>
  <c r="X45" i="3"/>
  <c r="Y45" i="3" s="1"/>
  <c r="Z45" i="3" s="1"/>
  <c r="E87" i="4" s="1"/>
  <c r="AI45" i="3"/>
  <c r="AJ45" i="3" s="1"/>
  <c r="AK45" i="3" s="1"/>
  <c r="X46" i="3"/>
  <c r="Y46" i="3" s="1"/>
  <c r="Z46" i="3" s="1"/>
  <c r="E88" i="4" s="1"/>
  <c r="AI46" i="3"/>
  <c r="AJ46" i="3" s="1"/>
  <c r="AK46" i="3" s="1"/>
  <c r="AI47" i="3"/>
  <c r="AJ47" i="3" s="1"/>
  <c r="AK47" i="3" s="1"/>
  <c r="AI48" i="3"/>
  <c r="AJ48" i="3" s="1"/>
  <c r="AK48" i="3" s="1"/>
  <c r="AI49" i="3"/>
  <c r="AJ49" i="3" s="1"/>
  <c r="AK49" i="3" s="1"/>
  <c r="AI50" i="3"/>
  <c r="AJ50" i="3" s="1"/>
  <c r="AK50" i="3" s="1"/>
  <c r="AI51" i="3"/>
  <c r="AJ51" i="3" s="1"/>
  <c r="AK51" i="3" s="1"/>
  <c r="AT6" i="5"/>
  <c r="X6" i="4"/>
  <c r="AT7" i="5"/>
  <c r="X7" i="4"/>
  <c r="AT8" i="5"/>
  <c r="X8" i="4"/>
  <c r="AT9" i="5"/>
  <c r="X9" i="4"/>
  <c r="AT10" i="5"/>
  <c r="X10" i="4"/>
  <c r="AT11" i="5"/>
  <c r="X11" i="4"/>
  <c r="AT12" i="5"/>
  <c r="X12" i="4"/>
  <c r="AT13" i="5"/>
  <c r="X13" i="4"/>
  <c r="AT14" i="5"/>
  <c r="X14" i="4"/>
  <c r="AT15" i="5"/>
  <c r="X15" i="4"/>
  <c r="AT16" i="5"/>
  <c r="X16" i="4"/>
  <c r="AT17" i="5"/>
  <c r="X17" i="4"/>
  <c r="AT18" i="5"/>
  <c r="X18" i="4"/>
  <c r="AT19" i="5"/>
  <c r="X19" i="4"/>
  <c r="AT20" i="5"/>
  <c r="X20" i="4"/>
  <c r="AT21" i="5"/>
  <c r="X21" i="4"/>
  <c r="AT22" i="5"/>
  <c r="X22" i="4"/>
  <c r="AT23" i="5"/>
  <c r="X23" i="4"/>
  <c r="AT24" i="5"/>
  <c r="X24" i="4"/>
  <c r="AT25" i="5"/>
  <c r="X25" i="4"/>
  <c r="AT26" i="5"/>
  <c r="X26" i="4"/>
  <c r="AT27" i="5"/>
  <c r="X27" i="4"/>
  <c r="AT28" i="5"/>
  <c r="X28" i="4"/>
  <c r="AT29" i="5"/>
  <c r="X29" i="4"/>
  <c r="AT30" i="5"/>
  <c r="X30" i="4"/>
  <c r="AT31" i="5"/>
  <c r="X31" i="4"/>
  <c r="AT32" i="5"/>
  <c r="X32" i="4"/>
  <c r="AT33" i="5"/>
  <c r="X33" i="4"/>
  <c r="AT34" i="5"/>
  <c r="X34" i="4"/>
  <c r="AT35" i="5"/>
  <c r="X35" i="4"/>
  <c r="AT36" i="5"/>
  <c r="X36" i="4"/>
  <c r="AT37" i="5"/>
  <c r="X37" i="4"/>
  <c r="AT38" i="5"/>
  <c r="X38" i="4"/>
  <c r="AT39" i="5"/>
  <c r="X39" i="4"/>
  <c r="AT40" i="5"/>
  <c r="X40" i="4"/>
  <c r="AT41" i="5"/>
  <c r="X41" i="4"/>
  <c r="AT42" i="5"/>
  <c r="X42" i="4"/>
  <c r="AT43" i="5"/>
  <c r="X43" i="4"/>
  <c r="AT44" i="5"/>
  <c r="X44" i="4"/>
  <c r="AT45" i="5"/>
  <c r="X45" i="4"/>
  <c r="AT46" i="5"/>
  <c r="X46" i="4"/>
  <c r="AT47" i="5"/>
  <c r="X47" i="4"/>
  <c r="AT48" i="5"/>
  <c r="X48" i="4"/>
  <c r="AT49" i="5"/>
  <c r="X49" i="4"/>
  <c r="AT50" i="5"/>
  <c r="X50" i="4"/>
  <c r="AT51" i="5"/>
  <c r="X51" i="4"/>
  <c r="AT52" i="5"/>
  <c r="X52" i="4"/>
  <c r="AT53" i="5"/>
  <c r="X53" i="4"/>
  <c r="AT54" i="5"/>
  <c r="X54" i="4"/>
  <c r="AT55" i="5"/>
  <c r="X55" i="4"/>
  <c r="AT56" i="5"/>
  <c r="X56" i="4"/>
  <c r="AT57" i="5"/>
  <c r="X57" i="4"/>
  <c r="AT58" i="5"/>
  <c r="X58" i="4"/>
  <c r="AT59" i="5"/>
  <c r="X59" i="4"/>
  <c r="AT60" i="5"/>
  <c r="X60" i="4"/>
  <c r="AT61" i="5"/>
  <c r="X61" i="4"/>
  <c r="AT62" i="5"/>
  <c r="X62" i="4"/>
  <c r="AT63" i="5"/>
  <c r="X63" i="4"/>
  <c r="AT64" i="5"/>
  <c r="X64" i="4"/>
  <c r="AT65" i="5"/>
  <c r="X65" i="4"/>
  <c r="AT66" i="5"/>
  <c r="X66" i="4"/>
  <c r="AT67" i="5"/>
  <c r="X67" i="4"/>
  <c r="AT68" i="5"/>
  <c r="X68" i="4"/>
  <c r="AT69" i="5"/>
  <c r="X69" i="4"/>
  <c r="AT70" i="5"/>
  <c r="X70" i="4"/>
  <c r="AT71" i="5"/>
  <c r="X71" i="4"/>
  <c r="AT72" i="5"/>
  <c r="X72" i="4"/>
  <c r="AT73" i="5"/>
  <c r="X73" i="4"/>
  <c r="AI6" i="5"/>
  <c r="AC6" i="5"/>
  <c r="BT6" i="5"/>
  <c r="BN6" i="5"/>
  <c r="AI8" i="5"/>
  <c r="AC8" i="5"/>
  <c r="BT8" i="5"/>
  <c r="BN8" i="5"/>
  <c r="AI9" i="5"/>
  <c r="AC9" i="5"/>
  <c r="BT9" i="5"/>
  <c r="BN9" i="5"/>
  <c r="AI10" i="5"/>
  <c r="AC10" i="5"/>
  <c r="BT10" i="5"/>
  <c r="BN10" i="5"/>
  <c r="AI11" i="5"/>
  <c r="AC11" i="5"/>
  <c r="BT11" i="5"/>
  <c r="BN11" i="5"/>
  <c r="AI12" i="5"/>
  <c r="AC12" i="5"/>
  <c r="BT12" i="5"/>
  <c r="BN12" i="5"/>
  <c r="AI13" i="5"/>
  <c r="AC13" i="5"/>
  <c r="BT13" i="5"/>
  <c r="BN13" i="5"/>
  <c r="AI14" i="5"/>
  <c r="AC14" i="5"/>
  <c r="BT14" i="5"/>
  <c r="BN14" i="5"/>
  <c r="AI15" i="5"/>
  <c r="AC15" i="5"/>
  <c r="BT15" i="5"/>
  <c r="BN15" i="5"/>
  <c r="AI16" i="5"/>
  <c r="AC16" i="5"/>
  <c r="BT16" i="5"/>
  <c r="BN16" i="5"/>
  <c r="AI17" i="5"/>
  <c r="AC17" i="5"/>
  <c r="BT17" i="5"/>
  <c r="BN17" i="5"/>
  <c r="AI18" i="5"/>
  <c r="AC18" i="5"/>
  <c r="BT18" i="5"/>
  <c r="BN18" i="5"/>
  <c r="AI19" i="5"/>
  <c r="AC19" i="5"/>
  <c r="BT19" i="5"/>
  <c r="BN19" i="5"/>
  <c r="AI20" i="5"/>
  <c r="AC20" i="5"/>
  <c r="BT20" i="5"/>
  <c r="BN20" i="5"/>
  <c r="AI21" i="5"/>
  <c r="AC21" i="5"/>
  <c r="BT21" i="5"/>
  <c r="BN21" i="5"/>
  <c r="AI22" i="5"/>
  <c r="AC22" i="5"/>
  <c r="BT22" i="5"/>
  <c r="BN22" i="5"/>
  <c r="AI23" i="5"/>
  <c r="AC23" i="5"/>
  <c r="BT23" i="5"/>
  <c r="BN23" i="5"/>
  <c r="AI24" i="5"/>
  <c r="AC24" i="5"/>
  <c r="BT24" i="5"/>
  <c r="BN24" i="5"/>
  <c r="AI25" i="5"/>
  <c r="AC25" i="5"/>
  <c r="BT25" i="5"/>
  <c r="BN25" i="5"/>
  <c r="AI26" i="5"/>
  <c r="AC26" i="5"/>
  <c r="BT26" i="5"/>
  <c r="BN26" i="5"/>
  <c r="AI27" i="5"/>
  <c r="AC27" i="5"/>
  <c r="BT27" i="5"/>
  <c r="BN27" i="5"/>
  <c r="AI28" i="5"/>
  <c r="AC28" i="5"/>
  <c r="BT28" i="5"/>
  <c r="BN28" i="5"/>
  <c r="AI29" i="5"/>
  <c r="AC29" i="5"/>
  <c r="BT29" i="5"/>
  <c r="BN29" i="5"/>
  <c r="AI30" i="5"/>
  <c r="AC30" i="5"/>
  <c r="BT30" i="5"/>
  <c r="BN30" i="5"/>
  <c r="AI31" i="5"/>
  <c r="AC31" i="5"/>
  <c r="BT31" i="5"/>
  <c r="BN31" i="5"/>
  <c r="AI32" i="5"/>
  <c r="AC32" i="5"/>
  <c r="BT32" i="5"/>
  <c r="BN32" i="5"/>
  <c r="AI33" i="5"/>
  <c r="AC33" i="5"/>
  <c r="BT33" i="5"/>
  <c r="BN33" i="5"/>
  <c r="AI34" i="5"/>
  <c r="AC34" i="5"/>
  <c r="BT34" i="5"/>
  <c r="BN34" i="5"/>
  <c r="AI35" i="5"/>
  <c r="AC35" i="5"/>
  <c r="BT35" i="5"/>
  <c r="BN35" i="5"/>
  <c r="AI36" i="5"/>
  <c r="AC36" i="5"/>
  <c r="BT36" i="5"/>
  <c r="BN36" i="5"/>
  <c r="AI37" i="5"/>
  <c r="AC37" i="5"/>
  <c r="BT37" i="5"/>
  <c r="BN37" i="5"/>
  <c r="AI38" i="5"/>
  <c r="AC38" i="5"/>
  <c r="BT38" i="5"/>
  <c r="BN38" i="5"/>
  <c r="AI39" i="5"/>
  <c r="AC39" i="5"/>
  <c r="BT39" i="5"/>
  <c r="BN39" i="5"/>
  <c r="AI40" i="5"/>
  <c r="AC40" i="5"/>
  <c r="BT40" i="5"/>
  <c r="BN40" i="5"/>
  <c r="AI41" i="5"/>
  <c r="AC41" i="5"/>
  <c r="BT41" i="5"/>
  <c r="BN41" i="5"/>
  <c r="AI42" i="5"/>
  <c r="AC42" i="5"/>
  <c r="BT42" i="5"/>
  <c r="BN42" i="5"/>
  <c r="AI43" i="5"/>
  <c r="AC43" i="5"/>
  <c r="BT43" i="5"/>
  <c r="BN43" i="5"/>
  <c r="AI44" i="5"/>
  <c r="AC44" i="5"/>
  <c r="BT44" i="5"/>
  <c r="BN44" i="5"/>
  <c r="AI45" i="5"/>
  <c r="AC45" i="5"/>
  <c r="BT45" i="5"/>
  <c r="BN45" i="5"/>
  <c r="AI46" i="5"/>
  <c r="AC46" i="5"/>
  <c r="BT46" i="5"/>
  <c r="BN46" i="5"/>
  <c r="AI47" i="5"/>
  <c r="AC47" i="5"/>
  <c r="BT47" i="5"/>
  <c r="BN47" i="5"/>
  <c r="AI48" i="5"/>
  <c r="AC48" i="5"/>
  <c r="BT48" i="5"/>
  <c r="BN48" i="5"/>
  <c r="AI49" i="5"/>
  <c r="AC49" i="5"/>
  <c r="BT49" i="5"/>
  <c r="BN49" i="5"/>
  <c r="AI50" i="5"/>
  <c r="AC50" i="5"/>
  <c r="BT50" i="5"/>
  <c r="BN50" i="5"/>
  <c r="AI51" i="5"/>
  <c r="AC51" i="5"/>
  <c r="BT51" i="5"/>
  <c r="BN51" i="5"/>
  <c r="AI52" i="5"/>
  <c r="AC52" i="5"/>
  <c r="BT52" i="5"/>
  <c r="BN52" i="5"/>
  <c r="AI53" i="5"/>
  <c r="AC53" i="5"/>
  <c r="BT53" i="5"/>
  <c r="BN53" i="5"/>
  <c r="AI54" i="5"/>
  <c r="AC54" i="5"/>
  <c r="BT54" i="5"/>
  <c r="BN54" i="5"/>
  <c r="AI55" i="5"/>
  <c r="AC55" i="5"/>
  <c r="BT55" i="5"/>
  <c r="BN55" i="5"/>
  <c r="AI56" i="5"/>
  <c r="AC56" i="5"/>
  <c r="BT56" i="5"/>
  <c r="BN56" i="5"/>
  <c r="AI57" i="5"/>
  <c r="AC57" i="5"/>
  <c r="BT57" i="5"/>
  <c r="BN57" i="5"/>
  <c r="AI58" i="5"/>
  <c r="AC58" i="5"/>
  <c r="BT58" i="5"/>
  <c r="BN58" i="5"/>
  <c r="AI59" i="5"/>
  <c r="AC59" i="5"/>
  <c r="BT59" i="5"/>
  <c r="BN59" i="5"/>
  <c r="AI60" i="5"/>
  <c r="AC60" i="5"/>
  <c r="BT60" i="5"/>
  <c r="BN60" i="5"/>
  <c r="AI61" i="5"/>
  <c r="AC61" i="5"/>
  <c r="BT61" i="5"/>
  <c r="BN61" i="5"/>
  <c r="AI62" i="5"/>
  <c r="AC62" i="5"/>
  <c r="BT62" i="5"/>
  <c r="BN62" i="5"/>
  <c r="AI63" i="5"/>
  <c r="AC63" i="5"/>
  <c r="BT63" i="5"/>
  <c r="BN63" i="5"/>
  <c r="AI64" i="5"/>
  <c r="AC64" i="5"/>
  <c r="BT64" i="5"/>
  <c r="BN64" i="5"/>
  <c r="AI65" i="5"/>
  <c r="AC65" i="5"/>
  <c r="BT65" i="5"/>
  <c r="BN65" i="5"/>
  <c r="AI66" i="5"/>
  <c r="AC66" i="5"/>
  <c r="BT66" i="5"/>
  <c r="BN66" i="5"/>
  <c r="AI67" i="5"/>
  <c r="AC67" i="5"/>
  <c r="BT67" i="5"/>
  <c r="BN67" i="5"/>
  <c r="AI68" i="5"/>
  <c r="AC68" i="5"/>
  <c r="BT68" i="5"/>
  <c r="BN68" i="5"/>
  <c r="AI69" i="5"/>
  <c r="AC69" i="5"/>
  <c r="BT69" i="5"/>
  <c r="BN69" i="5"/>
  <c r="AI70" i="5"/>
  <c r="AC70" i="5"/>
  <c r="BT70" i="5"/>
  <c r="BN70" i="5"/>
  <c r="AI71" i="5"/>
  <c r="AC71" i="5"/>
  <c r="BT71" i="5"/>
  <c r="BN71" i="5"/>
  <c r="AI72" i="5"/>
  <c r="AC72" i="5"/>
  <c r="BT72" i="5"/>
  <c r="BN72" i="5"/>
  <c r="AI73" i="5"/>
  <c r="AC73" i="5"/>
  <c r="BT73" i="5"/>
  <c r="BN73" i="5"/>
  <c r="N75" i="7"/>
  <c r="M75" i="7"/>
  <c r="N74" i="7"/>
  <c r="M74" i="7"/>
  <c r="N73" i="7"/>
  <c r="M73" i="7"/>
  <c r="N72" i="7"/>
  <c r="M72" i="7"/>
  <c r="N71" i="7"/>
  <c r="P71" i="7" s="1"/>
  <c r="M71" i="7"/>
  <c r="O71" i="7" s="1"/>
  <c r="N70" i="7"/>
  <c r="P70" i="7" s="1"/>
  <c r="M70" i="7"/>
  <c r="O70" i="7" s="1"/>
  <c r="N69" i="7"/>
  <c r="P69" i="7" s="1"/>
  <c r="M69" i="7"/>
  <c r="O69" i="7" s="1"/>
  <c r="N68" i="7"/>
  <c r="P68" i="7" s="1"/>
  <c r="M68" i="7"/>
  <c r="O68" i="7" s="1"/>
  <c r="N67" i="7"/>
  <c r="P67" i="7" s="1"/>
  <c r="M67" i="7"/>
  <c r="O67" i="7" s="1"/>
  <c r="N66" i="7"/>
  <c r="P66" i="7" s="1"/>
  <c r="M66" i="7"/>
  <c r="O66" i="7" s="1"/>
  <c r="N65" i="7"/>
  <c r="P65" i="7" s="1"/>
  <c r="M65" i="7"/>
  <c r="O65" i="7" s="1"/>
  <c r="N64" i="7"/>
  <c r="P64" i="7" s="1"/>
  <c r="M64" i="7"/>
  <c r="O64" i="7" s="1"/>
  <c r="N63" i="7"/>
  <c r="P63" i="7" s="1"/>
  <c r="M63" i="7"/>
  <c r="O63" i="7" s="1"/>
  <c r="N62" i="7"/>
  <c r="P62" i="7" s="1"/>
  <c r="M62" i="7"/>
  <c r="O62" i="7" s="1"/>
  <c r="N61" i="7"/>
  <c r="P61" i="7" s="1"/>
  <c r="M61" i="7"/>
  <c r="O61" i="7" s="1"/>
  <c r="N60" i="7"/>
  <c r="P60" i="7" s="1"/>
  <c r="M60" i="7"/>
  <c r="O60" i="7" s="1"/>
  <c r="N59" i="7"/>
  <c r="P59" i="7" s="1"/>
  <c r="M59" i="7"/>
  <c r="O59" i="7" s="1"/>
  <c r="N58" i="7"/>
  <c r="P58" i="7" s="1"/>
  <c r="M58" i="7"/>
  <c r="O58" i="7" s="1"/>
  <c r="N57" i="7"/>
  <c r="P57" i="7" s="1"/>
  <c r="M57" i="7"/>
  <c r="O57" i="7" s="1"/>
  <c r="N56" i="7"/>
  <c r="P56" i="7" s="1"/>
  <c r="M56" i="7"/>
  <c r="O56" i="7" s="1"/>
  <c r="N55" i="7"/>
  <c r="P55" i="7" s="1"/>
  <c r="M55" i="7"/>
  <c r="O55" i="7" s="1"/>
  <c r="N54" i="7"/>
  <c r="P54" i="7" s="1"/>
  <c r="M54" i="7"/>
  <c r="O54" i="7" s="1"/>
  <c r="N53" i="7"/>
  <c r="P53" i="7" s="1"/>
  <c r="M53" i="7"/>
  <c r="O53" i="7" s="1"/>
  <c r="N52" i="7"/>
  <c r="P52" i="7" s="1"/>
  <c r="M52" i="7"/>
  <c r="O52" i="7" s="1"/>
  <c r="N51" i="7"/>
  <c r="P51" i="7" s="1"/>
  <c r="M51" i="7"/>
  <c r="O51" i="7" s="1"/>
  <c r="N50" i="7"/>
  <c r="P50" i="7" s="1"/>
  <c r="M50" i="7"/>
  <c r="O50" i="7" s="1"/>
  <c r="N49" i="7"/>
  <c r="P49" i="7" s="1"/>
  <c r="M49" i="7"/>
  <c r="O49" i="7" s="1"/>
  <c r="N48" i="7"/>
  <c r="P48" i="7" s="1"/>
  <c r="M48" i="7"/>
  <c r="O48" i="7" s="1"/>
  <c r="N47" i="7"/>
  <c r="P47" i="7" s="1"/>
  <c r="M47" i="7"/>
  <c r="O47" i="7" s="1"/>
  <c r="N46" i="7"/>
  <c r="P46" i="7" s="1"/>
  <c r="M46" i="7"/>
  <c r="O46" i="7" s="1"/>
  <c r="N45" i="7"/>
  <c r="P45" i="7" s="1"/>
  <c r="M45" i="7"/>
  <c r="O45" i="7" s="1"/>
  <c r="N44" i="7"/>
  <c r="P44" i="7" s="1"/>
  <c r="M44" i="7"/>
  <c r="O44" i="7" s="1"/>
  <c r="N43" i="7"/>
  <c r="P43" i="7" s="1"/>
  <c r="M43" i="7"/>
  <c r="O43" i="7" s="1"/>
  <c r="N42" i="7"/>
  <c r="P42" i="7" s="1"/>
  <c r="M42" i="7"/>
  <c r="O42" i="7" s="1"/>
  <c r="N41" i="7"/>
  <c r="P41" i="7" s="1"/>
  <c r="M41" i="7"/>
  <c r="O41" i="7" s="1"/>
  <c r="N40" i="7"/>
  <c r="P40" i="7" s="1"/>
  <c r="M40" i="7"/>
  <c r="O40" i="7" s="1"/>
  <c r="N39" i="7"/>
  <c r="P39" i="7" s="1"/>
  <c r="M39" i="7"/>
  <c r="O39" i="7" s="1"/>
  <c r="N38" i="7"/>
  <c r="P38" i="7" s="1"/>
  <c r="M38" i="7"/>
  <c r="O38" i="7" s="1"/>
  <c r="N37" i="7"/>
  <c r="P37" i="7" s="1"/>
  <c r="M37" i="7"/>
  <c r="O37" i="7" s="1"/>
  <c r="N36" i="7"/>
  <c r="P36" i="7" s="1"/>
  <c r="M36" i="7"/>
  <c r="O36" i="7" s="1"/>
  <c r="N35" i="7"/>
  <c r="P35" i="7" s="1"/>
  <c r="M35" i="7"/>
  <c r="O35" i="7" s="1"/>
  <c r="N34" i="7"/>
  <c r="P34" i="7" s="1"/>
  <c r="M34" i="7"/>
  <c r="O34" i="7" s="1"/>
  <c r="N33" i="7"/>
  <c r="P33" i="7" s="1"/>
  <c r="M33" i="7"/>
  <c r="O33" i="7" s="1"/>
  <c r="N32" i="7"/>
  <c r="P32" i="7" s="1"/>
  <c r="M32" i="7"/>
  <c r="O32" i="7" s="1"/>
  <c r="N31" i="7"/>
  <c r="P31" i="7" s="1"/>
  <c r="M31" i="7"/>
  <c r="O31" i="7" s="1"/>
  <c r="N30" i="7"/>
  <c r="P30" i="7" s="1"/>
  <c r="M30" i="7"/>
  <c r="O30" i="7" s="1"/>
  <c r="N29" i="7"/>
  <c r="P29" i="7" s="1"/>
  <c r="M29" i="7"/>
  <c r="O29" i="7" s="1"/>
  <c r="N28" i="7"/>
  <c r="P28" i="7" s="1"/>
  <c r="M28" i="7"/>
  <c r="O28" i="7" s="1"/>
  <c r="N27" i="7"/>
  <c r="P27" i="7" s="1"/>
  <c r="M27" i="7"/>
  <c r="O27" i="7" s="1"/>
  <c r="N26" i="7"/>
  <c r="P26" i="7" s="1"/>
  <c r="M26" i="7"/>
  <c r="O26" i="7" s="1"/>
  <c r="N25" i="7"/>
  <c r="P25" i="7" s="1"/>
  <c r="M25" i="7"/>
  <c r="O25" i="7" s="1"/>
  <c r="N24" i="7"/>
  <c r="P24" i="7" s="1"/>
  <c r="M24" i="7"/>
  <c r="O24" i="7" s="1"/>
  <c r="N23" i="7"/>
  <c r="P23" i="7" s="1"/>
  <c r="M23" i="7"/>
  <c r="O23" i="7" s="1"/>
  <c r="N22" i="7"/>
  <c r="P22" i="7" s="1"/>
  <c r="M22" i="7"/>
  <c r="O22" i="7" s="1"/>
  <c r="N21" i="7"/>
  <c r="P21" i="7" s="1"/>
  <c r="M21" i="7"/>
  <c r="O21" i="7" s="1"/>
  <c r="N20" i="7"/>
  <c r="P20" i="7" s="1"/>
  <c r="M20" i="7"/>
  <c r="O20" i="7" s="1"/>
  <c r="N19" i="7"/>
  <c r="P19" i="7" s="1"/>
  <c r="M19" i="7"/>
  <c r="O19" i="7" s="1"/>
  <c r="N18" i="7"/>
  <c r="P18" i="7" s="1"/>
  <c r="M18" i="7"/>
  <c r="O18" i="7" s="1"/>
  <c r="N17" i="7"/>
  <c r="P17" i="7" s="1"/>
  <c r="M17" i="7"/>
  <c r="O17" i="7" s="1"/>
  <c r="N16" i="7"/>
  <c r="P16" i="7" s="1"/>
  <c r="M16" i="7"/>
  <c r="O16" i="7" s="1"/>
  <c r="N15" i="7"/>
  <c r="P15" i="7" s="1"/>
  <c r="M15" i="7"/>
  <c r="O15" i="7" s="1"/>
  <c r="N14" i="7"/>
  <c r="P14" i="7" s="1"/>
  <c r="M14" i="7"/>
  <c r="O14" i="7" s="1"/>
  <c r="N13" i="7"/>
  <c r="P13" i="7" s="1"/>
  <c r="M13" i="7"/>
  <c r="O13" i="7" s="1"/>
  <c r="N12" i="7"/>
  <c r="P12" i="7" s="1"/>
  <c r="M12" i="7"/>
  <c r="O12" i="7" s="1"/>
  <c r="N11" i="7"/>
  <c r="P11" i="7" s="1"/>
  <c r="M11" i="7"/>
  <c r="O11" i="7" s="1"/>
  <c r="N10" i="7"/>
  <c r="P10" i="7" s="1"/>
  <c r="M10" i="7"/>
  <c r="O10" i="7" s="1"/>
  <c r="N9" i="7"/>
  <c r="P9" i="7" s="1"/>
  <c r="M9" i="7"/>
  <c r="O9" i="7" s="1"/>
  <c r="N8" i="7"/>
  <c r="P8" i="7" s="1"/>
  <c r="M8" i="7"/>
  <c r="O8" i="7" s="1"/>
  <c r="N7" i="7"/>
  <c r="P7" i="7" s="1"/>
  <c r="M7" i="7"/>
  <c r="O7" i="7" s="1"/>
  <c r="N6" i="7"/>
  <c r="P6" i="7" s="1"/>
  <c r="M6" i="7"/>
  <c r="O6" i="7" s="1"/>
  <c r="N5" i="7"/>
  <c r="P5" i="7" s="1"/>
  <c r="M5" i="7"/>
  <c r="O5" i="7" s="1"/>
  <c r="N4" i="7"/>
  <c r="M4" i="7"/>
  <c r="AS4" i="7"/>
  <c r="AM4" i="7"/>
  <c r="AS6" i="7"/>
  <c r="AV6" i="7" s="1"/>
  <c r="AM6" i="7"/>
  <c r="AS7" i="7"/>
  <c r="AV7" i="7" s="1"/>
  <c r="AM7" i="7"/>
  <c r="AS8" i="7"/>
  <c r="AV8" i="7" s="1"/>
  <c r="AM8" i="7"/>
  <c r="AS9" i="7"/>
  <c r="AV9" i="7" s="1"/>
  <c r="AM9" i="7"/>
  <c r="AS10" i="7"/>
  <c r="AV10" i="7" s="1"/>
  <c r="AM10" i="7"/>
  <c r="AS11" i="7"/>
  <c r="AV11" i="7" s="1"/>
  <c r="AM11" i="7"/>
  <c r="AS12" i="7"/>
  <c r="AV12" i="7" s="1"/>
  <c r="AM12" i="7"/>
  <c r="AS13" i="7"/>
  <c r="AV13" i="7" s="1"/>
  <c r="AM13" i="7"/>
  <c r="AS14" i="7"/>
  <c r="AV14" i="7" s="1"/>
  <c r="AM14" i="7"/>
  <c r="AS15" i="7"/>
  <c r="AV15" i="7" s="1"/>
  <c r="AM15" i="7"/>
  <c r="AS16" i="7"/>
  <c r="AV16" i="7" s="1"/>
  <c r="AM16" i="7"/>
  <c r="AS17" i="7"/>
  <c r="AV17" i="7" s="1"/>
  <c r="AM17" i="7"/>
  <c r="AS18" i="7"/>
  <c r="AV18" i="7" s="1"/>
  <c r="AM18" i="7"/>
  <c r="AS19" i="7"/>
  <c r="AV19" i="7" s="1"/>
  <c r="AM19" i="7"/>
  <c r="AS20" i="7"/>
  <c r="AV20" i="7" s="1"/>
  <c r="AM20" i="7"/>
  <c r="AS21" i="7"/>
  <c r="AV21" i="7" s="1"/>
  <c r="AM21" i="7"/>
  <c r="AS22" i="7"/>
  <c r="AV22" i="7" s="1"/>
  <c r="AM22" i="7"/>
  <c r="AS23" i="7"/>
  <c r="AV23" i="7" s="1"/>
  <c r="AM23" i="7"/>
  <c r="AS24" i="7"/>
  <c r="AV24" i="7" s="1"/>
  <c r="AM24" i="7"/>
  <c r="AS25" i="7"/>
  <c r="AV25" i="7" s="1"/>
  <c r="AM25" i="7"/>
  <c r="AS26" i="7"/>
  <c r="AV26" i="7" s="1"/>
  <c r="AM26" i="7"/>
  <c r="AS27" i="7"/>
  <c r="AV27" i="7" s="1"/>
  <c r="AM27" i="7"/>
  <c r="AS28" i="7"/>
  <c r="AV28" i="7" s="1"/>
  <c r="AM28" i="7"/>
  <c r="AS29" i="7"/>
  <c r="AV29" i="7" s="1"/>
  <c r="AM29" i="7"/>
  <c r="AS30" i="7"/>
  <c r="AV30" i="7" s="1"/>
  <c r="AM30" i="7"/>
  <c r="AS31" i="7"/>
  <c r="AV31" i="7" s="1"/>
  <c r="AM31" i="7"/>
  <c r="AS32" i="7"/>
  <c r="AV32" i="7" s="1"/>
  <c r="AM32" i="7"/>
  <c r="AS33" i="7"/>
  <c r="AV33" i="7" s="1"/>
  <c r="AM33" i="7"/>
  <c r="AS34" i="7"/>
  <c r="AV34" i="7" s="1"/>
  <c r="AM34" i="7"/>
  <c r="AS35" i="7"/>
  <c r="AV35" i="7" s="1"/>
  <c r="AM35" i="7"/>
  <c r="AS36" i="7"/>
  <c r="AV36" i="7" s="1"/>
  <c r="AM36" i="7"/>
  <c r="AS37" i="7"/>
  <c r="AV37" i="7" s="1"/>
  <c r="AM37" i="7"/>
  <c r="AS38" i="7"/>
  <c r="AV38" i="7" s="1"/>
  <c r="AM38" i="7"/>
  <c r="AS39" i="7"/>
  <c r="AV39" i="7" s="1"/>
  <c r="AM39" i="7"/>
  <c r="AS40" i="7"/>
  <c r="AV40" i="7" s="1"/>
  <c r="AM40" i="7"/>
  <c r="AS41" i="7"/>
  <c r="AV41" i="7" s="1"/>
  <c r="AM41" i="7"/>
  <c r="AS42" i="7"/>
  <c r="AV42" i="7" s="1"/>
  <c r="AM42" i="7"/>
  <c r="AS43" i="7"/>
  <c r="AV43" i="7" s="1"/>
  <c r="AM43" i="7"/>
  <c r="AS44" i="7"/>
  <c r="AV44" i="7" s="1"/>
  <c r="AM44" i="7"/>
  <c r="AS45" i="7"/>
  <c r="AV45" i="7" s="1"/>
  <c r="AM45" i="7"/>
  <c r="AS46" i="7"/>
  <c r="AV46" i="7" s="1"/>
  <c r="AM46" i="7"/>
  <c r="AS47" i="7"/>
  <c r="AV47" i="7" s="1"/>
  <c r="AM47" i="7"/>
  <c r="AS48" i="7"/>
  <c r="AV48" i="7" s="1"/>
  <c r="AM48" i="7"/>
  <c r="AS49" i="7"/>
  <c r="AV49" i="7" s="1"/>
  <c r="AM49" i="7"/>
  <c r="AS50" i="7"/>
  <c r="AV50" i="7" s="1"/>
  <c r="AM50" i="7"/>
  <c r="AS51" i="7"/>
  <c r="AV51" i="7" s="1"/>
  <c r="AM51" i="7"/>
  <c r="AS52" i="7"/>
  <c r="AV52" i="7" s="1"/>
  <c r="AM52" i="7"/>
  <c r="AS53" i="7"/>
  <c r="AV53" i="7" s="1"/>
  <c r="AM53" i="7"/>
  <c r="AS54" i="7"/>
  <c r="AV54" i="7" s="1"/>
  <c r="AM54" i="7"/>
  <c r="AS55" i="7"/>
  <c r="AV55" i="7" s="1"/>
  <c r="AM55" i="7"/>
  <c r="AS56" i="7"/>
  <c r="AV56" i="7" s="1"/>
  <c r="AM56" i="7"/>
  <c r="AS57" i="7"/>
  <c r="AV57" i="7" s="1"/>
  <c r="AM57" i="7"/>
  <c r="AS58" i="7"/>
  <c r="AV58" i="7" s="1"/>
  <c r="AM58" i="7"/>
  <c r="AS59" i="7"/>
  <c r="AV59" i="7" s="1"/>
  <c r="AM59" i="7"/>
  <c r="AS60" i="7"/>
  <c r="AV60" i="7" s="1"/>
  <c r="AM60" i="7"/>
  <c r="AS61" i="7"/>
  <c r="AV61" i="7" s="1"/>
  <c r="AM61" i="7"/>
  <c r="AS62" i="7"/>
  <c r="AV62" i="7" s="1"/>
  <c r="AM62" i="7"/>
  <c r="AS63" i="7"/>
  <c r="AV63" i="7" s="1"/>
  <c r="AM63" i="7"/>
  <c r="AS64" i="7"/>
  <c r="AV64" i="7" s="1"/>
  <c r="AM64" i="7"/>
  <c r="AS65" i="7"/>
  <c r="AV65" i="7" s="1"/>
  <c r="AM65" i="7"/>
  <c r="AS66" i="7"/>
  <c r="AV66" i="7" s="1"/>
  <c r="AM66" i="7"/>
  <c r="AS67" i="7"/>
  <c r="AV67" i="7" s="1"/>
  <c r="AM67" i="7"/>
  <c r="AS68" i="7"/>
  <c r="AV68" i="7" s="1"/>
  <c r="AM68" i="7"/>
  <c r="AS69" i="7"/>
  <c r="AV69" i="7" s="1"/>
  <c r="AM69" i="7"/>
  <c r="AS70" i="7"/>
  <c r="AV70" i="7" s="1"/>
  <c r="AM70" i="7"/>
  <c r="AS71" i="7"/>
  <c r="AV71" i="7" s="1"/>
  <c r="AM71" i="7"/>
  <c r="L77" i="7"/>
  <c r="L80" i="7" l="1"/>
  <c r="L79" i="7"/>
  <c r="O4" i="7"/>
  <c r="M2" i="7"/>
  <c r="O72" i="7" s="1"/>
  <c r="R72" i="7" s="1"/>
  <c r="S72" i="7" s="1"/>
  <c r="P4" i="7"/>
  <c r="N2" i="7"/>
  <c r="AG5" i="7"/>
  <c r="AF5" i="7"/>
  <c r="R5" i="7"/>
  <c r="S5" i="7" s="1"/>
  <c r="AV5" i="7"/>
  <c r="AU5" i="7"/>
  <c r="AG6" i="7"/>
  <c r="AF6" i="7"/>
  <c r="R6" i="7"/>
  <c r="S6" i="7" s="1"/>
  <c r="AU6" i="7"/>
  <c r="AG7" i="7"/>
  <c r="AF7" i="7"/>
  <c r="R7" i="7"/>
  <c r="S7" i="7" s="1"/>
  <c r="AU7" i="7"/>
  <c r="AG8" i="7"/>
  <c r="AF8" i="7"/>
  <c r="R8" i="7"/>
  <c r="S8" i="7" s="1"/>
  <c r="AU8" i="7"/>
  <c r="AG9" i="7"/>
  <c r="AF9" i="7"/>
  <c r="R9" i="7"/>
  <c r="S9" i="7" s="1"/>
  <c r="AU9" i="7"/>
  <c r="AG10" i="7"/>
  <c r="AF10" i="7"/>
  <c r="R10" i="7"/>
  <c r="S10" i="7" s="1"/>
  <c r="AU10" i="7"/>
  <c r="AG11" i="7"/>
  <c r="AF11" i="7"/>
  <c r="R11" i="7"/>
  <c r="S11" i="7" s="1"/>
  <c r="AU11" i="7"/>
  <c r="AG12" i="7"/>
  <c r="AF12" i="7"/>
  <c r="R12" i="7"/>
  <c r="S12" i="7" s="1"/>
  <c r="AU12" i="7"/>
  <c r="AG13" i="7"/>
  <c r="AF13" i="7"/>
  <c r="R13" i="7"/>
  <c r="S13" i="7" s="1"/>
  <c r="AU13" i="7"/>
  <c r="AG14" i="7"/>
  <c r="AF14" i="7"/>
  <c r="R14" i="7"/>
  <c r="S14" i="7" s="1"/>
  <c r="AU14" i="7"/>
  <c r="AG15" i="7"/>
  <c r="AF15" i="7"/>
  <c r="R15" i="7"/>
  <c r="S15" i="7" s="1"/>
  <c r="AU15" i="7"/>
  <c r="AG16" i="7"/>
  <c r="AF16" i="7"/>
  <c r="R16" i="7"/>
  <c r="S16" i="7" s="1"/>
  <c r="AU16" i="7"/>
  <c r="AG17" i="7"/>
  <c r="AF17" i="7"/>
  <c r="R17" i="7"/>
  <c r="S17" i="7" s="1"/>
  <c r="AU17" i="7"/>
  <c r="AG18" i="7"/>
  <c r="AF18" i="7"/>
  <c r="R18" i="7"/>
  <c r="S18" i="7" s="1"/>
  <c r="AU18" i="7"/>
  <c r="AG19" i="7"/>
  <c r="AF19" i="7"/>
  <c r="R19" i="7"/>
  <c r="S19" i="7" s="1"/>
  <c r="AU19" i="7"/>
  <c r="AG20" i="7"/>
  <c r="AF20" i="7"/>
  <c r="R20" i="7"/>
  <c r="S20" i="7" s="1"/>
  <c r="AU20" i="7"/>
  <c r="AG21" i="7"/>
  <c r="AF21" i="7"/>
  <c r="R21" i="7"/>
  <c r="S21" i="7" s="1"/>
  <c r="AU21" i="7"/>
  <c r="AG22" i="7"/>
  <c r="AF22" i="7"/>
  <c r="R22" i="7"/>
  <c r="S22" i="7" s="1"/>
  <c r="AU22" i="7"/>
  <c r="AG23" i="7"/>
  <c r="AF23" i="7"/>
  <c r="R23" i="7"/>
  <c r="S23" i="7" s="1"/>
  <c r="AU23" i="7"/>
  <c r="AG24" i="7"/>
  <c r="AF24" i="7"/>
  <c r="R24" i="7"/>
  <c r="S24" i="7" s="1"/>
  <c r="AU24" i="7"/>
  <c r="AG25" i="7"/>
  <c r="AF25" i="7"/>
  <c r="R25" i="7"/>
  <c r="S25" i="7" s="1"/>
  <c r="AU25" i="7"/>
  <c r="AG26" i="7"/>
  <c r="AF26" i="7"/>
  <c r="R26" i="7"/>
  <c r="S26" i="7" s="1"/>
  <c r="AU26" i="7"/>
  <c r="AG27" i="7"/>
  <c r="AF27" i="7"/>
  <c r="R27" i="7"/>
  <c r="S27" i="7" s="1"/>
  <c r="AU27" i="7"/>
  <c r="AG28" i="7"/>
  <c r="AF28" i="7"/>
  <c r="R28" i="7"/>
  <c r="S28" i="7" s="1"/>
  <c r="AU28" i="7"/>
  <c r="AG29" i="7"/>
  <c r="AF29" i="7"/>
  <c r="R29" i="7"/>
  <c r="S29" i="7" s="1"/>
  <c r="AU29" i="7"/>
  <c r="AG30" i="7"/>
  <c r="AF30" i="7"/>
  <c r="R30" i="7"/>
  <c r="S30" i="7" s="1"/>
  <c r="AU30" i="7"/>
  <c r="AG31" i="7"/>
  <c r="AF31" i="7"/>
  <c r="R31" i="7"/>
  <c r="S31" i="7" s="1"/>
  <c r="AU31" i="7"/>
  <c r="AG32" i="7"/>
  <c r="AF32" i="7"/>
  <c r="R32" i="7"/>
  <c r="S32" i="7" s="1"/>
  <c r="AU32" i="7"/>
  <c r="AG33" i="7"/>
  <c r="AF33" i="7"/>
  <c r="R33" i="7"/>
  <c r="S33" i="7" s="1"/>
  <c r="AU33" i="7"/>
  <c r="AG34" i="7"/>
  <c r="AF34" i="7"/>
  <c r="R34" i="7"/>
  <c r="S34" i="7" s="1"/>
  <c r="AU34" i="7"/>
  <c r="AG35" i="7"/>
  <c r="AF35" i="7"/>
  <c r="R35" i="7"/>
  <c r="S35" i="7" s="1"/>
  <c r="AU35" i="7"/>
  <c r="AG36" i="7"/>
  <c r="AF36" i="7"/>
  <c r="R36" i="7"/>
  <c r="S36" i="7" s="1"/>
  <c r="AU36" i="7"/>
  <c r="AG37" i="7"/>
  <c r="AF37" i="7"/>
  <c r="R37" i="7"/>
  <c r="S37" i="7" s="1"/>
  <c r="AU37" i="7"/>
  <c r="AG38" i="7"/>
  <c r="AF38" i="7"/>
  <c r="R38" i="7"/>
  <c r="S38" i="7" s="1"/>
  <c r="AU38" i="7"/>
  <c r="AG39" i="7"/>
  <c r="AF39" i="7"/>
  <c r="R39" i="7"/>
  <c r="S39" i="7" s="1"/>
  <c r="AU39" i="7"/>
  <c r="AG40" i="7"/>
  <c r="AF40" i="7"/>
  <c r="R40" i="7"/>
  <c r="S40" i="7" s="1"/>
  <c r="AU40" i="7"/>
  <c r="AG41" i="7"/>
  <c r="AF41" i="7"/>
  <c r="R41" i="7"/>
  <c r="S41" i="7" s="1"/>
  <c r="AU41" i="7"/>
  <c r="AG42" i="7"/>
  <c r="AF42" i="7"/>
  <c r="R42" i="7"/>
  <c r="S42" i="7" s="1"/>
  <c r="AU42" i="7"/>
  <c r="AG43" i="7"/>
  <c r="AF43" i="7"/>
  <c r="R43" i="7"/>
  <c r="S43" i="7" s="1"/>
  <c r="AU43" i="7"/>
  <c r="AG44" i="7"/>
  <c r="AF44" i="7"/>
  <c r="R44" i="7"/>
  <c r="S44" i="7" s="1"/>
  <c r="AU44" i="7"/>
  <c r="AG45" i="7"/>
  <c r="AF45" i="7"/>
  <c r="R45" i="7"/>
  <c r="S45" i="7" s="1"/>
  <c r="AU45" i="7"/>
  <c r="AG46" i="7"/>
  <c r="AF46" i="7"/>
  <c r="R46" i="7"/>
  <c r="S46" i="7" s="1"/>
  <c r="AU46" i="7"/>
  <c r="AG47" i="7"/>
  <c r="AF47" i="7"/>
  <c r="R47" i="7"/>
  <c r="S47" i="7" s="1"/>
  <c r="AU47" i="7"/>
  <c r="AG48" i="7"/>
  <c r="AF48" i="7"/>
  <c r="R48" i="7"/>
  <c r="S48" i="7" s="1"/>
  <c r="AU48" i="7"/>
  <c r="AG49" i="7"/>
  <c r="AF49" i="7"/>
  <c r="R49" i="7"/>
  <c r="S49" i="7" s="1"/>
  <c r="AU49" i="7"/>
  <c r="AG50" i="7"/>
  <c r="AF50" i="7"/>
  <c r="R50" i="7"/>
  <c r="S50" i="7" s="1"/>
  <c r="AU50" i="7"/>
  <c r="AG51" i="7"/>
  <c r="AF51" i="7"/>
  <c r="R51" i="7"/>
  <c r="S51" i="7" s="1"/>
  <c r="AU51" i="7"/>
  <c r="AG52" i="7"/>
  <c r="AF52" i="7"/>
  <c r="R52" i="7"/>
  <c r="S52" i="7" s="1"/>
  <c r="AU52" i="7"/>
  <c r="AG53" i="7"/>
  <c r="AF53" i="7"/>
  <c r="R53" i="7"/>
  <c r="S53" i="7" s="1"/>
  <c r="AU53" i="7"/>
  <c r="AG54" i="7"/>
  <c r="AF54" i="7"/>
  <c r="R54" i="7"/>
  <c r="S54" i="7" s="1"/>
  <c r="AU54" i="7"/>
  <c r="AG55" i="7"/>
  <c r="AF55" i="7"/>
  <c r="R55" i="7"/>
  <c r="S55" i="7" s="1"/>
  <c r="AU55" i="7"/>
  <c r="AG56" i="7"/>
  <c r="AF56" i="7"/>
  <c r="R56" i="7"/>
  <c r="S56" i="7" s="1"/>
  <c r="AU56" i="7"/>
  <c r="AG57" i="7"/>
  <c r="AF57" i="7"/>
  <c r="R57" i="7"/>
  <c r="S57" i="7" s="1"/>
  <c r="AU57" i="7"/>
  <c r="AG58" i="7"/>
  <c r="AF58" i="7"/>
  <c r="R58" i="7"/>
  <c r="S58" i="7" s="1"/>
  <c r="AU58" i="7"/>
  <c r="AG59" i="7"/>
  <c r="AF59" i="7"/>
  <c r="R59" i="7"/>
  <c r="S59" i="7" s="1"/>
  <c r="AU59" i="7"/>
  <c r="AG60" i="7"/>
  <c r="AF60" i="7"/>
  <c r="R60" i="7"/>
  <c r="S60" i="7" s="1"/>
  <c r="AU60" i="7"/>
  <c r="AG61" i="7"/>
  <c r="AF61" i="7"/>
  <c r="R61" i="7"/>
  <c r="S61" i="7" s="1"/>
  <c r="AU61" i="7"/>
  <c r="AG62" i="7"/>
  <c r="AF62" i="7"/>
  <c r="R62" i="7"/>
  <c r="S62" i="7" s="1"/>
  <c r="AU62" i="7"/>
  <c r="AG63" i="7"/>
  <c r="AF63" i="7"/>
  <c r="R63" i="7"/>
  <c r="S63" i="7" s="1"/>
  <c r="AU63" i="7"/>
  <c r="AG64" i="7"/>
  <c r="AF64" i="7"/>
  <c r="R64" i="7"/>
  <c r="S64" i="7" s="1"/>
  <c r="AU64" i="7"/>
  <c r="AG65" i="7"/>
  <c r="AF65" i="7"/>
  <c r="R65" i="7"/>
  <c r="S65" i="7" s="1"/>
  <c r="AU65" i="7"/>
  <c r="AG66" i="7"/>
  <c r="AF66" i="7"/>
  <c r="R66" i="7"/>
  <c r="S66" i="7" s="1"/>
  <c r="AU66" i="7"/>
  <c r="AG67" i="7"/>
  <c r="AF67" i="7"/>
  <c r="R67" i="7"/>
  <c r="S67" i="7" s="1"/>
  <c r="AU67" i="7"/>
  <c r="AG68" i="7"/>
  <c r="AF68" i="7"/>
  <c r="R68" i="7"/>
  <c r="S68" i="7" s="1"/>
  <c r="AU68" i="7"/>
  <c r="AG69" i="7"/>
  <c r="AF69" i="7"/>
  <c r="R69" i="7"/>
  <c r="S69" i="7" s="1"/>
  <c r="AU69" i="7"/>
  <c r="AG70" i="7"/>
  <c r="AF70" i="7"/>
  <c r="R70" i="7"/>
  <c r="S70" i="7" s="1"/>
  <c r="AU70" i="7"/>
  <c r="AG71" i="7"/>
  <c r="AF71" i="7"/>
  <c r="R71" i="7"/>
  <c r="S71" i="7" s="1"/>
  <c r="AU71" i="7"/>
  <c r="AU73" i="5"/>
  <c r="Z73" i="4"/>
  <c r="AB73" i="4" s="1"/>
  <c r="AW73" i="5" s="1"/>
  <c r="Y73" i="4"/>
  <c r="AA73" i="4" s="1"/>
  <c r="BJ73" i="5" s="1"/>
  <c r="AU72" i="5"/>
  <c r="Z72" i="4"/>
  <c r="AB72" i="4" s="1"/>
  <c r="AW72" i="5" s="1"/>
  <c r="Y72" i="4"/>
  <c r="AA72" i="4" s="1"/>
  <c r="BJ72" i="5" s="1"/>
  <c r="AU71" i="5"/>
  <c r="Z71" i="4"/>
  <c r="AB71" i="4" s="1"/>
  <c r="AW71" i="5" s="1"/>
  <c r="Y71" i="4"/>
  <c r="AA71" i="4" s="1"/>
  <c r="BJ71" i="5" s="1"/>
  <c r="AU70" i="5"/>
  <c r="Z70" i="4"/>
  <c r="AB70" i="4" s="1"/>
  <c r="AW70" i="5" s="1"/>
  <c r="Y70" i="4"/>
  <c r="AA70" i="4" s="1"/>
  <c r="BJ70" i="5" s="1"/>
  <c r="AU69" i="5"/>
  <c r="Z69" i="4"/>
  <c r="AB69" i="4" s="1"/>
  <c r="AW69" i="5" s="1"/>
  <c r="Y69" i="4"/>
  <c r="AA69" i="4" s="1"/>
  <c r="BJ69" i="5" s="1"/>
  <c r="AU68" i="5"/>
  <c r="Z68" i="4"/>
  <c r="AB68" i="4" s="1"/>
  <c r="AW68" i="5" s="1"/>
  <c r="Y68" i="4"/>
  <c r="AA68" i="4" s="1"/>
  <c r="BJ68" i="5" s="1"/>
  <c r="AU67" i="5"/>
  <c r="Z67" i="4"/>
  <c r="AB67" i="4" s="1"/>
  <c r="AW67" i="5" s="1"/>
  <c r="Y67" i="4"/>
  <c r="AA67" i="4" s="1"/>
  <c r="BJ67" i="5" s="1"/>
  <c r="AU66" i="5"/>
  <c r="Z66" i="4"/>
  <c r="AB66" i="4" s="1"/>
  <c r="AW66" i="5" s="1"/>
  <c r="Y66" i="4"/>
  <c r="AA66" i="4" s="1"/>
  <c r="BJ66" i="5" s="1"/>
  <c r="AU65" i="5"/>
  <c r="Z65" i="4"/>
  <c r="AB65" i="4" s="1"/>
  <c r="AW65" i="5" s="1"/>
  <c r="Y65" i="4"/>
  <c r="AA65" i="4" s="1"/>
  <c r="BJ65" i="5" s="1"/>
  <c r="AU64" i="5"/>
  <c r="Z64" i="4"/>
  <c r="AB64" i="4" s="1"/>
  <c r="AW64" i="5" s="1"/>
  <c r="Y64" i="4"/>
  <c r="AA64" i="4" s="1"/>
  <c r="BJ64" i="5" s="1"/>
  <c r="AU63" i="5"/>
  <c r="Z63" i="4"/>
  <c r="AB63" i="4" s="1"/>
  <c r="AW63" i="5" s="1"/>
  <c r="Y63" i="4"/>
  <c r="AA63" i="4" s="1"/>
  <c r="BJ63" i="5" s="1"/>
  <c r="AU62" i="5"/>
  <c r="Z62" i="4"/>
  <c r="AB62" i="4" s="1"/>
  <c r="AW62" i="5" s="1"/>
  <c r="Y62" i="4"/>
  <c r="AA62" i="4" s="1"/>
  <c r="BJ62" i="5" s="1"/>
  <c r="AU61" i="5"/>
  <c r="Z61" i="4"/>
  <c r="AB61" i="4" s="1"/>
  <c r="AW61" i="5" s="1"/>
  <c r="Y61" i="4"/>
  <c r="AA61" i="4" s="1"/>
  <c r="BJ61" i="5" s="1"/>
  <c r="AU60" i="5"/>
  <c r="Z60" i="4"/>
  <c r="AB60" i="4" s="1"/>
  <c r="AW60" i="5" s="1"/>
  <c r="Y60" i="4"/>
  <c r="AA60" i="4" s="1"/>
  <c r="BJ60" i="5" s="1"/>
  <c r="AU59" i="5"/>
  <c r="Z59" i="4"/>
  <c r="AB59" i="4" s="1"/>
  <c r="AW59" i="5" s="1"/>
  <c r="Y59" i="4"/>
  <c r="AA59" i="4" s="1"/>
  <c r="BJ59" i="5" s="1"/>
  <c r="AU58" i="5"/>
  <c r="Z58" i="4"/>
  <c r="AB58" i="4" s="1"/>
  <c r="AW58" i="5" s="1"/>
  <c r="Y58" i="4"/>
  <c r="AA58" i="4" s="1"/>
  <c r="BJ58" i="5" s="1"/>
  <c r="AU57" i="5"/>
  <c r="Z57" i="4"/>
  <c r="AB57" i="4" s="1"/>
  <c r="AW57" i="5" s="1"/>
  <c r="Y57" i="4"/>
  <c r="AA57" i="4" s="1"/>
  <c r="BJ57" i="5" s="1"/>
  <c r="AU56" i="5"/>
  <c r="Z56" i="4"/>
  <c r="AB56" i="4" s="1"/>
  <c r="AW56" i="5" s="1"/>
  <c r="Y56" i="4"/>
  <c r="AA56" i="4" s="1"/>
  <c r="BJ56" i="5" s="1"/>
  <c r="AU55" i="5"/>
  <c r="Z55" i="4"/>
  <c r="AB55" i="4" s="1"/>
  <c r="AW55" i="5" s="1"/>
  <c r="Y55" i="4"/>
  <c r="AA55" i="4" s="1"/>
  <c r="BJ55" i="5" s="1"/>
  <c r="AU54" i="5"/>
  <c r="Z54" i="4"/>
  <c r="AB54" i="4" s="1"/>
  <c r="AW54" i="5" s="1"/>
  <c r="Y54" i="4"/>
  <c r="AA54" i="4" s="1"/>
  <c r="BJ54" i="5" s="1"/>
  <c r="AU53" i="5"/>
  <c r="Z53" i="4"/>
  <c r="AB53" i="4" s="1"/>
  <c r="AW53" i="5" s="1"/>
  <c r="Y53" i="4"/>
  <c r="AA53" i="4" s="1"/>
  <c r="BJ53" i="5" s="1"/>
  <c r="AU52" i="5"/>
  <c r="Z52" i="4"/>
  <c r="AB52" i="4" s="1"/>
  <c r="AW52" i="5" s="1"/>
  <c r="Y52" i="4"/>
  <c r="AA52" i="4" s="1"/>
  <c r="BJ52" i="5" s="1"/>
  <c r="AU51" i="5"/>
  <c r="Z51" i="4"/>
  <c r="AB51" i="4" s="1"/>
  <c r="AW51" i="5" s="1"/>
  <c r="Y51" i="4"/>
  <c r="AA51" i="4" s="1"/>
  <c r="BJ51" i="5" s="1"/>
  <c r="AU50" i="5"/>
  <c r="Z50" i="4"/>
  <c r="AB50" i="4" s="1"/>
  <c r="AW50" i="5" s="1"/>
  <c r="Y50" i="4"/>
  <c r="AA50" i="4" s="1"/>
  <c r="BJ50" i="5" s="1"/>
  <c r="AU49" i="5"/>
  <c r="Z49" i="4"/>
  <c r="AB49" i="4" s="1"/>
  <c r="AW49" i="5" s="1"/>
  <c r="Y49" i="4"/>
  <c r="AA49" i="4" s="1"/>
  <c r="BJ49" i="5" s="1"/>
  <c r="AU48" i="5"/>
  <c r="Z48" i="4"/>
  <c r="AB48" i="4" s="1"/>
  <c r="AW48" i="5" s="1"/>
  <c r="Y48" i="4"/>
  <c r="AA48" i="4" s="1"/>
  <c r="BJ48" i="5" s="1"/>
  <c r="AU47" i="5"/>
  <c r="Z47" i="4"/>
  <c r="AB47" i="4" s="1"/>
  <c r="AW47" i="5" s="1"/>
  <c r="Y47" i="4"/>
  <c r="AA47" i="4" s="1"/>
  <c r="BJ47" i="5" s="1"/>
  <c r="AU46" i="5"/>
  <c r="Z46" i="4"/>
  <c r="AB46" i="4" s="1"/>
  <c r="AW46" i="5" s="1"/>
  <c r="Y46" i="4"/>
  <c r="AA46" i="4" s="1"/>
  <c r="BJ46" i="5" s="1"/>
  <c r="AU45" i="5"/>
  <c r="Z45" i="4"/>
  <c r="AB45" i="4" s="1"/>
  <c r="AW45" i="5" s="1"/>
  <c r="Y45" i="4"/>
  <c r="AA45" i="4" s="1"/>
  <c r="BJ45" i="5" s="1"/>
  <c r="AU44" i="5"/>
  <c r="Z44" i="4"/>
  <c r="AB44" i="4" s="1"/>
  <c r="AW44" i="5" s="1"/>
  <c r="Y44" i="4"/>
  <c r="AA44" i="4" s="1"/>
  <c r="BJ44" i="5" s="1"/>
  <c r="AU43" i="5"/>
  <c r="Z43" i="4"/>
  <c r="AB43" i="4" s="1"/>
  <c r="AW43" i="5" s="1"/>
  <c r="Y43" i="4"/>
  <c r="AA43" i="4" s="1"/>
  <c r="BJ43" i="5" s="1"/>
  <c r="AU42" i="5"/>
  <c r="Z42" i="4"/>
  <c r="AB42" i="4" s="1"/>
  <c r="AW42" i="5" s="1"/>
  <c r="Y42" i="4"/>
  <c r="AA42" i="4" s="1"/>
  <c r="BJ42" i="5" s="1"/>
  <c r="AU41" i="5"/>
  <c r="Z41" i="4"/>
  <c r="AB41" i="4" s="1"/>
  <c r="AW41" i="5" s="1"/>
  <c r="Y41" i="4"/>
  <c r="AA41" i="4" s="1"/>
  <c r="BJ41" i="5" s="1"/>
  <c r="AU40" i="5"/>
  <c r="Z40" i="4"/>
  <c r="AB40" i="4" s="1"/>
  <c r="AW40" i="5" s="1"/>
  <c r="Y40" i="4"/>
  <c r="AA40" i="4" s="1"/>
  <c r="BJ40" i="5" s="1"/>
  <c r="AU39" i="5"/>
  <c r="Z39" i="4"/>
  <c r="AB39" i="4" s="1"/>
  <c r="AW39" i="5" s="1"/>
  <c r="Y39" i="4"/>
  <c r="AA39" i="4" s="1"/>
  <c r="BJ39" i="5" s="1"/>
  <c r="AU38" i="5"/>
  <c r="Z38" i="4"/>
  <c r="AB38" i="4" s="1"/>
  <c r="AW38" i="5" s="1"/>
  <c r="Y38" i="4"/>
  <c r="AA38" i="4" s="1"/>
  <c r="BJ38" i="5" s="1"/>
  <c r="AU37" i="5"/>
  <c r="Z37" i="4"/>
  <c r="AB37" i="4" s="1"/>
  <c r="AW37" i="5" s="1"/>
  <c r="Y37" i="4"/>
  <c r="AA37" i="4" s="1"/>
  <c r="BJ37" i="5" s="1"/>
  <c r="AU36" i="5"/>
  <c r="Z36" i="4"/>
  <c r="AB36" i="4" s="1"/>
  <c r="AW36" i="5" s="1"/>
  <c r="Y36" i="4"/>
  <c r="AA36" i="4" s="1"/>
  <c r="BJ36" i="5" s="1"/>
  <c r="AU35" i="5"/>
  <c r="Z35" i="4"/>
  <c r="AB35" i="4" s="1"/>
  <c r="AW35" i="5" s="1"/>
  <c r="Y35" i="4"/>
  <c r="AA35" i="4" s="1"/>
  <c r="BJ35" i="5" s="1"/>
  <c r="AU34" i="5"/>
  <c r="Z34" i="4"/>
  <c r="AB34" i="4" s="1"/>
  <c r="AW34" i="5" s="1"/>
  <c r="Y34" i="4"/>
  <c r="AA34" i="4" s="1"/>
  <c r="BJ34" i="5" s="1"/>
  <c r="AU33" i="5"/>
  <c r="Z33" i="4"/>
  <c r="AB33" i="4" s="1"/>
  <c r="AW33" i="5" s="1"/>
  <c r="Y33" i="4"/>
  <c r="AA33" i="4" s="1"/>
  <c r="BJ33" i="5" s="1"/>
  <c r="AU32" i="5"/>
  <c r="Z32" i="4"/>
  <c r="AB32" i="4" s="1"/>
  <c r="AW32" i="5" s="1"/>
  <c r="Y32" i="4"/>
  <c r="AA32" i="4" s="1"/>
  <c r="BJ32" i="5" s="1"/>
  <c r="AU31" i="5"/>
  <c r="Z31" i="4"/>
  <c r="AB31" i="4" s="1"/>
  <c r="AW31" i="5" s="1"/>
  <c r="Y31" i="4"/>
  <c r="AA31" i="4" s="1"/>
  <c r="BJ31" i="5" s="1"/>
  <c r="AU30" i="5"/>
  <c r="Z30" i="4"/>
  <c r="AB30" i="4" s="1"/>
  <c r="AW30" i="5" s="1"/>
  <c r="Y30" i="4"/>
  <c r="AA30" i="4" s="1"/>
  <c r="BJ30" i="5" s="1"/>
  <c r="AU29" i="5"/>
  <c r="Z29" i="4"/>
  <c r="AB29" i="4" s="1"/>
  <c r="AW29" i="5" s="1"/>
  <c r="Y29" i="4"/>
  <c r="AA29" i="4" s="1"/>
  <c r="BJ29" i="5" s="1"/>
  <c r="AU28" i="5"/>
  <c r="Z28" i="4"/>
  <c r="AB28" i="4" s="1"/>
  <c r="AW28" i="5" s="1"/>
  <c r="Y28" i="4"/>
  <c r="AA28" i="4" s="1"/>
  <c r="BJ28" i="5" s="1"/>
  <c r="AU27" i="5"/>
  <c r="Z27" i="4"/>
  <c r="AB27" i="4" s="1"/>
  <c r="AW27" i="5" s="1"/>
  <c r="Y27" i="4"/>
  <c r="AA27" i="4" s="1"/>
  <c r="BJ27" i="5" s="1"/>
  <c r="AU26" i="5"/>
  <c r="Z26" i="4"/>
  <c r="AB26" i="4" s="1"/>
  <c r="AW26" i="5" s="1"/>
  <c r="Y26" i="4"/>
  <c r="AA26" i="4" s="1"/>
  <c r="BJ26" i="5" s="1"/>
  <c r="AU25" i="5"/>
  <c r="Z25" i="4"/>
  <c r="AB25" i="4" s="1"/>
  <c r="AW25" i="5" s="1"/>
  <c r="Y25" i="4"/>
  <c r="AA25" i="4" s="1"/>
  <c r="BJ25" i="5" s="1"/>
  <c r="AU24" i="5"/>
  <c r="Z24" i="4"/>
  <c r="AB24" i="4" s="1"/>
  <c r="AW24" i="5" s="1"/>
  <c r="Y24" i="4"/>
  <c r="AA24" i="4" s="1"/>
  <c r="BJ24" i="5" s="1"/>
  <c r="AU23" i="5"/>
  <c r="Z23" i="4"/>
  <c r="AB23" i="4" s="1"/>
  <c r="AW23" i="5" s="1"/>
  <c r="Y23" i="4"/>
  <c r="AA23" i="4" s="1"/>
  <c r="BJ23" i="5" s="1"/>
  <c r="AU22" i="5"/>
  <c r="Z22" i="4"/>
  <c r="AB22" i="4" s="1"/>
  <c r="AW22" i="5" s="1"/>
  <c r="Y22" i="4"/>
  <c r="AA22" i="4" s="1"/>
  <c r="BJ22" i="5" s="1"/>
  <c r="AU21" i="5"/>
  <c r="Z21" i="4"/>
  <c r="AB21" i="4" s="1"/>
  <c r="AW21" i="5" s="1"/>
  <c r="Y21" i="4"/>
  <c r="AA21" i="4" s="1"/>
  <c r="BJ21" i="5" s="1"/>
  <c r="AU20" i="5"/>
  <c r="Z20" i="4"/>
  <c r="AB20" i="4" s="1"/>
  <c r="AW20" i="5" s="1"/>
  <c r="Y20" i="4"/>
  <c r="AA20" i="4" s="1"/>
  <c r="BJ20" i="5" s="1"/>
  <c r="AU19" i="5"/>
  <c r="Z19" i="4"/>
  <c r="AB19" i="4" s="1"/>
  <c r="AW19" i="5" s="1"/>
  <c r="Y19" i="4"/>
  <c r="AA19" i="4" s="1"/>
  <c r="BJ19" i="5" s="1"/>
  <c r="AU18" i="5"/>
  <c r="Z18" i="4"/>
  <c r="AB18" i="4" s="1"/>
  <c r="AW18" i="5" s="1"/>
  <c r="Y18" i="4"/>
  <c r="AA18" i="4" s="1"/>
  <c r="BJ18" i="5" s="1"/>
  <c r="AU17" i="5"/>
  <c r="Z17" i="4"/>
  <c r="AB17" i="4" s="1"/>
  <c r="AW17" i="5" s="1"/>
  <c r="Y17" i="4"/>
  <c r="AA17" i="4" s="1"/>
  <c r="BJ17" i="5" s="1"/>
  <c r="AU16" i="5"/>
  <c r="Z16" i="4"/>
  <c r="AB16" i="4" s="1"/>
  <c r="AW16" i="5" s="1"/>
  <c r="Y16" i="4"/>
  <c r="AA16" i="4" s="1"/>
  <c r="BJ16" i="5" s="1"/>
  <c r="AU15" i="5"/>
  <c r="Z15" i="4"/>
  <c r="AB15" i="4" s="1"/>
  <c r="AW15" i="5" s="1"/>
  <c r="Y15" i="4"/>
  <c r="AA15" i="4" s="1"/>
  <c r="BJ15" i="5" s="1"/>
  <c r="AU14" i="5"/>
  <c r="Z14" i="4"/>
  <c r="AB14" i="4" s="1"/>
  <c r="AW14" i="5" s="1"/>
  <c r="Y14" i="4"/>
  <c r="AA14" i="4" s="1"/>
  <c r="BJ14" i="5" s="1"/>
  <c r="AU13" i="5"/>
  <c r="Z13" i="4"/>
  <c r="AB13" i="4" s="1"/>
  <c r="AW13" i="5" s="1"/>
  <c r="Y13" i="4"/>
  <c r="AA13" i="4" s="1"/>
  <c r="BJ13" i="5" s="1"/>
  <c r="AU12" i="5"/>
  <c r="Z12" i="4"/>
  <c r="AB12" i="4" s="1"/>
  <c r="AW12" i="5" s="1"/>
  <c r="Y12" i="4"/>
  <c r="AA12" i="4" s="1"/>
  <c r="BJ12" i="5" s="1"/>
  <c r="AU11" i="5"/>
  <c r="Z11" i="4"/>
  <c r="AB11" i="4" s="1"/>
  <c r="AW11" i="5" s="1"/>
  <c r="Y11" i="4"/>
  <c r="AA11" i="4" s="1"/>
  <c r="BJ11" i="5" s="1"/>
  <c r="AU10" i="5"/>
  <c r="Z10" i="4"/>
  <c r="AB10" i="4" s="1"/>
  <c r="AW10" i="5" s="1"/>
  <c r="Y10" i="4"/>
  <c r="AA10" i="4" s="1"/>
  <c r="BJ10" i="5" s="1"/>
  <c r="AU9" i="5"/>
  <c r="Z9" i="4"/>
  <c r="AB9" i="4" s="1"/>
  <c r="AW9" i="5" s="1"/>
  <c r="Y9" i="4"/>
  <c r="AA9" i="4" s="1"/>
  <c r="BJ9" i="5" s="1"/>
  <c r="AU8" i="5"/>
  <c r="Z8" i="4"/>
  <c r="AB8" i="4" s="1"/>
  <c r="AW8" i="5" s="1"/>
  <c r="Y8" i="4"/>
  <c r="AA8" i="4" s="1"/>
  <c r="BJ8" i="5" s="1"/>
  <c r="AU7" i="5"/>
  <c r="Z7" i="4"/>
  <c r="AB7" i="4" s="1"/>
  <c r="AW7" i="5" s="1"/>
  <c r="Y7" i="4"/>
  <c r="AA7" i="4" s="1"/>
  <c r="BJ7" i="5" s="1"/>
  <c r="AU6" i="5"/>
  <c r="Z6" i="4"/>
  <c r="AB6" i="4" s="1"/>
  <c r="AW6" i="5" s="1"/>
  <c r="Y6" i="4"/>
  <c r="AA6" i="4" s="1"/>
  <c r="BJ6" i="5" s="1"/>
  <c r="AJ54" i="3"/>
  <c r="AK4" i="3"/>
  <c r="Y3" i="3"/>
  <c r="Z3" i="3" s="1"/>
  <c r="E45" i="4" s="1"/>
  <c r="Y2" i="3"/>
  <c r="Z73" i="2"/>
  <c r="AB73" i="2" s="1"/>
  <c r="L73" i="5" s="1"/>
  <c r="Y73" i="2"/>
  <c r="AA73" i="2" s="1"/>
  <c r="Y73" i="5" s="1"/>
  <c r="Z72" i="2"/>
  <c r="AB72" i="2" s="1"/>
  <c r="L72" i="5" s="1"/>
  <c r="Y72" i="2"/>
  <c r="AA72" i="2" s="1"/>
  <c r="Y72" i="5" s="1"/>
  <c r="Z71" i="2"/>
  <c r="AB71" i="2" s="1"/>
  <c r="L71" i="5" s="1"/>
  <c r="Y71" i="2"/>
  <c r="AA71" i="2" s="1"/>
  <c r="Y71" i="5" s="1"/>
  <c r="Z70" i="2"/>
  <c r="AB70" i="2" s="1"/>
  <c r="L70" i="5" s="1"/>
  <c r="Y70" i="2"/>
  <c r="AA70" i="2" s="1"/>
  <c r="Y70" i="5" s="1"/>
  <c r="Z69" i="2"/>
  <c r="AB69" i="2" s="1"/>
  <c r="L69" i="5" s="1"/>
  <c r="Y69" i="2"/>
  <c r="AA69" i="2" s="1"/>
  <c r="Y69" i="5" s="1"/>
  <c r="Z68" i="2"/>
  <c r="AB68" i="2" s="1"/>
  <c r="L68" i="5" s="1"/>
  <c r="Y68" i="2"/>
  <c r="AA68" i="2" s="1"/>
  <c r="Y68" i="5" s="1"/>
  <c r="Z67" i="2"/>
  <c r="AB67" i="2" s="1"/>
  <c r="L67" i="5" s="1"/>
  <c r="Y67" i="2"/>
  <c r="AA67" i="2" s="1"/>
  <c r="Y67" i="5" s="1"/>
  <c r="Z66" i="2"/>
  <c r="AB66" i="2" s="1"/>
  <c r="L66" i="5" s="1"/>
  <c r="Y66" i="2"/>
  <c r="AA66" i="2" s="1"/>
  <c r="Y66" i="5" s="1"/>
  <c r="Z65" i="2"/>
  <c r="AB65" i="2" s="1"/>
  <c r="L65" i="5" s="1"/>
  <c r="Y65" i="2"/>
  <c r="AA65" i="2" s="1"/>
  <c r="Y65" i="5" s="1"/>
  <c r="Z64" i="2"/>
  <c r="AB64" i="2" s="1"/>
  <c r="L64" i="5" s="1"/>
  <c r="Y64" i="2"/>
  <c r="AA64" i="2" s="1"/>
  <c r="Y64" i="5" s="1"/>
  <c r="Z63" i="2"/>
  <c r="AB63" i="2" s="1"/>
  <c r="L63" i="5" s="1"/>
  <c r="Y63" i="2"/>
  <c r="AA63" i="2" s="1"/>
  <c r="Y63" i="5" s="1"/>
  <c r="Z62" i="2"/>
  <c r="AB62" i="2" s="1"/>
  <c r="L62" i="5" s="1"/>
  <c r="Y62" i="2"/>
  <c r="AA62" i="2" s="1"/>
  <c r="Y62" i="5" s="1"/>
  <c r="Z61" i="2"/>
  <c r="AB61" i="2" s="1"/>
  <c r="L61" i="5" s="1"/>
  <c r="Y61" i="2"/>
  <c r="AA61" i="2" s="1"/>
  <c r="Y61" i="5" s="1"/>
  <c r="Z60" i="2"/>
  <c r="AB60" i="2" s="1"/>
  <c r="L60" i="5" s="1"/>
  <c r="Y60" i="2"/>
  <c r="AA60" i="2" s="1"/>
  <c r="Y60" i="5" s="1"/>
  <c r="Z59" i="2"/>
  <c r="AB59" i="2" s="1"/>
  <c r="L59" i="5" s="1"/>
  <c r="Y59" i="2"/>
  <c r="AA59" i="2" s="1"/>
  <c r="Y59" i="5" s="1"/>
  <c r="Z58" i="2"/>
  <c r="AB58" i="2" s="1"/>
  <c r="L58" i="5" s="1"/>
  <c r="Y58" i="2"/>
  <c r="AA58" i="2" s="1"/>
  <c r="Y58" i="5" s="1"/>
  <c r="Z57" i="2"/>
  <c r="AB57" i="2" s="1"/>
  <c r="L57" i="5" s="1"/>
  <c r="Y57" i="2"/>
  <c r="AA57" i="2" s="1"/>
  <c r="Y57" i="5" s="1"/>
  <c r="Z56" i="2"/>
  <c r="AB56" i="2" s="1"/>
  <c r="L56" i="5" s="1"/>
  <c r="Y56" i="2"/>
  <c r="AA56" i="2" s="1"/>
  <c r="Y56" i="5" s="1"/>
  <c r="Z55" i="2"/>
  <c r="AB55" i="2" s="1"/>
  <c r="L55" i="5" s="1"/>
  <c r="Y55" i="2"/>
  <c r="AA55" i="2" s="1"/>
  <c r="Y55" i="5" s="1"/>
  <c r="Z54" i="2"/>
  <c r="AB54" i="2" s="1"/>
  <c r="L54" i="5" s="1"/>
  <c r="Y54" i="2"/>
  <c r="AA54" i="2" s="1"/>
  <c r="Y54" i="5" s="1"/>
  <c r="Z53" i="2"/>
  <c r="AB53" i="2" s="1"/>
  <c r="L53" i="5" s="1"/>
  <c r="Y53" i="2"/>
  <c r="AA53" i="2" s="1"/>
  <c r="Y53" i="5" s="1"/>
  <c r="Z52" i="2"/>
  <c r="AB52" i="2" s="1"/>
  <c r="L52" i="5" s="1"/>
  <c r="Y52" i="2"/>
  <c r="AA52" i="2" s="1"/>
  <c r="Y52" i="5" s="1"/>
  <c r="Z51" i="2"/>
  <c r="AB51" i="2" s="1"/>
  <c r="L51" i="5" s="1"/>
  <c r="Y51" i="2"/>
  <c r="AA51" i="2" s="1"/>
  <c r="Y51" i="5" s="1"/>
  <c r="Z50" i="2"/>
  <c r="AB50" i="2" s="1"/>
  <c r="L50" i="5" s="1"/>
  <c r="Y50" i="2"/>
  <c r="AA50" i="2" s="1"/>
  <c r="Y50" i="5" s="1"/>
  <c r="Z49" i="2"/>
  <c r="AB49" i="2" s="1"/>
  <c r="L49" i="5" s="1"/>
  <c r="Y49" i="2"/>
  <c r="AA49" i="2" s="1"/>
  <c r="Y49" i="5" s="1"/>
  <c r="Z48" i="2"/>
  <c r="AB48" i="2" s="1"/>
  <c r="L48" i="5" s="1"/>
  <c r="Y48" i="2"/>
  <c r="AA48" i="2" s="1"/>
  <c r="Y48" i="5" s="1"/>
  <c r="Z47" i="2"/>
  <c r="AB47" i="2" s="1"/>
  <c r="L47" i="5" s="1"/>
  <c r="Y47" i="2"/>
  <c r="AA47" i="2" s="1"/>
  <c r="Y47" i="5" s="1"/>
  <c r="Z46" i="2"/>
  <c r="AB46" i="2" s="1"/>
  <c r="L46" i="5" s="1"/>
  <c r="Y46" i="2"/>
  <c r="AA46" i="2" s="1"/>
  <c r="Y46" i="5" s="1"/>
  <c r="Z45" i="2"/>
  <c r="AB45" i="2" s="1"/>
  <c r="L45" i="5" s="1"/>
  <c r="Y45" i="2"/>
  <c r="AA45" i="2" s="1"/>
  <c r="Y45" i="5" s="1"/>
  <c r="Z44" i="2"/>
  <c r="AB44" i="2" s="1"/>
  <c r="L44" i="5" s="1"/>
  <c r="Y44" i="2"/>
  <c r="AA44" i="2" s="1"/>
  <c r="Y44" i="5" s="1"/>
  <c r="Z43" i="2"/>
  <c r="AB43" i="2" s="1"/>
  <c r="L43" i="5" s="1"/>
  <c r="Y43" i="2"/>
  <c r="AA43" i="2" s="1"/>
  <c r="Y43" i="5" s="1"/>
  <c r="Z42" i="2"/>
  <c r="AB42" i="2" s="1"/>
  <c r="L42" i="5" s="1"/>
  <c r="Y42" i="2"/>
  <c r="AA42" i="2" s="1"/>
  <c r="Y42" i="5" s="1"/>
  <c r="Z41" i="2"/>
  <c r="AB41" i="2" s="1"/>
  <c r="L41" i="5" s="1"/>
  <c r="Y41" i="2"/>
  <c r="AA41" i="2" s="1"/>
  <c r="Y41" i="5" s="1"/>
  <c r="Z40" i="2"/>
  <c r="AB40" i="2" s="1"/>
  <c r="L40" i="5" s="1"/>
  <c r="Y40" i="2"/>
  <c r="AA40" i="2" s="1"/>
  <c r="Y40" i="5" s="1"/>
  <c r="Z39" i="2"/>
  <c r="AB39" i="2" s="1"/>
  <c r="L39" i="5" s="1"/>
  <c r="Y39" i="2"/>
  <c r="AA39" i="2" s="1"/>
  <c r="Y39" i="5" s="1"/>
  <c r="Z38" i="2"/>
  <c r="AB38" i="2" s="1"/>
  <c r="L38" i="5" s="1"/>
  <c r="Y38" i="2"/>
  <c r="AA38" i="2" s="1"/>
  <c r="Y38" i="5" s="1"/>
  <c r="Z37" i="2"/>
  <c r="AB37" i="2" s="1"/>
  <c r="L37" i="5" s="1"/>
  <c r="Y37" i="2"/>
  <c r="AA37" i="2" s="1"/>
  <c r="Y37" i="5" s="1"/>
  <c r="Z36" i="2"/>
  <c r="AB36" i="2" s="1"/>
  <c r="L36" i="5" s="1"/>
  <c r="Y36" i="2"/>
  <c r="AA36" i="2" s="1"/>
  <c r="Y36" i="5" s="1"/>
  <c r="Z35" i="2"/>
  <c r="AB35" i="2" s="1"/>
  <c r="L35" i="5" s="1"/>
  <c r="Y35" i="2"/>
  <c r="AA35" i="2" s="1"/>
  <c r="Y35" i="5" s="1"/>
  <c r="Z34" i="2"/>
  <c r="AB34" i="2" s="1"/>
  <c r="L34" i="5" s="1"/>
  <c r="Y34" i="2"/>
  <c r="AA34" i="2" s="1"/>
  <c r="Y34" i="5" s="1"/>
  <c r="Z33" i="2"/>
  <c r="AB33" i="2" s="1"/>
  <c r="L33" i="5" s="1"/>
  <c r="Y33" i="2"/>
  <c r="AA33" i="2" s="1"/>
  <c r="Y33" i="5" s="1"/>
  <c r="Z32" i="2"/>
  <c r="AB32" i="2" s="1"/>
  <c r="L32" i="5" s="1"/>
  <c r="Y32" i="2"/>
  <c r="AA32" i="2" s="1"/>
  <c r="Y32" i="5" s="1"/>
  <c r="Z31" i="2"/>
  <c r="AB31" i="2" s="1"/>
  <c r="L31" i="5" s="1"/>
  <c r="Y31" i="2"/>
  <c r="AA31" i="2" s="1"/>
  <c r="Y31" i="5" s="1"/>
  <c r="Z30" i="2"/>
  <c r="AB30" i="2" s="1"/>
  <c r="L30" i="5" s="1"/>
  <c r="Y30" i="2"/>
  <c r="AA30" i="2" s="1"/>
  <c r="Y30" i="5" s="1"/>
  <c r="Z29" i="2"/>
  <c r="AB29" i="2" s="1"/>
  <c r="L29" i="5" s="1"/>
  <c r="Y29" i="2"/>
  <c r="AA29" i="2" s="1"/>
  <c r="Y29" i="5" s="1"/>
  <c r="Z28" i="2"/>
  <c r="AB28" i="2" s="1"/>
  <c r="L28" i="5" s="1"/>
  <c r="Y28" i="2"/>
  <c r="AA28" i="2" s="1"/>
  <c r="Y28" i="5" s="1"/>
  <c r="Z27" i="2"/>
  <c r="AB27" i="2" s="1"/>
  <c r="L27" i="5" s="1"/>
  <c r="Y27" i="2"/>
  <c r="AA27" i="2" s="1"/>
  <c r="Y27" i="5" s="1"/>
  <c r="Z26" i="2"/>
  <c r="AB26" i="2" s="1"/>
  <c r="L26" i="5" s="1"/>
  <c r="Y26" i="2"/>
  <c r="AA26" i="2" s="1"/>
  <c r="Y26" i="5" s="1"/>
  <c r="Z25" i="2"/>
  <c r="AB25" i="2" s="1"/>
  <c r="L25" i="5" s="1"/>
  <c r="Y25" i="2"/>
  <c r="AA25" i="2" s="1"/>
  <c r="Y25" i="5" s="1"/>
  <c r="Z24" i="2"/>
  <c r="AB24" i="2" s="1"/>
  <c r="L24" i="5" s="1"/>
  <c r="Y24" i="2"/>
  <c r="AA24" i="2" s="1"/>
  <c r="Y24" i="5" s="1"/>
  <c r="Z23" i="2"/>
  <c r="AB23" i="2" s="1"/>
  <c r="L23" i="5" s="1"/>
  <c r="Y23" i="2"/>
  <c r="AA23" i="2" s="1"/>
  <c r="Y23" i="5" s="1"/>
  <c r="Z22" i="2"/>
  <c r="AB22" i="2" s="1"/>
  <c r="L22" i="5" s="1"/>
  <c r="Y22" i="2"/>
  <c r="AA22" i="2" s="1"/>
  <c r="Y22" i="5" s="1"/>
  <c r="Z21" i="2"/>
  <c r="AB21" i="2" s="1"/>
  <c r="L21" i="5" s="1"/>
  <c r="Y21" i="2"/>
  <c r="AA21" i="2" s="1"/>
  <c r="Y21" i="5" s="1"/>
  <c r="Z20" i="2"/>
  <c r="AB20" i="2" s="1"/>
  <c r="L20" i="5" s="1"/>
  <c r="Y20" i="2"/>
  <c r="AA20" i="2" s="1"/>
  <c r="Y20" i="5" s="1"/>
  <c r="Z19" i="2"/>
  <c r="AB19" i="2" s="1"/>
  <c r="L19" i="5" s="1"/>
  <c r="Y19" i="2"/>
  <c r="AA19" i="2" s="1"/>
  <c r="Y19" i="5" s="1"/>
  <c r="Z18" i="2"/>
  <c r="AB18" i="2" s="1"/>
  <c r="L18" i="5" s="1"/>
  <c r="Y18" i="2"/>
  <c r="AA18" i="2" s="1"/>
  <c r="Y18" i="5" s="1"/>
  <c r="Z17" i="2"/>
  <c r="AB17" i="2" s="1"/>
  <c r="L17" i="5" s="1"/>
  <c r="Y17" i="2"/>
  <c r="AA17" i="2" s="1"/>
  <c r="Y17" i="5" s="1"/>
  <c r="Z16" i="2"/>
  <c r="AB16" i="2" s="1"/>
  <c r="L16" i="5" s="1"/>
  <c r="Y16" i="2"/>
  <c r="AA16" i="2" s="1"/>
  <c r="Y16" i="5" s="1"/>
  <c r="Z15" i="2"/>
  <c r="AB15" i="2" s="1"/>
  <c r="L15" i="5" s="1"/>
  <c r="Y15" i="2"/>
  <c r="AA15" i="2" s="1"/>
  <c r="Y15" i="5" s="1"/>
  <c r="Z14" i="2"/>
  <c r="AB14" i="2" s="1"/>
  <c r="L14" i="5" s="1"/>
  <c r="Y14" i="2"/>
  <c r="AA14" i="2" s="1"/>
  <c r="Y14" i="5" s="1"/>
  <c r="Z13" i="2"/>
  <c r="AB13" i="2" s="1"/>
  <c r="L13" i="5" s="1"/>
  <c r="Y13" i="2"/>
  <c r="AA13" i="2" s="1"/>
  <c r="Y13" i="5" s="1"/>
  <c r="Z12" i="2"/>
  <c r="AB12" i="2" s="1"/>
  <c r="L12" i="5" s="1"/>
  <c r="Y12" i="2"/>
  <c r="AA12" i="2" s="1"/>
  <c r="Y12" i="5" s="1"/>
  <c r="Z11" i="2"/>
  <c r="AB11" i="2" s="1"/>
  <c r="L11" i="5" s="1"/>
  <c r="Y11" i="2"/>
  <c r="AA11" i="2" s="1"/>
  <c r="Y11" i="5" s="1"/>
  <c r="Z10" i="2"/>
  <c r="AB10" i="2" s="1"/>
  <c r="L10" i="5" s="1"/>
  <c r="Y10" i="2"/>
  <c r="AA10" i="2" s="1"/>
  <c r="Y10" i="5" s="1"/>
  <c r="Z9" i="2"/>
  <c r="AB9" i="2" s="1"/>
  <c r="L9" i="5" s="1"/>
  <c r="Y9" i="2"/>
  <c r="AA9" i="2" s="1"/>
  <c r="Y9" i="5" s="1"/>
  <c r="Z8" i="2"/>
  <c r="AB8" i="2" s="1"/>
  <c r="Y8" i="2"/>
  <c r="AA8" i="2" s="1"/>
  <c r="Y8" i="5" s="1"/>
  <c r="Z7" i="2"/>
  <c r="AB7" i="2" s="1"/>
  <c r="Y7" i="2"/>
  <c r="AA7" i="2" s="1"/>
  <c r="Y7" i="5" s="1"/>
  <c r="Z6" i="2"/>
  <c r="AB6" i="2" s="1"/>
  <c r="Y6" i="2"/>
  <c r="AA6" i="2" s="1"/>
  <c r="Y6" i="5" s="1"/>
  <c r="AJ54" i="1"/>
  <c r="AK4" i="1"/>
  <c r="Y3" i="1"/>
  <c r="Z3" i="1" s="1"/>
  <c r="E46" i="2" s="1"/>
  <c r="Y2" i="1"/>
  <c r="Y54" i="1" l="1"/>
  <c r="Z2" i="1"/>
  <c r="E89" i="2"/>
  <c r="AK54" i="1"/>
  <c r="K5" i="6"/>
  <c r="Y3" i="5"/>
  <c r="AM6" i="5"/>
  <c r="L6" i="5"/>
  <c r="AD6" i="2"/>
  <c r="K6" i="6"/>
  <c r="AM7" i="5"/>
  <c r="L7" i="5"/>
  <c r="AD7" i="2"/>
  <c r="K7" i="6"/>
  <c r="AM8" i="5"/>
  <c r="L8" i="5"/>
  <c r="AD8" i="2"/>
  <c r="K8" i="6"/>
  <c r="AM9" i="5"/>
  <c r="I8" i="6"/>
  <c r="AL9" i="5"/>
  <c r="K9" i="6"/>
  <c r="AM10" i="5"/>
  <c r="I9" i="6"/>
  <c r="AL10" i="5"/>
  <c r="K10" i="6"/>
  <c r="AM11" i="5"/>
  <c r="I10" i="6"/>
  <c r="AL11" i="5"/>
  <c r="K11" i="6"/>
  <c r="AM12" i="5"/>
  <c r="I11" i="6"/>
  <c r="AL12" i="5"/>
  <c r="K12" i="6"/>
  <c r="AM13" i="5"/>
  <c r="I12" i="6"/>
  <c r="AL13" i="5"/>
  <c r="K13" i="6"/>
  <c r="AM14" i="5"/>
  <c r="I13" i="6"/>
  <c r="AL14" i="5"/>
  <c r="K14" i="6"/>
  <c r="AM15" i="5"/>
  <c r="I14" i="6"/>
  <c r="AL15" i="5"/>
  <c r="K15" i="6"/>
  <c r="AM16" i="5"/>
  <c r="I15" i="6"/>
  <c r="AL16" i="5"/>
  <c r="K16" i="6"/>
  <c r="AM17" i="5"/>
  <c r="I16" i="6"/>
  <c r="AL17" i="5"/>
  <c r="K17" i="6"/>
  <c r="AM18" i="5"/>
  <c r="I17" i="6"/>
  <c r="AL18" i="5"/>
  <c r="K18" i="6"/>
  <c r="AM19" i="5"/>
  <c r="I18" i="6"/>
  <c r="AL19" i="5"/>
  <c r="K19" i="6"/>
  <c r="AM20" i="5"/>
  <c r="I19" i="6"/>
  <c r="AL20" i="5"/>
  <c r="K20" i="6"/>
  <c r="AM21" i="5"/>
  <c r="I20" i="6"/>
  <c r="AL21" i="5"/>
  <c r="K21" i="6"/>
  <c r="AM22" i="5"/>
  <c r="I21" i="6"/>
  <c r="AL22" i="5"/>
  <c r="K22" i="6"/>
  <c r="AM23" i="5"/>
  <c r="I22" i="6"/>
  <c r="AL23" i="5"/>
  <c r="K23" i="6"/>
  <c r="AM24" i="5"/>
  <c r="I23" i="6"/>
  <c r="AL24" i="5"/>
  <c r="K24" i="6"/>
  <c r="AM25" i="5"/>
  <c r="I24" i="6"/>
  <c r="AL25" i="5"/>
  <c r="K25" i="6"/>
  <c r="AM26" i="5"/>
  <c r="I25" i="6"/>
  <c r="AL26" i="5"/>
  <c r="K26" i="6"/>
  <c r="AM27" i="5"/>
  <c r="I26" i="6"/>
  <c r="AL27" i="5"/>
  <c r="K27" i="6"/>
  <c r="AM28" i="5"/>
  <c r="I27" i="6"/>
  <c r="AL28" i="5"/>
  <c r="K28" i="6"/>
  <c r="AM29" i="5"/>
  <c r="I28" i="6"/>
  <c r="AL29" i="5"/>
  <c r="K29" i="6"/>
  <c r="AM30" i="5"/>
  <c r="I29" i="6"/>
  <c r="AL30" i="5"/>
  <c r="K30" i="6"/>
  <c r="AM31" i="5"/>
  <c r="I30" i="6"/>
  <c r="AL31" i="5"/>
  <c r="K31" i="6"/>
  <c r="AM32" i="5"/>
  <c r="I31" i="6"/>
  <c r="AL32" i="5"/>
  <c r="K32" i="6"/>
  <c r="AM33" i="5"/>
  <c r="I32" i="6"/>
  <c r="AL33" i="5"/>
  <c r="K33" i="6"/>
  <c r="AM34" i="5"/>
  <c r="I33" i="6"/>
  <c r="AL34" i="5"/>
  <c r="K34" i="6"/>
  <c r="AM35" i="5"/>
  <c r="I34" i="6"/>
  <c r="AL35" i="5"/>
  <c r="K35" i="6"/>
  <c r="AM36" i="5"/>
  <c r="I35" i="6"/>
  <c r="AL36" i="5"/>
  <c r="K36" i="6"/>
  <c r="AM37" i="5"/>
  <c r="I36" i="6"/>
  <c r="AL37" i="5"/>
  <c r="K37" i="6"/>
  <c r="AM38" i="5"/>
  <c r="I37" i="6"/>
  <c r="AL38" i="5"/>
  <c r="K38" i="6"/>
  <c r="AM39" i="5"/>
  <c r="I38" i="6"/>
  <c r="AL39" i="5"/>
  <c r="K39" i="6"/>
  <c r="AM40" i="5"/>
  <c r="I39" i="6"/>
  <c r="AL40" i="5"/>
  <c r="K40" i="6"/>
  <c r="AM41" i="5"/>
  <c r="I40" i="6"/>
  <c r="AL41" i="5"/>
  <c r="K41" i="6"/>
  <c r="AM42" i="5"/>
  <c r="I41" i="6"/>
  <c r="AL42" i="5"/>
  <c r="K42" i="6"/>
  <c r="AM43" i="5"/>
  <c r="I42" i="6"/>
  <c r="AL43" i="5"/>
  <c r="K43" i="6"/>
  <c r="AM44" i="5"/>
  <c r="I43" i="6"/>
  <c r="AL44" i="5"/>
  <c r="K44" i="6"/>
  <c r="AM45" i="5"/>
  <c r="I44" i="6"/>
  <c r="AL45" i="5"/>
  <c r="K45" i="6"/>
  <c r="AM46" i="5"/>
  <c r="I45" i="6"/>
  <c r="AL46" i="5"/>
  <c r="K46" i="6"/>
  <c r="AM47" i="5"/>
  <c r="I46" i="6"/>
  <c r="AL47" i="5"/>
  <c r="K47" i="6"/>
  <c r="AM48" i="5"/>
  <c r="I47" i="6"/>
  <c r="AL48" i="5"/>
  <c r="K48" i="6"/>
  <c r="AM49" i="5"/>
  <c r="I48" i="6"/>
  <c r="AL49" i="5"/>
  <c r="K49" i="6"/>
  <c r="AM50" i="5"/>
  <c r="I49" i="6"/>
  <c r="AL50" i="5"/>
  <c r="K50" i="6"/>
  <c r="AM51" i="5"/>
  <c r="I50" i="6"/>
  <c r="AL51" i="5"/>
  <c r="K51" i="6"/>
  <c r="AM52" i="5"/>
  <c r="I51" i="6"/>
  <c r="AL52" i="5"/>
  <c r="K52" i="6"/>
  <c r="AM53" i="5"/>
  <c r="I52" i="6"/>
  <c r="AL53" i="5"/>
  <c r="K53" i="6"/>
  <c r="AM54" i="5"/>
  <c r="I53" i="6"/>
  <c r="AL54" i="5"/>
  <c r="K54" i="6"/>
  <c r="AM55" i="5"/>
  <c r="I54" i="6"/>
  <c r="AL55" i="5"/>
  <c r="K55" i="6"/>
  <c r="AM56" i="5"/>
  <c r="I55" i="6"/>
  <c r="AL56" i="5"/>
  <c r="K56" i="6"/>
  <c r="AM57" i="5"/>
  <c r="I56" i="6"/>
  <c r="AL57" i="5"/>
  <c r="K57" i="6"/>
  <c r="AM58" i="5"/>
  <c r="I57" i="6"/>
  <c r="AL58" i="5"/>
  <c r="K58" i="6"/>
  <c r="AM59" i="5"/>
  <c r="I58" i="6"/>
  <c r="AL59" i="5"/>
  <c r="K59" i="6"/>
  <c r="AM60" i="5"/>
  <c r="I59" i="6"/>
  <c r="AL60" i="5"/>
  <c r="K60" i="6"/>
  <c r="AM61" i="5"/>
  <c r="I60" i="6"/>
  <c r="AL61" i="5"/>
  <c r="K61" i="6"/>
  <c r="AM62" i="5"/>
  <c r="I61" i="6"/>
  <c r="AL62" i="5"/>
  <c r="K62" i="6"/>
  <c r="AM63" i="5"/>
  <c r="I62" i="6"/>
  <c r="AL63" i="5"/>
  <c r="K63" i="6"/>
  <c r="AM64" i="5"/>
  <c r="I63" i="6"/>
  <c r="AL64" i="5"/>
  <c r="K64" i="6"/>
  <c r="AM65" i="5"/>
  <c r="I64" i="6"/>
  <c r="AL65" i="5"/>
  <c r="K65" i="6"/>
  <c r="AM66" i="5"/>
  <c r="I65" i="6"/>
  <c r="AL66" i="5"/>
  <c r="K66" i="6"/>
  <c r="AM67" i="5"/>
  <c r="I66" i="6"/>
  <c r="AL67" i="5"/>
  <c r="K67" i="6"/>
  <c r="AM68" i="5"/>
  <c r="I67" i="6"/>
  <c r="AL68" i="5"/>
  <c r="K68" i="6"/>
  <c r="AM69" i="5"/>
  <c r="I68" i="6"/>
  <c r="AL69" i="5"/>
  <c r="K69" i="6"/>
  <c r="AM70" i="5"/>
  <c r="I69" i="6"/>
  <c r="AL70" i="5"/>
  <c r="K70" i="6"/>
  <c r="AM71" i="5"/>
  <c r="I70" i="6"/>
  <c r="AL71" i="5"/>
  <c r="K71" i="6"/>
  <c r="AM72" i="5"/>
  <c r="I71" i="6"/>
  <c r="AL72" i="5"/>
  <c r="K72" i="6"/>
  <c r="AM73" i="5"/>
  <c r="I72" i="6"/>
  <c r="AL73" i="5"/>
  <c r="Y54" i="3"/>
  <c r="Z2" i="3"/>
  <c r="E89" i="4"/>
  <c r="AK54" i="3"/>
  <c r="L5" i="6"/>
  <c r="BJ3" i="5"/>
  <c r="BX6" i="5"/>
  <c r="J5" i="6"/>
  <c r="BW6" i="5"/>
  <c r="AW3" i="5"/>
  <c r="L6" i="6"/>
  <c r="BX7" i="5"/>
  <c r="J6" i="6"/>
  <c r="BW7" i="5"/>
  <c r="L7" i="6"/>
  <c r="BX8" i="5"/>
  <c r="J7" i="6"/>
  <c r="BW8" i="5"/>
  <c r="L8" i="6"/>
  <c r="BX9" i="5"/>
  <c r="J8" i="6"/>
  <c r="BW9" i="5"/>
  <c r="L9" i="6"/>
  <c r="BX10" i="5"/>
  <c r="J9" i="6"/>
  <c r="BW10" i="5"/>
  <c r="L10" i="6"/>
  <c r="BX11" i="5"/>
  <c r="J10" i="6"/>
  <c r="BW11" i="5"/>
  <c r="L11" i="6"/>
  <c r="BX12" i="5"/>
  <c r="J11" i="6"/>
  <c r="BW12" i="5"/>
  <c r="L12" i="6"/>
  <c r="BX13" i="5"/>
  <c r="J12" i="6"/>
  <c r="BW13" i="5"/>
  <c r="L13" i="6"/>
  <c r="BX14" i="5"/>
  <c r="J13" i="6"/>
  <c r="BW14" i="5"/>
  <c r="L14" i="6"/>
  <c r="BX15" i="5"/>
  <c r="J14" i="6"/>
  <c r="BW15" i="5"/>
  <c r="L15" i="6"/>
  <c r="BX16" i="5"/>
  <c r="J15" i="6"/>
  <c r="BW16" i="5"/>
  <c r="L16" i="6"/>
  <c r="BX17" i="5"/>
  <c r="J16" i="6"/>
  <c r="BW17" i="5"/>
  <c r="L17" i="6"/>
  <c r="BX18" i="5"/>
  <c r="J17" i="6"/>
  <c r="BW18" i="5"/>
  <c r="L18" i="6"/>
  <c r="BX19" i="5"/>
  <c r="J18" i="6"/>
  <c r="BW19" i="5"/>
  <c r="L19" i="6"/>
  <c r="BX20" i="5"/>
  <c r="J19" i="6"/>
  <c r="BW20" i="5"/>
  <c r="L20" i="6"/>
  <c r="BX21" i="5"/>
  <c r="J20" i="6"/>
  <c r="BW21" i="5"/>
  <c r="L21" i="6"/>
  <c r="BX22" i="5"/>
  <c r="J21" i="6"/>
  <c r="BW22" i="5"/>
  <c r="L22" i="6"/>
  <c r="BX23" i="5"/>
  <c r="J22" i="6"/>
  <c r="BW23" i="5"/>
  <c r="L23" i="6"/>
  <c r="BX24" i="5"/>
  <c r="J23" i="6"/>
  <c r="BW24" i="5"/>
  <c r="L24" i="6"/>
  <c r="BX25" i="5"/>
  <c r="J24" i="6"/>
  <c r="BW25" i="5"/>
  <c r="L25" i="6"/>
  <c r="BX26" i="5"/>
  <c r="J25" i="6"/>
  <c r="BW26" i="5"/>
  <c r="L26" i="6"/>
  <c r="BX27" i="5"/>
  <c r="J26" i="6"/>
  <c r="BW27" i="5"/>
  <c r="L27" i="6"/>
  <c r="BX28" i="5"/>
  <c r="J27" i="6"/>
  <c r="BW28" i="5"/>
  <c r="L28" i="6"/>
  <c r="BX29" i="5"/>
  <c r="J28" i="6"/>
  <c r="BW29" i="5"/>
  <c r="L29" i="6"/>
  <c r="BX30" i="5"/>
  <c r="J29" i="6"/>
  <c r="BW30" i="5"/>
  <c r="L30" i="6"/>
  <c r="BX31" i="5"/>
  <c r="J30" i="6"/>
  <c r="BW31" i="5"/>
  <c r="L31" i="6"/>
  <c r="BX32" i="5"/>
  <c r="J31" i="6"/>
  <c r="BW32" i="5"/>
  <c r="L32" i="6"/>
  <c r="BX33" i="5"/>
  <c r="J32" i="6"/>
  <c r="BW33" i="5"/>
  <c r="L33" i="6"/>
  <c r="BX34" i="5"/>
  <c r="J33" i="6"/>
  <c r="BW34" i="5"/>
  <c r="L34" i="6"/>
  <c r="BX35" i="5"/>
  <c r="J34" i="6"/>
  <c r="BW35" i="5"/>
  <c r="L35" i="6"/>
  <c r="BX36" i="5"/>
  <c r="J35" i="6"/>
  <c r="BW36" i="5"/>
  <c r="L36" i="6"/>
  <c r="BX37" i="5"/>
  <c r="J36" i="6"/>
  <c r="BW37" i="5"/>
  <c r="L37" i="6"/>
  <c r="BX38" i="5"/>
  <c r="J37" i="6"/>
  <c r="BW38" i="5"/>
  <c r="L38" i="6"/>
  <c r="BX39" i="5"/>
  <c r="J38" i="6"/>
  <c r="BW39" i="5"/>
  <c r="L39" i="6"/>
  <c r="BX40" i="5"/>
  <c r="J39" i="6"/>
  <c r="BW40" i="5"/>
  <c r="L40" i="6"/>
  <c r="BX41" i="5"/>
  <c r="J40" i="6"/>
  <c r="BW41" i="5"/>
  <c r="L41" i="6"/>
  <c r="BX42" i="5"/>
  <c r="J41" i="6"/>
  <c r="BW42" i="5"/>
  <c r="L42" i="6"/>
  <c r="BX43" i="5"/>
  <c r="J42" i="6"/>
  <c r="BW43" i="5"/>
  <c r="L43" i="6"/>
  <c r="BX44" i="5"/>
  <c r="J43" i="6"/>
  <c r="BW44" i="5"/>
  <c r="L44" i="6"/>
  <c r="BX45" i="5"/>
  <c r="J44" i="6"/>
  <c r="BW45" i="5"/>
  <c r="L45" i="6"/>
  <c r="BX46" i="5"/>
  <c r="J45" i="6"/>
  <c r="BW46" i="5"/>
  <c r="L46" i="6"/>
  <c r="BX47" i="5"/>
  <c r="J46" i="6"/>
  <c r="BW47" i="5"/>
  <c r="L47" i="6"/>
  <c r="BX48" i="5"/>
  <c r="J47" i="6"/>
  <c r="BW48" i="5"/>
  <c r="L48" i="6"/>
  <c r="BX49" i="5"/>
  <c r="J48" i="6"/>
  <c r="BW49" i="5"/>
  <c r="L49" i="6"/>
  <c r="BX50" i="5"/>
  <c r="J49" i="6"/>
  <c r="BW50" i="5"/>
  <c r="L50" i="6"/>
  <c r="BX51" i="5"/>
  <c r="J50" i="6"/>
  <c r="BW51" i="5"/>
  <c r="L51" i="6"/>
  <c r="BX52" i="5"/>
  <c r="J51" i="6"/>
  <c r="BW52" i="5"/>
  <c r="L52" i="6"/>
  <c r="BX53" i="5"/>
  <c r="J52" i="6"/>
  <c r="BW53" i="5"/>
  <c r="L53" i="6"/>
  <c r="BX54" i="5"/>
  <c r="J53" i="6"/>
  <c r="BW54" i="5"/>
  <c r="L54" i="6"/>
  <c r="BX55" i="5"/>
  <c r="J54" i="6"/>
  <c r="BW55" i="5"/>
  <c r="L55" i="6"/>
  <c r="BX56" i="5"/>
  <c r="J55" i="6"/>
  <c r="BW56" i="5"/>
  <c r="L56" i="6"/>
  <c r="BX57" i="5"/>
  <c r="J56" i="6"/>
  <c r="BW57" i="5"/>
  <c r="L57" i="6"/>
  <c r="BX58" i="5"/>
  <c r="J57" i="6"/>
  <c r="BW58" i="5"/>
  <c r="L58" i="6"/>
  <c r="BX59" i="5"/>
  <c r="J58" i="6"/>
  <c r="BW59" i="5"/>
  <c r="L59" i="6"/>
  <c r="BX60" i="5"/>
  <c r="J59" i="6"/>
  <c r="BW60" i="5"/>
  <c r="L60" i="6"/>
  <c r="BX61" i="5"/>
  <c r="J60" i="6"/>
  <c r="BW61" i="5"/>
  <c r="L61" i="6"/>
  <c r="BX62" i="5"/>
  <c r="J61" i="6"/>
  <c r="BW62" i="5"/>
  <c r="L62" i="6"/>
  <c r="BX63" i="5"/>
  <c r="J62" i="6"/>
  <c r="BW63" i="5"/>
  <c r="L63" i="6"/>
  <c r="BX64" i="5"/>
  <c r="J63" i="6"/>
  <c r="BW64" i="5"/>
  <c r="L64" i="6"/>
  <c r="BX65" i="5"/>
  <c r="J64" i="6"/>
  <c r="BW65" i="5"/>
  <c r="L65" i="6"/>
  <c r="BX66" i="5"/>
  <c r="J65" i="6"/>
  <c r="BW66" i="5"/>
  <c r="L66" i="6"/>
  <c r="BX67" i="5"/>
  <c r="J66" i="6"/>
  <c r="BW67" i="5"/>
  <c r="L67" i="6"/>
  <c r="BX68" i="5"/>
  <c r="J67" i="6"/>
  <c r="BW68" i="5"/>
  <c r="L68" i="6"/>
  <c r="BX69" i="5"/>
  <c r="J68" i="6"/>
  <c r="BW69" i="5"/>
  <c r="L69" i="6"/>
  <c r="BX70" i="5"/>
  <c r="J69" i="6"/>
  <c r="BW70" i="5"/>
  <c r="L70" i="6"/>
  <c r="BX71" i="5"/>
  <c r="J70" i="6"/>
  <c r="BW71" i="5"/>
  <c r="L71" i="6"/>
  <c r="BX72" i="5"/>
  <c r="J71" i="6"/>
  <c r="BW72" i="5"/>
  <c r="L72" i="6"/>
  <c r="BX73" i="5"/>
  <c r="J72" i="6"/>
  <c r="BW73" i="5"/>
  <c r="P73" i="7"/>
  <c r="O73" i="7"/>
  <c r="R73" i="7" s="1"/>
  <c r="S73" i="7" s="1"/>
  <c r="AU4" i="7"/>
  <c r="AU73" i="7" s="1"/>
  <c r="P74" i="7" s="1"/>
  <c r="AV4" i="7"/>
  <c r="AV73" i="7" s="1"/>
  <c r="P75" i="7" s="1"/>
  <c r="AG4" i="7"/>
  <c r="AG73" i="7" s="1"/>
  <c r="O75" i="7" s="1"/>
  <c r="R75" i="7" s="1"/>
  <c r="S75" i="7" s="1"/>
  <c r="AF4" i="7"/>
  <c r="AF73" i="7" s="1"/>
  <c r="O74" i="7" s="1"/>
  <c r="R74" i="7" s="1"/>
  <c r="S74" i="7" s="1"/>
  <c r="R4" i="7"/>
  <c r="S4" i="7" s="1"/>
  <c r="S78" i="7" s="1"/>
  <c r="T72" i="7" s="1"/>
  <c r="T74" i="7" l="1"/>
  <c r="T75" i="7"/>
  <c r="T73" i="7"/>
  <c r="BW75" i="5"/>
  <c r="BX75" i="5"/>
  <c r="E44" i="4"/>
  <c r="Z54" i="3"/>
  <c r="I7" i="6"/>
  <c r="AL8" i="5"/>
  <c r="I6" i="6"/>
  <c r="AL7" i="5"/>
  <c r="I5" i="6"/>
  <c r="AL6" i="5"/>
  <c r="AL75" i="5" s="1"/>
  <c r="L3" i="5"/>
  <c r="AM75" i="5"/>
  <c r="E44" i="2"/>
  <c r="Z54" i="1"/>
  <c r="R72" i="6"/>
  <c r="Q72" i="6"/>
  <c r="U72" i="6"/>
  <c r="P72" i="6"/>
  <c r="O72" i="6"/>
  <c r="T72" i="6"/>
  <c r="R71" i="6"/>
  <c r="Q71" i="6"/>
  <c r="U71" i="6"/>
  <c r="P71" i="6"/>
  <c r="O71" i="6"/>
  <c r="T71" i="6"/>
  <c r="R70" i="6"/>
  <c r="Q70" i="6"/>
  <c r="U70" i="6"/>
  <c r="P70" i="6"/>
  <c r="O70" i="6"/>
  <c r="T70" i="6"/>
  <c r="R69" i="6"/>
  <c r="Q69" i="6"/>
  <c r="U69" i="6"/>
  <c r="P69" i="6"/>
  <c r="O69" i="6"/>
  <c r="T69" i="6"/>
  <c r="R68" i="6"/>
  <c r="Q68" i="6"/>
  <c r="U68" i="6"/>
  <c r="P68" i="6"/>
  <c r="O68" i="6"/>
  <c r="T68" i="6"/>
  <c r="R67" i="6"/>
  <c r="Q67" i="6"/>
  <c r="U67" i="6"/>
  <c r="P67" i="6"/>
  <c r="O67" i="6"/>
  <c r="T67" i="6"/>
  <c r="R66" i="6"/>
  <c r="Q66" i="6"/>
  <c r="U66" i="6"/>
  <c r="P66" i="6"/>
  <c r="O66" i="6"/>
  <c r="T66" i="6"/>
  <c r="R65" i="6"/>
  <c r="Q65" i="6"/>
  <c r="U65" i="6"/>
  <c r="P65" i="6"/>
  <c r="O65" i="6"/>
  <c r="T65" i="6"/>
  <c r="R64" i="6"/>
  <c r="Q64" i="6"/>
  <c r="U64" i="6"/>
  <c r="P64" i="6"/>
  <c r="O64" i="6"/>
  <c r="T64" i="6"/>
  <c r="R63" i="6"/>
  <c r="Q63" i="6"/>
  <c r="U63" i="6"/>
  <c r="P63" i="6"/>
  <c r="O63" i="6"/>
  <c r="T63" i="6"/>
  <c r="R62" i="6"/>
  <c r="Q62" i="6"/>
  <c r="U62" i="6"/>
  <c r="P62" i="6"/>
  <c r="O62" i="6"/>
  <c r="T62" i="6"/>
  <c r="R61" i="6"/>
  <c r="Q61" i="6"/>
  <c r="U61" i="6"/>
  <c r="P61" i="6"/>
  <c r="O61" i="6"/>
  <c r="T61" i="6"/>
  <c r="R60" i="6"/>
  <c r="Q60" i="6"/>
  <c r="U60" i="6"/>
  <c r="P60" i="6"/>
  <c r="O60" i="6"/>
  <c r="T60" i="6"/>
  <c r="R59" i="6"/>
  <c r="Q59" i="6"/>
  <c r="U59" i="6"/>
  <c r="P59" i="6"/>
  <c r="O59" i="6"/>
  <c r="T59" i="6"/>
  <c r="R58" i="6"/>
  <c r="Q58" i="6"/>
  <c r="U58" i="6"/>
  <c r="P58" i="6"/>
  <c r="O58" i="6"/>
  <c r="T58" i="6"/>
  <c r="R57" i="6"/>
  <c r="Q57" i="6"/>
  <c r="U57" i="6"/>
  <c r="P57" i="6"/>
  <c r="O57" i="6"/>
  <c r="T57" i="6"/>
  <c r="R56" i="6"/>
  <c r="Q56" i="6"/>
  <c r="U56" i="6"/>
  <c r="P56" i="6"/>
  <c r="O56" i="6"/>
  <c r="T56" i="6"/>
  <c r="R55" i="6"/>
  <c r="Q55" i="6"/>
  <c r="U55" i="6"/>
  <c r="P55" i="6"/>
  <c r="O55" i="6"/>
  <c r="T55" i="6"/>
  <c r="R54" i="6"/>
  <c r="Q54" i="6"/>
  <c r="U54" i="6"/>
  <c r="P54" i="6"/>
  <c r="O54" i="6"/>
  <c r="T54" i="6"/>
  <c r="R53" i="6"/>
  <c r="Q53" i="6"/>
  <c r="U53" i="6"/>
  <c r="P53" i="6"/>
  <c r="O53" i="6"/>
  <c r="T53" i="6"/>
  <c r="R52" i="6"/>
  <c r="Q52" i="6"/>
  <c r="U52" i="6"/>
  <c r="P52" i="6"/>
  <c r="O52" i="6"/>
  <c r="T52" i="6"/>
  <c r="R51" i="6"/>
  <c r="Q51" i="6"/>
  <c r="U51" i="6"/>
  <c r="P51" i="6"/>
  <c r="O51" i="6"/>
  <c r="T51" i="6"/>
  <c r="R50" i="6"/>
  <c r="Q50" i="6"/>
  <c r="U50" i="6"/>
  <c r="P50" i="6"/>
  <c r="O50" i="6"/>
  <c r="T50" i="6"/>
  <c r="R49" i="6"/>
  <c r="Q49" i="6"/>
  <c r="U49" i="6"/>
  <c r="P49" i="6"/>
  <c r="O49" i="6"/>
  <c r="T49" i="6"/>
  <c r="R48" i="6"/>
  <c r="Q48" i="6"/>
  <c r="U48" i="6"/>
  <c r="P48" i="6"/>
  <c r="O48" i="6"/>
  <c r="T48" i="6"/>
  <c r="R47" i="6"/>
  <c r="Q47" i="6"/>
  <c r="U47" i="6"/>
  <c r="P47" i="6"/>
  <c r="O47" i="6"/>
  <c r="T47" i="6"/>
  <c r="R46" i="6"/>
  <c r="Q46" i="6"/>
  <c r="U46" i="6"/>
  <c r="P46" i="6"/>
  <c r="O46" i="6"/>
  <c r="T46" i="6"/>
  <c r="R45" i="6"/>
  <c r="Q45" i="6"/>
  <c r="U45" i="6"/>
  <c r="P45" i="6"/>
  <c r="O45" i="6"/>
  <c r="T45" i="6"/>
  <c r="R44" i="6"/>
  <c r="Q44" i="6"/>
  <c r="U44" i="6"/>
  <c r="P44" i="6"/>
  <c r="O44" i="6"/>
  <c r="T44" i="6"/>
  <c r="R43" i="6"/>
  <c r="Q43" i="6"/>
  <c r="U43" i="6"/>
  <c r="P43" i="6"/>
  <c r="O43" i="6"/>
  <c r="T43" i="6"/>
  <c r="R42" i="6"/>
  <c r="Q42" i="6"/>
  <c r="U42" i="6"/>
  <c r="P42" i="6"/>
  <c r="O42" i="6"/>
  <c r="T42" i="6"/>
  <c r="R41" i="6"/>
  <c r="Q41" i="6"/>
  <c r="U41" i="6"/>
  <c r="P41" i="6"/>
  <c r="O41" i="6"/>
  <c r="T41" i="6"/>
  <c r="R40" i="6"/>
  <c r="Q40" i="6"/>
  <c r="U40" i="6"/>
  <c r="P40" i="6"/>
  <c r="O40" i="6"/>
  <c r="T40" i="6"/>
  <c r="R39" i="6"/>
  <c r="Q39" i="6"/>
  <c r="U39" i="6"/>
  <c r="P39" i="6"/>
  <c r="O39" i="6"/>
  <c r="T39" i="6"/>
  <c r="R38" i="6"/>
  <c r="Q38" i="6"/>
  <c r="U38" i="6"/>
  <c r="P38" i="6"/>
  <c r="O38" i="6"/>
  <c r="T38" i="6"/>
  <c r="R37" i="6"/>
  <c r="Q37" i="6"/>
  <c r="U37" i="6"/>
  <c r="P37" i="6"/>
  <c r="O37" i="6"/>
  <c r="T37" i="6"/>
  <c r="R36" i="6"/>
  <c r="Q36" i="6"/>
  <c r="U36" i="6"/>
  <c r="P36" i="6"/>
  <c r="O36" i="6"/>
  <c r="T36" i="6"/>
  <c r="R35" i="6"/>
  <c r="Q35" i="6"/>
  <c r="U35" i="6"/>
  <c r="P35" i="6"/>
  <c r="O35" i="6"/>
  <c r="T35" i="6"/>
  <c r="R34" i="6"/>
  <c r="Q34" i="6"/>
  <c r="U34" i="6"/>
  <c r="P34" i="6"/>
  <c r="O34" i="6"/>
  <c r="T34" i="6"/>
  <c r="R33" i="6"/>
  <c r="Q33" i="6"/>
  <c r="U33" i="6"/>
  <c r="P33" i="6"/>
  <c r="O33" i="6"/>
  <c r="T33" i="6"/>
  <c r="R32" i="6"/>
  <c r="Q32" i="6"/>
  <c r="U32" i="6"/>
  <c r="P32" i="6"/>
  <c r="O32" i="6"/>
  <c r="T32" i="6"/>
  <c r="R31" i="6"/>
  <c r="Q31" i="6"/>
  <c r="U31" i="6"/>
  <c r="P31" i="6"/>
  <c r="O31" i="6"/>
  <c r="T31" i="6"/>
  <c r="R30" i="6"/>
  <c r="Q30" i="6"/>
  <c r="U30" i="6"/>
  <c r="P30" i="6"/>
  <c r="O30" i="6"/>
  <c r="T30" i="6"/>
  <c r="R29" i="6"/>
  <c r="Q29" i="6"/>
  <c r="U29" i="6"/>
  <c r="P29" i="6"/>
  <c r="O29" i="6"/>
  <c r="T29" i="6"/>
  <c r="R28" i="6"/>
  <c r="Q28" i="6"/>
  <c r="U28" i="6"/>
  <c r="P28" i="6"/>
  <c r="O28" i="6"/>
  <c r="T28" i="6"/>
  <c r="R27" i="6"/>
  <c r="Q27" i="6"/>
  <c r="U27" i="6"/>
  <c r="P27" i="6"/>
  <c r="O27" i="6"/>
  <c r="T27" i="6"/>
  <c r="R26" i="6"/>
  <c r="Q26" i="6"/>
  <c r="U26" i="6"/>
  <c r="P26" i="6"/>
  <c r="O26" i="6"/>
  <c r="T26" i="6"/>
  <c r="R25" i="6"/>
  <c r="Q25" i="6"/>
  <c r="U25" i="6"/>
  <c r="P25" i="6"/>
  <c r="O25" i="6"/>
  <c r="T25" i="6"/>
  <c r="R24" i="6"/>
  <c r="Q24" i="6"/>
  <c r="U24" i="6"/>
  <c r="P24" i="6"/>
  <c r="O24" i="6"/>
  <c r="T24" i="6"/>
  <c r="R23" i="6"/>
  <c r="Q23" i="6"/>
  <c r="U23" i="6"/>
  <c r="P23" i="6"/>
  <c r="O23" i="6"/>
  <c r="T23" i="6"/>
  <c r="R22" i="6"/>
  <c r="Q22" i="6"/>
  <c r="U22" i="6"/>
  <c r="P22" i="6"/>
  <c r="O22" i="6"/>
  <c r="T22" i="6"/>
  <c r="R21" i="6"/>
  <c r="Q21" i="6"/>
  <c r="U21" i="6"/>
  <c r="P21" i="6"/>
  <c r="O21" i="6"/>
  <c r="T21" i="6"/>
  <c r="R20" i="6"/>
  <c r="Q20" i="6"/>
  <c r="U20" i="6"/>
  <c r="P20" i="6"/>
  <c r="O20" i="6"/>
  <c r="T20" i="6"/>
  <c r="R19" i="6"/>
  <c r="Q19" i="6"/>
  <c r="U19" i="6"/>
  <c r="P19" i="6"/>
  <c r="O19" i="6"/>
  <c r="T19" i="6"/>
  <c r="R18" i="6"/>
  <c r="Q18" i="6"/>
  <c r="U18" i="6"/>
  <c r="P18" i="6"/>
  <c r="O18" i="6"/>
  <c r="T18" i="6"/>
  <c r="R17" i="6"/>
  <c r="Q17" i="6"/>
  <c r="U17" i="6"/>
  <c r="P17" i="6"/>
  <c r="O17" i="6"/>
  <c r="T17" i="6"/>
  <c r="R16" i="6"/>
  <c r="Q16" i="6"/>
  <c r="U16" i="6"/>
  <c r="P16" i="6"/>
  <c r="O16" i="6"/>
  <c r="T16" i="6"/>
  <c r="R15" i="6"/>
  <c r="Q15" i="6"/>
  <c r="U15" i="6"/>
  <c r="P15" i="6"/>
  <c r="O15" i="6"/>
  <c r="T15" i="6"/>
  <c r="R14" i="6"/>
  <c r="Q14" i="6"/>
  <c r="U14" i="6"/>
  <c r="P14" i="6"/>
  <c r="O14" i="6"/>
  <c r="T14" i="6"/>
  <c r="R13" i="6"/>
  <c r="Q13" i="6"/>
  <c r="U13" i="6"/>
  <c r="P13" i="6"/>
  <c r="O13" i="6"/>
  <c r="T13" i="6"/>
  <c r="R12" i="6"/>
  <c r="Q12" i="6"/>
  <c r="U12" i="6"/>
  <c r="P12" i="6"/>
  <c r="O12" i="6"/>
  <c r="T12" i="6"/>
  <c r="R11" i="6"/>
  <c r="Q11" i="6"/>
  <c r="U11" i="6"/>
  <c r="P11" i="6"/>
  <c r="O11" i="6"/>
  <c r="T11" i="6"/>
  <c r="R10" i="6"/>
  <c r="Q10" i="6"/>
  <c r="U10" i="6"/>
  <c r="P10" i="6"/>
  <c r="O10" i="6"/>
  <c r="T10" i="6"/>
  <c r="R9" i="6"/>
  <c r="Q9" i="6"/>
  <c r="U9" i="6"/>
  <c r="P9" i="6"/>
  <c r="O9" i="6"/>
  <c r="T9" i="6"/>
  <c r="R8" i="6"/>
  <c r="Q8" i="6"/>
  <c r="U8" i="6"/>
  <c r="P8" i="6"/>
  <c r="O8" i="6"/>
  <c r="T8" i="6"/>
  <c r="R7" i="6"/>
  <c r="Q7" i="6"/>
  <c r="U7" i="6"/>
  <c r="P7" i="6"/>
  <c r="O7" i="6"/>
  <c r="T7" i="6"/>
  <c r="R6" i="6"/>
  <c r="Q6" i="6"/>
  <c r="U6" i="6"/>
  <c r="P6" i="6"/>
  <c r="O6" i="6"/>
  <c r="T6" i="6"/>
  <c r="R5" i="6"/>
  <c r="Q5" i="6"/>
  <c r="U5" i="6"/>
  <c r="P5" i="6"/>
  <c r="O5" i="6"/>
  <c r="T5" i="6"/>
  <c r="U2" i="6"/>
  <c r="T2" i="6"/>
</calcChain>
</file>

<file path=xl/sharedStrings.xml><?xml version="1.0" encoding="utf-8"?>
<sst xmlns="http://schemas.openxmlformats.org/spreadsheetml/2006/main" count="3535" uniqueCount="404">
  <si>
    <t>Component name</t>
  </si>
  <si>
    <t>Vol %</t>
  </si>
  <si>
    <t>Carbon number</t>
  </si>
  <si>
    <t>Class</t>
  </si>
  <si>
    <t>vol.% * nC</t>
  </si>
  <si>
    <t>Sel (C base)</t>
  </si>
  <si>
    <t>mmolC</t>
  </si>
  <si>
    <t>mol</t>
  </si>
  <si>
    <t>mmol C</t>
  </si>
  <si>
    <t>Conversion</t>
  </si>
  <si>
    <t>Carbon in Oil</t>
  </si>
  <si>
    <t>Oil light</t>
  </si>
  <si>
    <t>Oil heavy</t>
  </si>
  <si>
    <t>Propane</t>
  </si>
  <si>
    <t>paraffin</t>
  </si>
  <si>
    <t>mss %</t>
  </si>
  <si>
    <t>IN</t>
  </si>
  <si>
    <t>OUT</t>
  </si>
  <si>
    <t>ml</t>
  </si>
  <si>
    <t>Butene-1</t>
  </si>
  <si>
    <t>Olefin</t>
  </si>
  <si>
    <t>%</t>
  </si>
  <si>
    <t>n-Butane</t>
  </si>
  <si>
    <t>TOT</t>
  </si>
  <si>
    <t>mmol</t>
  </si>
  <si>
    <t>HC Carbon</t>
  </si>
  <si>
    <t>mmcolC</t>
  </si>
  <si>
    <t>i-Butane</t>
  </si>
  <si>
    <t>iso-paraffin</t>
  </si>
  <si>
    <t>CO</t>
  </si>
  <si>
    <t>1,4-Pentadiene</t>
  </si>
  <si>
    <t>*CO2</t>
  </si>
  <si>
    <t>n-Pentane</t>
  </si>
  <si>
    <t>Ottene</t>
  </si>
  <si>
    <t>(C5-IsoParaffin)</t>
  </si>
  <si>
    <t>Toluene</t>
  </si>
  <si>
    <t>Aromatic</t>
  </si>
  <si>
    <t>Cyclopentane</t>
  </si>
  <si>
    <t>Naphthene</t>
  </si>
  <si>
    <t>Nonene</t>
  </si>
  <si>
    <t>3-Methylpentane</t>
  </si>
  <si>
    <t>p-Xilene</t>
  </si>
  <si>
    <t>1t,4-Hexadiene</t>
  </si>
  <si>
    <t>m-Xilene</t>
  </si>
  <si>
    <t>Cyclohexane</t>
  </si>
  <si>
    <t>Etilbenzene</t>
  </si>
  <si>
    <t>n-Hexane</t>
  </si>
  <si>
    <t>o-Xilene</t>
  </si>
  <si>
    <t>Benzene</t>
  </si>
  <si>
    <t>Trimetilbenzene</t>
  </si>
  <si>
    <t>3-Ethylpentane</t>
  </si>
  <si>
    <t>Decene</t>
  </si>
  <si>
    <t>2,4-Dimethylpentene-1</t>
  </si>
  <si>
    <t>Decano</t>
  </si>
  <si>
    <t>1c,3-Dimethylcyclopentane</t>
  </si>
  <si>
    <t>*CH4</t>
  </si>
  <si>
    <t>*Etilene</t>
  </si>
  <si>
    <t>Octene-1</t>
  </si>
  <si>
    <t>*Acetilene</t>
  </si>
  <si>
    <t>Ethylbenzene</t>
  </si>
  <si>
    <t>*Etano</t>
  </si>
  <si>
    <t>2-Methyl-3-ethylpentane</t>
  </si>
  <si>
    <t>*Propilene</t>
  </si>
  <si>
    <t>1c,2t,3-Trimethylcyclopentane</t>
  </si>
  <si>
    <t>*Propano</t>
  </si>
  <si>
    <t>n-Octane</t>
  </si>
  <si>
    <t>*DME</t>
  </si>
  <si>
    <t>oxygenated</t>
  </si>
  <si>
    <t>I8 (C9)</t>
  </si>
  <si>
    <t>Metanolo</t>
  </si>
  <si>
    <t>3,5,5-Trimethylhexene-1</t>
  </si>
  <si>
    <t>2-Metilpropene</t>
  </si>
  <si>
    <t>1,3-Methylethylbenzene</t>
  </si>
  <si>
    <t>*1-Butene</t>
  </si>
  <si>
    <t>n-Nonane</t>
  </si>
  <si>
    <t>*N-Butano</t>
  </si>
  <si>
    <t>1,1,3-Trimethylcyclohexane</t>
  </si>
  <si>
    <t>2-Butene</t>
  </si>
  <si>
    <t>Decene-1</t>
  </si>
  <si>
    <t>3-Metilbut-1-ene</t>
  </si>
  <si>
    <t>I15 (C10)</t>
  </si>
  <si>
    <t>2-Metilbutano</t>
  </si>
  <si>
    <t>1,2-Methyl-n-propylbenzene</t>
  </si>
  <si>
    <t>2-Metilbut-1-ene</t>
  </si>
  <si>
    <t>Sec-butylcyclohexane</t>
  </si>
  <si>
    <t>*1-Pentene</t>
  </si>
  <si>
    <t>Undecene-1</t>
  </si>
  <si>
    <t>2-Pentene</t>
  </si>
  <si>
    <t>I26 (C11)</t>
  </si>
  <si>
    <t>*Pentano</t>
  </si>
  <si>
    <t>1,2-Ethyl-i-propylbenzene</t>
  </si>
  <si>
    <t>2-Metilbut-2-ene</t>
  </si>
  <si>
    <t>n-Undecane</t>
  </si>
  <si>
    <t>2,2-Dimetilbutano</t>
  </si>
  <si>
    <t>I47 (C12)</t>
  </si>
  <si>
    <t>3-Metilpent-1-ene</t>
  </si>
  <si>
    <t>Dodecene-1</t>
  </si>
  <si>
    <t>4-Metilpent-2-ene</t>
  </si>
  <si>
    <t>1t-M-2-(4-MP)cyclopentane</t>
  </si>
  <si>
    <t>1-Esene</t>
  </si>
  <si>
    <t>1,3-Di-i-propylbenzene</t>
  </si>
  <si>
    <t>Esano</t>
  </si>
  <si>
    <t>(C13-IsoParaffin)</t>
  </si>
  <si>
    <t>2,3-Dimetilbut-2-ene</t>
  </si>
  <si>
    <t>Tridecene-1</t>
  </si>
  <si>
    <t>2,2-Dimetilpentano</t>
  </si>
  <si>
    <t>(C14-IsoParaffin)</t>
  </si>
  <si>
    <t>2-Metiles-1-ene</t>
  </si>
  <si>
    <t>(C15-IsoParaffin)</t>
  </si>
  <si>
    <t>1-eptene</t>
  </si>
  <si>
    <t>(C16-IsoParaffin)</t>
  </si>
  <si>
    <t>Eptano</t>
  </si>
  <si>
    <t>(C17-IsoParaffin)</t>
  </si>
  <si>
    <t>2-Eptene</t>
  </si>
  <si>
    <t>TOT CO</t>
  </si>
  <si>
    <t>TOT CO2</t>
  </si>
  <si>
    <t>TOT CO IN</t>
  </si>
  <si>
    <t>TOT CO2 IN</t>
  </si>
  <si>
    <t>Cn</t>
  </si>
  <si>
    <t>Name</t>
  </si>
  <si>
    <t>Colonna1</t>
  </si>
  <si>
    <t>1-GAS</t>
  </si>
  <si>
    <t>Nc</t>
  </si>
  <si>
    <t>Colonna2</t>
  </si>
  <si>
    <t>Colonna3</t>
  </si>
  <si>
    <t>Colonna4</t>
  </si>
  <si>
    <t>Colonna5</t>
  </si>
  <si>
    <t>Colonna6</t>
  </si>
  <si>
    <t>con CO</t>
  </si>
  <si>
    <t>conv CO2</t>
  </si>
  <si>
    <t>Row Labels</t>
  </si>
  <si>
    <t>Somma di mmolC</t>
  </si>
  <si>
    <t>METHANE</t>
  </si>
  <si>
    <t>CH4</t>
  </si>
  <si>
    <t>METHANOL</t>
  </si>
  <si>
    <t>CH4O</t>
  </si>
  <si>
    <t>MEOH</t>
  </si>
  <si>
    <t>ETHANE</t>
  </si>
  <si>
    <t>C2H6</t>
  </si>
  <si>
    <t>C2</t>
  </si>
  <si>
    <t>ETHYLENE</t>
  </si>
  <si>
    <t>C2H4</t>
  </si>
  <si>
    <t>C2-O</t>
  </si>
  <si>
    <t>PROPANE</t>
  </si>
  <si>
    <t>C3H8</t>
  </si>
  <si>
    <t>C3</t>
  </si>
  <si>
    <t>PROPYLENE</t>
  </si>
  <si>
    <t>C3H6-2</t>
  </si>
  <si>
    <t>C3-O</t>
  </si>
  <si>
    <t>N-BUTANE</t>
  </si>
  <si>
    <t>C4H10-1</t>
  </si>
  <si>
    <t>C4</t>
  </si>
  <si>
    <t>ISOBUTANE</t>
  </si>
  <si>
    <t>C4H10-2</t>
  </si>
  <si>
    <t>C4-IP</t>
  </si>
  <si>
    <t>1-BUTENE</t>
  </si>
  <si>
    <t>C4H8-1</t>
  </si>
  <si>
    <t>C4-O</t>
  </si>
  <si>
    <t>N-PENTANE</t>
  </si>
  <si>
    <t>C5H12-1</t>
  </si>
  <si>
    <t>C5</t>
  </si>
  <si>
    <t>2-METHYL-1-BUTANE</t>
  </si>
  <si>
    <t>C5H12-5</t>
  </si>
  <si>
    <t>C5-IP</t>
  </si>
  <si>
    <t>Somma di mol</t>
  </si>
  <si>
    <t>1-PENTENE</t>
  </si>
  <si>
    <t>C5H10-2</t>
  </si>
  <si>
    <t>C5-O</t>
  </si>
  <si>
    <t>CYCLOPENTANE</t>
  </si>
  <si>
    <t>C5-N</t>
  </si>
  <si>
    <t>2,2-DIMETHYL-BUTANE</t>
  </si>
  <si>
    <t>C6H14-4</t>
  </si>
  <si>
    <t>C6-IP</t>
  </si>
  <si>
    <t>N-HEXANE</t>
  </si>
  <si>
    <t>C6H14-1</t>
  </si>
  <si>
    <t>C6</t>
  </si>
  <si>
    <t>2-METHYL-1-PENTENE</t>
  </si>
  <si>
    <t>C6H12-D2</t>
  </si>
  <si>
    <t>C6-O</t>
  </si>
  <si>
    <t>BENZENE</t>
  </si>
  <si>
    <t>C6-A</t>
  </si>
  <si>
    <t>CYCLOHEXANE</t>
  </si>
  <si>
    <t>C6-N</t>
  </si>
  <si>
    <t>N-HEPTANE</t>
  </si>
  <si>
    <t>C7H16-1</t>
  </si>
  <si>
    <t>C7</t>
  </si>
  <si>
    <t>2-METHYLHEXANE</t>
  </si>
  <si>
    <t>C7H16-2</t>
  </si>
  <si>
    <t>C7-IP</t>
  </si>
  <si>
    <t>1-HEPTENE</t>
  </si>
  <si>
    <t>C7H14-7</t>
  </si>
  <si>
    <t>C7-O</t>
  </si>
  <si>
    <t>TOLUENE</t>
  </si>
  <si>
    <t>C7H8</t>
  </si>
  <si>
    <t>C7-A</t>
  </si>
  <si>
    <t>C7-N</t>
  </si>
  <si>
    <t>N-OCTANE</t>
  </si>
  <si>
    <t>C8H18-1</t>
  </si>
  <si>
    <t>C8</t>
  </si>
  <si>
    <t>2,2,4-TRIMETHYLPENTANE</t>
  </si>
  <si>
    <t>C8H18-13</t>
  </si>
  <si>
    <t>C8-IP</t>
  </si>
  <si>
    <t>1-OCTENE</t>
  </si>
  <si>
    <t>C8H16-16</t>
  </si>
  <si>
    <t>C8-O</t>
  </si>
  <si>
    <t>1-METHYL-1-ETHYLCYCLOPENTANE</t>
  </si>
  <si>
    <t>C8H16-13</t>
  </si>
  <si>
    <t>C8-N</t>
  </si>
  <si>
    <t>M-XYLENE</t>
  </si>
  <si>
    <t>C8H10-2</t>
  </si>
  <si>
    <t>C8-A</t>
  </si>
  <si>
    <t>Grand Total</t>
  </si>
  <si>
    <t>N-NONANE</t>
  </si>
  <si>
    <t>C9H20-1</t>
  </si>
  <si>
    <t>C9</t>
  </si>
  <si>
    <t>3-METHYLOCTANE</t>
  </si>
  <si>
    <t>C9H20-D2</t>
  </si>
  <si>
    <t>C9-IP</t>
  </si>
  <si>
    <t>1-NONENE</t>
  </si>
  <si>
    <t>C9H18-3</t>
  </si>
  <si>
    <t>C9-O</t>
  </si>
  <si>
    <t>ISOPROPYLCYCLOHEXANE</t>
  </si>
  <si>
    <t>C9H18-2</t>
  </si>
  <si>
    <t>C9-N</t>
  </si>
  <si>
    <t>INDANE</t>
  </si>
  <si>
    <t>C9H10-E1</t>
  </si>
  <si>
    <t>C9-A</t>
  </si>
  <si>
    <t>N-DECANE</t>
  </si>
  <si>
    <t>C10H22-1</t>
  </si>
  <si>
    <t>C10</t>
  </si>
  <si>
    <t>2-METHYLNONANE</t>
  </si>
  <si>
    <t>C10H22-E2</t>
  </si>
  <si>
    <t>C10-IP</t>
  </si>
  <si>
    <t>1-DECENE</t>
  </si>
  <si>
    <t>C10H20-5</t>
  </si>
  <si>
    <t>C10-O</t>
  </si>
  <si>
    <t>1-PROPYL-1-METHYLCYCLOHEXANE</t>
  </si>
  <si>
    <t>C10H20-N24</t>
  </si>
  <si>
    <t>C10-N</t>
  </si>
  <si>
    <t>1,2-DIMETHYL-3-ETHYLBENZENE</t>
  </si>
  <si>
    <t>C10H14-D3</t>
  </si>
  <si>
    <t>C10-A</t>
  </si>
  <si>
    <t>DHA</t>
  </si>
  <si>
    <t>2-DHA</t>
  </si>
  <si>
    <t>N-UNDECANE</t>
  </si>
  <si>
    <t>C11H24</t>
  </si>
  <si>
    <t>C11</t>
  </si>
  <si>
    <t>3-ETHYLNONANE</t>
  </si>
  <si>
    <t>C11H24-N8</t>
  </si>
  <si>
    <t>C11-IP</t>
  </si>
  <si>
    <t>1-ETHYL-2-ISOPROPYLBENZENE</t>
  </si>
  <si>
    <t>C11H16-D1</t>
  </si>
  <si>
    <t>C11-A</t>
  </si>
  <si>
    <t>C11-O</t>
  </si>
  <si>
    <t>2-METHYLUNDECANE</t>
  </si>
  <si>
    <t>C12H26-N9</t>
  </si>
  <si>
    <t>C12-IP</t>
  </si>
  <si>
    <t>N-DODECANE</t>
  </si>
  <si>
    <t>C12H26</t>
  </si>
  <si>
    <t>C12</t>
  </si>
  <si>
    <t>1-DODECENE</t>
  </si>
  <si>
    <t>C12H24-2</t>
  </si>
  <si>
    <t>C12-O</t>
  </si>
  <si>
    <t>1,2,4-TRIETHYLBENZENE</t>
  </si>
  <si>
    <t>C12H18-D6</t>
  </si>
  <si>
    <t>C12-A</t>
  </si>
  <si>
    <t>C12-N</t>
  </si>
  <si>
    <t>2-METHYLDODECANE</t>
  </si>
  <si>
    <t>C13H28-N1</t>
  </si>
  <si>
    <t>C13-IP</t>
  </si>
  <si>
    <t>1-TRIDECENE</t>
  </si>
  <si>
    <t>C13H26-2</t>
  </si>
  <si>
    <t>C13-O</t>
  </si>
  <si>
    <t>N-TRIDECANE</t>
  </si>
  <si>
    <t>C13H28</t>
  </si>
  <si>
    <t>C13</t>
  </si>
  <si>
    <t>2-METHYLTRIDECANE</t>
  </si>
  <si>
    <t>C14H30-N1</t>
  </si>
  <si>
    <t>C14-IP</t>
  </si>
  <si>
    <t>N-TETRADECANE</t>
  </si>
  <si>
    <t>C14H30</t>
  </si>
  <si>
    <t xml:space="preserve"> C14 </t>
  </si>
  <si>
    <t>2-METHYLTETRADECANE</t>
  </si>
  <si>
    <t>C15H32-N1</t>
  </si>
  <si>
    <t xml:space="preserve">C15-IP </t>
  </si>
  <si>
    <t>N-PENTADECANE</t>
  </si>
  <si>
    <t>C15H32</t>
  </si>
  <si>
    <t>C15</t>
  </si>
  <si>
    <t>2-METHYLPENTADECANE</t>
  </si>
  <si>
    <t>C16H34-N1</t>
  </si>
  <si>
    <t>C16-IP</t>
  </si>
  <si>
    <t>N-HEXADECANE</t>
  </si>
  <si>
    <t>C16H34</t>
  </si>
  <si>
    <t>C16</t>
  </si>
  <si>
    <t>14-METHYLHEXADECANE</t>
  </si>
  <si>
    <t>C17H36-N10</t>
  </si>
  <si>
    <t>C17-IP</t>
  </si>
  <si>
    <t>N-HEPTADECANE</t>
  </si>
  <si>
    <t>C17H36</t>
  </si>
  <si>
    <t>C17</t>
  </si>
  <si>
    <t>N-OCTADECANE</t>
  </si>
  <si>
    <t>C18H38</t>
  </si>
  <si>
    <t>C18</t>
  </si>
  <si>
    <t>N-NONADECANE</t>
  </si>
  <si>
    <t>C19H40</t>
  </si>
  <si>
    <t>C19</t>
  </si>
  <si>
    <t>N-EICOSANE</t>
  </si>
  <si>
    <t>C20H42</t>
  </si>
  <si>
    <t>C20</t>
  </si>
  <si>
    <t>N-HENEICOSANE</t>
  </si>
  <si>
    <t>C21H44</t>
  </si>
  <si>
    <t>C21</t>
  </si>
  <si>
    <t>N-DOCOSANE</t>
  </si>
  <si>
    <t>C22H46</t>
  </si>
  <si>
    <t>C22</t>
  </si>
  <si>
    <t>N-TRICOSANE</t>
  </si>
  <si>
    <t>C23H48</t>
  </si>
  <si>
    <t>C23</t>
  </si>
  <si>
    <t>N-TETRACOSANE</t>
  </si>
  <si>
    <t>C24H50</t>
  </si>
  <si>
    <t>C24</t>
  </si>
  <si>
    <t>N-PENTACOSANE</t>
  </si>
  <si>
    <t>C25H52</t>
  </si>
  <si>
    <t>C25</t>
  </si>
  <si>
    <t>N-HEXACOSANE</t>
  </si>
  <si>
    <t>C26H54</t>
  </si>
  <si>
    <t>C26</t>
  </si>
  <si>
    <t>N-HEPTACOSANE</t>
  </si>
  <si>
    <t>C27H56</t>
  </si>
  <si>
    <t>C27</t>
  </si>
  <si>
    <t>ASTM</t>
  </si>
  <si>
    <t>C1</t>
  </si>
  <si>
    <t>3-ASTM</t>
  </si>
  <si>
    <t>C14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</si>
  <si>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</si>
  <si>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</si>
  <si>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</si>
  <si>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</si>
  <si>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</si>
  <si>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</si>
  <si>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</si>
  <si>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</si>
  <si>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</si>
  <si>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</si>
  <si>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</si>
  <si>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</si>
  <si>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Colonna7</t>
  </si>
  <si>
    <t>5% CO</t>
  </si>
  <si>
    <t>10% CO</t>
  </si>
  <si>
    <t>Rn</t>
  </si>
  <si>
    <t>Formula</t>
  </si>
  <si>
    <t>ID</t>
  </si>
  <si>
    <t>CO2 conv</t>
  </si>
  <si>
    <t>CO conv</t>
  </si>
  <si>
    <t>CO2</t>
  </si>
  <si>
    <t>+</t>
  </si>
  <si>
    <t>H2</t>
  </si>
  <si>
    <t>=</t>
  </si>
  <si>
    <t>H2O</t>
  </si>
  <si>
    <t>C3H6</t>
  </si>
  <si>
    <t>C4H10</t>
  </si>
  <si>
    <t>C4H8</t>
  </si>
  <si>
    <t>C5H12</t>
  </si>
  <si>
    <t>C5H10</t>
  </si>
  <si>
    <t>C6H14</t>
  </si>
  <si>
    <t>C6H12</t>
  </si>
  <si>
    <t>C6H6</t>
  </si>
  <si>
    <t>C7H16</t>
  </si>
  <si>
    <t>C7H14</t>
  </si>
  <si>
    <t>C8H18</t>
  </si>
  <si>
    <t>C8H16</t>
  </si>
  <si>
    <t>C8H10</t>
  </si>
  <si>
    <t>C9H20</t>
  </si>
  <si>
    <t>C9H18</t>
  </si>
  <si>
    <t>C9H10</t>
  </si>
  <si>
    <t>C10H22</t>
  </si>
  <si>
    <t>C10H20</t>
  </si>
  <si>
    <t>C10H14</t>
  </si>
  <si>
    <t>C11H16</t>
  </si>
  <si>
    <t>C11H22</t>
  </si>
  <si>
    <t>C12H24</t>
  </si>
  <si>
    <t>C12H18</t>
  </si>
  <si>
    <t>C13H26</t>
  </si>
  <si>
    <t>xCO</t>
  </si>
  <si>
    <t>m</t>
  </si>
  <si>
    <t>q</t>
  </si>
  <si>
    <t>x</t>
  </si>
  <si>
    <t xml:space="preserve">CO% </t>
  </si>
  <si>
    <t xml:space="preserve">IN </t>
  </si>
  <si>
    <t>CONV CO2</t>
  </si>
  <si>
    <t>CONV CO</t>
  </si>
  <si>
    <t>Prod from CO2</t>
  </si>
  <si>
    <t>Prod from CO</t>
  </si>
  <si>
    <t>H2 CONV</t>
  </si>
  <si>
    <t>H2O PROD</t>
  </si>
  <si>
    <t xml:space="preserve">CO </t>
  </si>
  <si>
    <t>5%</t>
  </si>
  <si>
    <t>10%</t>
  </si>
  <si>
    <t>Valori</t>
  </si>
  <si>
    <t>Somma di 5%</t>
  </si>
  <si>
    <t>Somma di 10%</t>
  </si>
  <si>
    <t>Inerte</t>
  </si>
  <si>
    <t>in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</si>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</sst>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000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rgb="FF000000"/>
      <name val="Arial Unicode MS"/>
      <family val="2"/>
    </font>
    <font>
      <b/>
      <sz val="11"/>
      <color theme="0"/>
      <name val="Arial Unicode MS"/>
      <family val="2"/>
    </font>
    <font>
      <sz val="9"/>
      <color theme="1"/>
      <name val="Arial Unicode MS"/>
      <family val="2"/>
    </font>
    <font>
      <sz val="10"/>
      <color theme="1"/>
      <name val="Arial"/>
      <family val="2"/>
    </font>
    <font>
      <b/>
      <sz val="24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44B3E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/>
    <xf numFmtId="0" fontId="4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0" borderId="2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3" fillId="4" borderId="3" xfId="0" applyFont="1" applyFill="1" applyBorder="1" applyAlignment="1">
      <alignment vertical="top"/>
    </xf>
    <xf numFmtId="10" fontId="0" fillId="0" borderId="0" xfId="1" applyNumberFormat="1" applyFont="1"/>
    <xf numFmtId="164" fontId="0" fillId="0" borderId="0" xfId="1" applyNumberFormat="1" applyFont="1"/>
    <xf numFmtId="0" fontId="0" fillId="3" borderId="2" xfId="0" applyFill="1" applyBorder="1"/>
    <xf numFmtId="0" fontId="0" fillId="0" borderId="2" xfId="0" applyBorder="1"/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0" borderId="2" xfId="0" applyBorder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2" xfId="0" applyFill="1" applyBorder="1" applyAlignment="1">
      <alignment horizontal="center"/>
    </xf>
    <xf numFmtId="0" fontId="0" fillId="7" borderId="0" xfId="0" applyFill="1"/>
    <xf numFmtId="0" fontId="2" fillId="2" borderId="0" xfId="0" applyFont="1" applyFill="1" applyAlignment="1">
      <alignment vertical="top"/>
    </xf>
    <xf numFmtId="0" fontId="3" fillId="4" borderId="1" xfId="0" applyFont="1" applyFill="1" applyBorder="1" applyAlignment="1">
      <alignment vertical="top"/>
    </xf>
    <xf numFmtId="9" fontId="0" fillId="0" borderId="0" xfId="0" applyNumberFormat="1"/>
    <xf numFmtId="2" fontId="0" fillId="0" borderId="0" xfId="1" applyNumberFormat="1" applyFont="1"/>
    <xf numFmtId="10" fontId="0" fillId="0" borderId="0" xfId="0" applyNumberFormat="1"/>
    <xf numFmtId="0" fontId="6" fillId="0" borderId="0" xfId="0" applyFont="1" applyAlignment="1">
      <alignment vertical="center"/>
    </xf>
    <xf numFmtId="0" fontId="0" fillId="7" borderId="0" xfId="0" applyFill="1" applyAlignment="1">
      <alignment horizontal="center"/>
    </xf>
    <xf numFmtId="10" fontId="0" fillId="7" borderId="0" xfId="1" applyNumberFormat="1" applyFont="1" applyFill="1" applyAlignment="1">
      <alignment horizontal="center"/>
    </xf>
    <xf numFmtId="0" fontId="0" fillId="7" borderId="4" xfId="0" applyFill="1" applyBorder="1"/>
    <xf numFmtId="0" fontId="0" fillId="6" borderId="4" xfId="0" applyFill="1" applyBorder="1"/>
    <xf numFmtId="165" fontId="0" fillId="6" borderId="4" xfId="0" applyNumberFormat="1" applyFill="1" applyBorder="1" applyAlignment="1">
      <alignment horizontal="center"/>
    </xf>
    <xf numFmtId="165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/>
    <xf numFmtId="0" fontId="0" fillId="6" borderId="6" xfId="0" applyFill="1" applyBorder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6" borderId="4" xfId="0" applyFill="1" applyBorder="1" applyAlignment="1">
      <alignment horizontal="center"/>
    </xf>
    <xf numFmtId="0" fontId="0" fillId="0" borderId="5" xfId="0" applyBorder="1"/>
    <xf numFmtId="0" fontId="0" fillId="7" borderId="4" xfId="0" applyFill="1" applyBorder="1" applyAlignment="1">
      <alignment horizontal="center"/>
    </xf>
    <xf numFmtId="0" fontId="0" fillId="0" borderId="0" xfId="0" applyNumberFormat="1"/>
  </cellXfs>
  <cellStyles count="2">
    <cellStyle name="Normal" xfId="0" builtinId="0"/>
    <cellStyle name="Per cent" xfId="1" builtinId="5"/>
  </cellStyles>
  <dxfs count="29">
    <dxf>
      <fill>
        <patternFill patternType="solid">
          <fgColor indexed="64"/>
          <bgColor theme="7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border outline="0">
        <bottom style="thin">
          <color rgb="FF44B3E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[DATASET_update.xlsm]5% CO Elab!Tabella pivot6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'5% CO Elab'!$AI$5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'5% CO Elab'!$AH$6:$AH$33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'5% CO Elab'!$AI$6:$AI$33</c:f>
              <c:numCache>
                <c:formatCode>General</c:formatCode>
                <c:ptCount val="27"/>
                <c:pt idx="0">
                  <c:v>11.929197775070785</c:v>
                </c:pt>
                <c:pt idx="1">
                  <c:v>7.4382037070915272</c:v>
                </c:pt>
                <c:pt idx="2">
                  <c:v>9.9256945269861188</c:v>
                </c:pt>
                <c:pt idx="3">
                  <c:v>8.0172347955464964</c:v>
                </c:pt>
                <c:pt idx="4">
                  <c:v>7.7743976992954709</c:v>
                </c:pt>
                <c:pt idx="5">
                  <c:v>5.2237640812452737</c:v>
                </c:pt>
                <c:pt idx="6">
                  <c:v>2.9591586835653576</c:v>
                </c:pt>
                <c:pt idx="7">
                  <c:v>4.1037635590322097</c:v>
                </c:pt>
                <c:pt idx="8">
                  <c:v>4.158780067499233</c:v>
                </c:pt>
                <c:pt idx="9">
                  <c:v>3.5567424719597254</c:v>
                </c:pt>
                <c:pt idx="10">
                  <c:v>2.6618577193916879</c:v>
                </c:pt>
                <c:pt idx="11">
                  <c:v>1.9510925697096135</c:v>
                </c:pt>
                <c:pt idx="12">
                  <c:v>1.2131724308614147</c:v>
                </c:pt>
                <c:pt idx="13">
                  <c:v>1.0157765934305198</c:v>
                </c:pt>
                <c:pt idx="14">
                  <c:v>0.95859804484035349</c:v>
                </c:pt>
                <c:pt idx="15">
                  <c:v>0.94217218657583202</c:v>
                </c:pt>
                <c:pt idx="16">
                  <c:v>0.78278546345364042</c:v>
                </c:pt>
                <c:pt idx="17">
                  <c:v>0.70287139314042935</c:v>
                </c:pt>
                <c:pt idx="18">
                  <c:v>0.33506055658665601</c:v>
                </c:pt>
                <c:pt idx="19">
                  <c:v>0.27711775356791102</c:v>
                </c:pt>
                <c:pt idx="20">
                  <c:v>0.26452149204209696</c:v>
                </c:pt>
                <c:pt idx="21">
                  <c:v>0.24940597821112007</c:v>
                </c:pt>
                <c:pt idx="22">
                  <c:v>0.23177121207498011</c:v>
                </c:pt>
                <c:pt idx="23">
                  <c:v>0.22673270746465446</c:v>
                </c:pt>
                <c:pt idx="24">
                  <c:v>0.20468924979447972</c:v>
                </c:pt>
                <c:pt idx="25">
                  <c:v>0.18012653981914217</c:v>
                </c:pt>
                <c:pt idx="26">
                  <c:v>0.15304457753864179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5-4C0A-8606-B38D40CA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0960463"/>
        <c:axId val="1011795679"/>
      </c:barChart>
      <c:catAx>
        <c:axId val="101096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1795679"/>
        <c:crosses val="autoZero"/>
        <c:auto val="1"/>
        <c:lblAlgn val="ctr"/>
        <c:lblOffset val="100"/>
        <c:noMultiLvlLbl val="0"/>
      </c:catAx>
      <c:valAx>
        <c:axId val="101179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096046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[DATASET_update.xlsm]10% CO Elab!Tabella pivot5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'10% CO Elab'!$AI$7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'10% CO Elab'!$AH$8:$AH$35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'10% CO Elab'!$AI$8:$AI$35</c:f>
              <c:numCache>
                <c:formatCode>General</c:formatCode>
                <c:ptCount val="27"/>
                <c:pt idx="0">
                  <c:v>13.710650421594909</c:v>
                </c:pt>
                <c:pt idx="1">
                  <c:v>9.1694516208756021</c:v>
                </c:pt>
                <c:pt idx="2">
                  <c:v>12.330743203414499</c:v>
                </c:pt>
                <c:pt idx="3">
                  <c:v>9.9901903072726395</c:v>
                </c:pt>
                <c:pt idx="4">
                  <c:v>7.9271087985810933</c:v>
                </c:pt>
                <c:pt idx="5">
                  <c:v>6.0726971951223678</c:v>
                </c:pt>
                <c:pt idx="6">
                  <c:v>3.341206495724848</c:v>
                </c:pt>
                <c:pt idx="7">
                  <c:v>4.4907710683154773</c:v>
                </c:pt>
                <c:pt idx="8">
                  <c:v>4.3654975789860266</c:v>
                </c:pt>
                <c:pt idx="9">
                  <c:v>4.1077249882098705</c:v>
                </c:pt>
                <c:pt idx="10">
                  <c:v>3.2036740574563094</c:v>
                </c:pt>
                <c:pt idx="11">
                  <c:v>2.4880316610945172</c:v>
                </c:pt>
                <c:pt idx="12">
                  <c:v>1.7153251172843882</c:v>
                </c:pt>
                <c:pt idx="13">
                  <c:v>1.5189839600211597</c:v>
                </c:pt>
                <c:pt idx="14">
                  <c:v>1.4364874038899547</c:v>
                </c:pt>
                <c:pt idx="15">
                  <c:v>1.3670921176094604</c:v>
                </c:pt>
                <c:pt idx="16">
                  <c:v>1.1664801918613865</c:v>
                </c:pt>
                <c:pt idx="17">
                  <c:v>1.0721729698562672</c:v>
                </c:pt>
                <c:pt idx="18">
                  <c:v>0.5111075447701916</c:v>
                </c:pt>
                <c:pt idx="19">
                  <c:v>0.42272052574978258</c:v>
                </c:pt>
                <c:pt idx="20">
                  <c:v>0.4035059563975199</c:v>
                </c:pt>
                <c:pt idx="21">
                  <c:v>0.38044847317480435</c:v>
                </c:pt>
                <c:pt idx="22">
                  <c:v>0.35354807608163646</c:v>
                </c:pt>
                <c:pt idx="23">
                  <c:v>0.34586224834073137</c:v>
                </c:pt>
                <c:pt idx="24">
                  <c:v>0.31223675197427125</c:v>
                </c:pt>
                <c:pt idx="25">
                  <c:v>0.27476834173735881</c:v>
                </c:pt>
                <c:pt idx="26">
                  <c:v>0.23345701762999363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07-4CA7-94CD-9AC3D001E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6970031"/>
        <c:axId val="1267151119"/>
      </c:barChart>
      <c:catAx>
        <c:axId val="126697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151119"/>
        <c:crosses val="autoZero"/>
        <c:auto val="1"/>
        <c:lblAlgn val="ctr"/>
        <c:lblOffset val="100"/>
        <c:noMultiLvlLbl val="0"/>
      </c:catAx>
      <c:valAx>
        <c:axId val="126715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700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Interp!$C$4:$C$30</c:f>
              <c:numCache>
                <c:formatCode>General</c:formatCode>
                <c:ptCount val="27"/>
                <c:pt idx="0">
                  <c:v>11.48016244406193</c:v>
                </c:pt>
                <c:pt idx="1">
                  <c:v>7.748422302624558</c:v>
                </c:pt>
                <c:pt idx="2">
                  <c:v>10.523417024091509</c:v>
                </c:pt>
                <c:pt idx="3">
                  <c:v>8.7544194237415063</c:v>
                </c:pt>
                <c:pt idx="4">
                  <c:v>8.1545512951124035</c:v>
                </c:pt>
                <c:pt idx="5">
                  <c:v>5.9653867968408427</c:v>
                </c:pt>
                <c:pt idx="6">
                  <c:v>4.1818169482805789</c:v>
                </c:pt>
                <c:pt idx="7">
                  <c:v>5.5572888564200777</c:v>
                </c:pt>
                <c:pt idx="8">
                  <c:v>5.6774426656605854</c:v>
                </c:pt>
                <c:pt idx="9">
                  <c:v>5.0040531640984742</c:v>
                </c:pt>
                <c:pt idx="10">
                  <c:v>3.7565895334104149</c:v>
                </c:pt>
                <c:pt idx="11">
                  <c:v>2.7501308321211799</c:v>
                </c:pt>
                <c:pt idx="12">
                  <c:v>1.7059387047286321</c:v>
                </c:pt>
                <c:pt idx="13">
                  <c:v>1.426363715500365</c:v>
                </c:pt>
                <c:pt idx="14">
                  <c:v>1.3460003018717059</c:v>
                </c:pt>
                <c:pt idx="15">
                  <c:v>1.3240188731704929</c:v>
                </c:pt>
                <c:pt idx="16">
                  <c:v>1.0992941296813239</c:v>
                </c:pt>
                <c:pt idx="17">
                  <c:v>0.9864688227423144</c:v>
                </c:pt>
                <c:pt idx="18">
                  <c:v>0.38627856231038582</c:v>
                </c:pt>
                <c:pt idx="19">
                  <c:v>0.31821574927171631</c:v>
                </c:pt>
                <c:pt idx="20">
                  <c:v>0.2784387806127499</c:v>
                </c:pt>
                <c:pt idx="21">
                  <c:v>0.27225125215468721</c:v>
                </c:pt>
                <c:pt idx="22">
                  <c:v>0.26429585842289532</c:v>
                </c:pt>
                <c:pt idx="23">
                  <c:v>0.29700136598693438</c:v>
                </c:pt>
                <c:pt idx="24">
                  <c:v>0.41986800251129092</c:v>
                </c:pt>
                <c:pt idx="25">
                  <c:v>0.57455621396281731</c:v>
                </c:pt>
                <c:pt idx="26">
                  <c:v>0.26252799314916292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A4-4DD4-AADC-44EFC31B53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Interp!$D$4:$D$30</c:f>
              <c:numCache>
                <c:formatCode>General</c:formatCode>
                <c:ptCount val="27"/>
                <c:pt idx="0">
                  <c:v>13.67537009250927</c:v>
                </c:pt>
                <c:pt idx="1">
                  <c:v>9.0679026537862697</c:v>
                </c:pt>
                <c:pt idx="2">
                  <c:v>12.151740042685219</c:v>
                </c:pt>
                <c:pt idx="3">
                  <c:v>9.8909643076389226</c:v>
                </c:pt>
                <c:pt idx="4">
                  <c:v>8.1091381769103226</c:v>
                </c:pt>
                <c:pt idx="5">
                  <c:v>6.5805558859871054</c:v>
                </c:pt>
                <c:pt idx="6">
                  <c:v>3.9175019728170488</c:v>
                </c:pt>
                <c:pt idx="7">
                  <c:v>5.2185092451084092</c:v>
                </c:pt>
                <c:pt idx="8">
                  <c:v>5.1379563487981272</c:v>
                </c:pt>
                <c:pt idx="9">
                  <c:v>4.8319071184768339</c:v>
                </c:pt>
                <c:pt idx="10">
                  <c:v>3.7645792885362162</c:v>
                </c:pt>
                <c:pt idx="11">
                  <c:v>2.9197024154560451</c:v>
                </c:pt>
                <c:pt idx="12">
                  <c:v>2.008457397463808</c:v>
                </c:pt>
                <c:pt idx="13">
                  <c:v>1.7765787864755529</c:v>
                </c:pt>
                <c:pt idx="14">
                  <c:v>1.680023964677773</c:v>
                </c:pt>
                <c:pt idx="15">
                  <c:v>1.599876916915457</c:v>
                </c:pt>
                <c:pt idx="16">
                  <c:v>1.364388902139104</c:v>
                </c:pt>
                <c:pt idx="17">
                  <c:v>1.2535174223950181</c:v>
                </c:pt>
                <c:pt idx="18">
                  <c:v>0.49084866808837091</c:v>
                </c:pt>
                <c:pt idx="19">
                  <c:v>0.40436045883710497</c:v>
                </c:pt>
                <c:pt idx="20">
                  <c:v>0.35381540148246471</c:v>
                </c:pt>
                <c:pt idx="21">
                  <c:v>0.3459528370050744</c:v>
                </c:pt>
                <c:pt idx="22">
                  <c:v>0.33584382553414821</c:v>
                </c:pt>
                <c:pt idx="23">
                  <c:v>0.37740309491463048</c:v>
                </c:pt>
                <c:pt idx="24">
                  <c:v>0.53353116096562292</c:v>
                </c:pt>
                <c:pt idx="25">
                  <c:v>0.73009527290032383</c:v>
                </c:pt>
                <c:pt idx="26">
                  <c:v>0.33359737854060778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A4-4DD4-AADC-44EFC31B5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05888"/>
        <c:axId val="670107600"/>
      </c:scatterChart>
      <c:valAx>
        <c:axId val="6701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7600"/>
        <c:crosses val="autoZero"/>
        <c:crossBetween val="midCat"/>
      </c:valAx>
      <c:valAx>
        <c:axId val="6701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5888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127000</xdr:colOff>
      <xdr:row>8</xdr:row>
      <xdr:rowOff>59267</xdr:rowOff>
    </xdr:from>
    <xdr:to>
      <xdr:col>41</xdr:col>
      <xdr:colOff>550334</xdr:colOff>
      <xdr:row>21</xdr:row>
      <xdr:rowOff>160867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143933</xdr:colOff>
      <xdr:row>11</xdr:row>
      <xdr:rowOff>76200</xdr:rowOff>
    </xdr:from>
    <xdr:to>
      <xdr:col>44</xdr:col>
      <xdr:colOff>795866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249639</xdr:colOff>
      <xdr:row>49</xdr:row>
      <xdr:rowOff>68703</xdr:rowOff>
    </xdr:from>
    <xdr:to>
      <xdr:col>5</xdr:col>
      <xdr:colOff>694139</xdr:colOff>
      <xdr:row>62</xdr:row>
      <xdr:rowOff>174587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69.668963773147" createdVersion="8" refreshedVersion="8" minRefreshableVersion="3" recordCount="68" xr:uid="{00000000-000A-0000-FFFF-FFFF08000000}">
  <cacheSource type="worksheet">
    <worksheetSource name="Tabella14"/>
  </cacheSource>
  <cacheFields count="4"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Name" numFmtId="0">
      <sharedItems/>
    </cacheField>
    <cacheField name="5%" numFmtId="0">
      <sharedItems containsSemiMixedTypes="0" containsString="0" containsNumber="1" minValue="3.7961470066785009E-4" maxValue="10.675347629281321"/>
    </cacheField>
    <cacheField name="10%" numFmtId="0">
      <sharedItems containsSemiMixedTypes="0" containsString="0" containsNumber="1" minValue="9.8472887271422297E-5" maxValue="12.764487853091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69.668963888886" createdVersion="8" refreshedVersion="8" minRefreshableVersion="3" recordCount="124" xr:uid="{00000000-000A-0000-FFFF-FFFF0D000000}">
  <cacheSource type="worksheet">
    <worksheetSource name="Tabella10"/>
  </cacheSource>
  <cacheFields count="6">
    <cacheField name="Cn" numFmtId="0">
      <sharedItems containsSemiMixedTypes="0" containsString="0" containsNumber="1" containsInteger="1" minValue="1" maxValue="39" count="39">
        <n v="8"/>
        <n v="7"/>
        <n v="9"/>
        <n v="10"/>
        <n v="1"/>
        <n v="2"/>
        <n v="3"/>
        <n v="4"/>
        <n v="5"/>
        <n v="6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</sharedItems>
    </cacheField>
    <cacheField name="Class" numFmtId="0">
      <sharedItems count="6">
        <s v="Olefin"/>
        <s v="Aromatic"/>
        <s v="paraffin"/>
        <s v="oxygenated"/>
        <s v="iso-paraffin"/>
        <s v="Naphthene"/>
      </sharedItems>
    </cacheField>
    <cacheField name="Name" numFmtId="0">
      <sharedItems/>
    </cacheField>
    <cacheField name="mol" numFmtId="0">
      <sharedItems containsSemiMixedTypes="0" containsString="0" containsNumber="1" minValue="0" maxValue="12.78041501570276"/>
    </cacheField>
    <cacheField name="Colonna1" numFmtId="0">
      <sharedItems/>
    </cacheField>
    <cacheField name="Colonna2" numFmtId="0">
      <sharedItems containsString="0" containsBlank="1" containsNumber="1" containsInteger="1" minValue="1" maxValue="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69.668963888886" createdVersion="8" refreshedVersion="8" minRefreshableVersion="3" recordCount="68" xr:uid="{00000000-000A-0000-FFFF-FFFF11000000}">
  <cacheSource type="worksheet">
    <worksheetSource name="Tabella9"/>
  </cacheSource>
  <cacheFields count="11">
    <cacheField name="Colonna1" numFmtId="0">
      <sharedItems containsSemiMixedTypes="0" containsString="0" containsNumber="1" containsInteger="1" minValue="1" maxValue="68"/>
    </cacheField>
    <cacheField name="Colonna2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3" numFmtId="0">
      <sharedItems containsBlank="1"/>
    </cacheField>
    <cacheField name="Colonna4" numFmtId="0">
      <sharedItems containsBlank="1"/>
    </cacheField>
    <cacheField name="Colonna5" numFmtId="0">
      <sharedItems/>
    </cacheField>
    <cacheField name="mmol" numFmtId="0">
      <sharedItems containsSemiMixedTypes="0" containsString="0" containsNumber="1" minValue="1.5354985472503201E-5" maxValue="12.78041501570276"/>
    </cacheField>
    <cacheField name="mmolC" numFmtId="0">
      <sharedItems containsSemiMixedTypes="0" containsString="0" containsNumber="1" minValue="1.0748489830752241E-4" maxValue="12.78041501570276"/>
    </cacheField>
    <cacheField name="Colonna6" numFmtId="0">
      <sharedItems containsSemiMixedTypes="0" containsString="0" containsNumber="1" minValue="8.7654362744874379E-5" maxValue="10.42247935715865"/>
    </cacheField>
    <cacheField name="Colonna7" numFmtId="0">
      <sharedItems containsSemiMixedTypes="0" containsString="0" containsNumber="1" minValue="1.9830535562648034E-5" maxValue="2.3579356585441098"/>
    </cacheField>
    <cacheField name="con CO" numFmtId="0">
      <sharedItems containsSemiMixedTypes="0" containsString="0" containsNumber="1" minValue="1.0375528751247638E-6" maxValue="0.12336948309604594"/>
    </cacheField>
    <cacheField name="conv CO2" numFmtId="0">
      <sharedItems containsSemiMixedTypes="0" containsString="0" containsNumber="1" minValue="1.5940395171939096E-7" maxValue="1.895381295601303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69.668963888886" createdVersion="8" refreshedVersion="8" minRefreshableVersion="3" recordCount="124" xr:uid="{00000000-000A-0000-FFFF-FFFF1A000000}">
  <cacheSource type="worksheet">
    <worksheetSource name="Tabella4"/>
  </cacheSource>
  <cacheFields count="5">
    <cacheField name="Cn" numFmtId="0">
      <sharedItems containsSemiMixedTypes="0" containsString="0" containsNumber="1" containsInteger="1" minValue="1" maxValue="1402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1402" u="1"/>
      </sharedItems>
    </cacheField>
    <cacheField name="Class" numFmtId="0">
      <sharedItems containsBlank="1" count="7">
        <s v="oxygenated"/>
        <s v="paraffin"/>
        <s v="Olefin"/>
        <s v="iso-paraffin"/>
        <s v="Aromatic"/>
        <s v="Naphthene"/>
        <m u="1"/>
      </sharedItems>
    </cacheField>
    <cacheField name="Name" numFmtId="0">
      <sharedItems/>
    </cacheField>
    <cacheField name="mol" numFmtId="0">
      <sharedItems containsSemiMixedTypes="0" containsString="0" containsNumber="1" minValue="0" maxValue="11.284207492384301"/>
    </cacheField>
    <cacheField name="Colonna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69.668964004632" createdVersion="8" refreshedVersion="8" minRefreshableVersion="3" recordCount="68" xr:uid="{00000000-000A-0000-FFFF-FFFF15000000}">
  <cacheSource type="worksheet">
    <worksheetSource name="Tabella11"/>
  </cacheSource>
  <cacheFields count="11">
    <cacheField name="Colonna1" numFmtId="0">
      <sharedItems containsSemiMixedTypes="0" containsString="0" containsNumber="1" containsInteger="1" minValue="1" maxValue="68"/>
    </cacheField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2" numFmtId="0">
      <sharedItems containsBlank="1"/>
    </cacheField>
    <cacheField name="Colonna3" numFmtId="0">
      <sharedItems containsBlank="1"/>
    </cacheField>
    <cacheField name="Colonna4" numFmtId="0">
      <sharedItems/>
    </cacheField>
    <cacheField name="mmol" numFmtId="0">
      <sharedItems containsSemiMixedTypes="0" containsString="0" containsNumber="1" minValue="3.6542649360789502E-5" maxValue="11.284207492384301"/>
    </cacheField>
    <cacheField name="mmolC" numFmtId="0">
      <sharedItems containsSemiMixedTypes="0" containsString="0" containsNumber="1" minValue="2.5579854552552651E-4" maxValue="11.284207492384301"/>
    </cacheField>
    <cacheField name="Colonna5" numFmtId="0">
      <sharedItems containsSemiMixedTypes="0" containsString="0" containsNumber="1" minValue="1.2984628625970534E-4" maxValue="5.7279936180240245"/>
    </cacheField>
    <cacheField name="Colonna6" numFmtId="0">
      <sharedItems containsSemiMixedTypes="0" containsString="0" containsNumber="1" minValue="1.2595225926582116E-4" maxValue="5.5562138743602763"/>
    </cacheField>
    <cacheField name="con CO" numFmtId="0">
      <sharedItems containsSemiMixedTypes="0" containsString="0" containsNumber="1" minValue="2.4623292329901479E-6" maxValue="0.10862232982029044"/>
    </cacheField>
    <cacheField name="conv CO2" numFmtId="0">
      <sharedItems containsSemiMixedTypes="0" containsString="0" containsNumber="1" minValue="7.644050458784471E-7" maxValue="3.372069660598272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s v="CH4"/>
    <n v="10.675347629281321"/>
    <n v="12.764487853091261"/>
  </r>
  <r>
    <x v="0"/>
    <s v="MEOH"/>
    <n v="0.80481481478060724"/>
    <n v="0.91088223941800006"/>
  </r>
  <r>
    <x v="1"/>
    <s v="C2"/>
    <n v="1.4764743214745779"/>
    <n v="1.709041167604332"/>
  </r>
  <r>
    <x v="1"/>
    <s v="C2-O"/>
    <n v="6.2719479811499799"/>
    <n v="7.3588614861819384"/>
  </r>
  <r>
    <x v="2"/>
    <s v="C3"/>
    <n v="1.0343523334498901"/>
    <n v="1.1719059853281171"/>
  </r>
  <r>
    <x v="2"/>
    <s v="C3-O"/>
    <n v="9.4890646906416247"/>
    <n v="10.979834057357101"/>
  </r>
  <r>
    <x v="3"/>
    <s v="C4"/>
    <n v="1.010192040490421"/>
    <n v="1.0797178215552949"/>
  </r>
  <r>
    <x v="3"/>
    <s v="C4-IP"/>
    <n v="3.9445339274151857E-2"/>
    <n v="3.6265007967883497E-2"/>
  </r>
  <r>
    <x v="3"/>
    <s v="C4-O"/>
    <n v="7.7047820439769339"/>
    <n v="8.7749814781157447"/>
  </r>
  <r>
    <x v="4"/>
    <s v="C5"/>
    <n v="0.1681688423581717"/>
    <n v="0.154610012749091"/>
  </r>
  <r>
    <x v="4"/>
    <s v="C5-IP"/>
    <n v="0.14227984896835599"/>
    <n v="0.45053268523601969"/>
  </r>
  <r>
    <x v="4"/>
    <s v="C5-O"/>
    <n v="7.7845917998890393"/>
    <n v="7.4492828102752009"/>
  </r>
  <r>
    <x v="4"/>
    <s v="C5-N"/>
    <n v="5.9510803896835808E-2"/>
    <n v="5.4712668650010163E-2"/>
  </r>
  <r>
    <x v="5"/>
    <s v="C6-IP"/>
    <n v="3.0084066962282048"/>
    <n v="2.4578082615235211"/>
  </r>
  <r>
    <x v="5"/>
    <s v="C6"/>
    <n v="3.6329073642742023E-2"/>
    <n v="3.2533571458387173E-2"/>
  </r>
  <r>
    <x v="5"/>
    <s v="C6-O"/>
    <n v="2.6709448098954698"/>
    <n v="3.860640721441329"/>
  </r>
  <r>
    <x v="5"/>
    <s v="C6-A"/>
    <n v="1.913274338277374E-2"/>
    <n v="1.7590141294042121E-2"/>
  </r>
  <r>
    <x v="5"/>
    <s v="C6-N"/>
    <n v="0.23057347369165199"/>
    <n v="0.21198319026982509"/>
  </r>
  <r>
    <x v="6"/>
    <s v="C7"/>
    <n v="3.7961470066785009E-4"/>
    <n v="9.8472887271422297E-5"/>
  </r>
  <r>
    <x v="6"/>
    <s v="C7-IP"/>
    <n v="2.283176043794731"/>
    <n v="2.1027785797189829"/>
  </r>
  <r>
    <x v="6"/>
    <s v="C7-O"/>
    <n v="1.595664995221999"/>
    <n v="1.5364258418072101"/>
  </r>
  <r>
    <x v="6"/>
    <s v="C7-A"/>
    <n v="5.9682201389639852E-2"/>
    <n v="5.4870246999102631E-2"/>
  </r>
  <r>
    <x v="6"/>
    <s v="C7-N"/>
    <n v="0.2429140931735411"/>
    <n v="0.22332883140448229"/>
  </r>
  <r>
    <x v="7"/>
    <s v="C8"/>
    <n v="0.18868965424741099"/>
    <n v="0.2360393988070324"/>
  </r>
  <r>
    <x v="7"/>
    <s v="C8-IP"/>
    <n v="1.089450296120775"/>
    <n v="1.0016119621849151"/>
  </r>
  <r>
    <x v="7"/>
    <s v="C8-O"/>
    <n v="2.99086233350083"/>
    <n v="2.749720203986822"/>
  </r>
  <r>
    <x v="7"/>
    <s v="C8-N"/>
    <n v="0.48903292086369682"/>
    <n v="0.44960401147571649"/>
  </r>
  <r>
    <x v="7"/>
    <s v="C8-A"/>
    <n v="0.80053810598416164"/>
    <n v="0.78316583968881615"/>
  </r>
  <r>
    <x v="8"/>
    <s v="C9"/>
    <n v="0.5055889643879321"/>
    <n v="0.55210071469928279"/>
  </r>
  <r>
    <x v="8"/>
    <s v="C9-IP"/>
    <n v="3.2224801361021229"/>
    <n v="2.962663522802278"/>
  </r>
  <r>
    <x v="8"/>
    <s v="C9-O"/>
    <n v="0.59385643867206861"/>
    <n v="0.54597599809044994"/>
  </r>
  <r>
    <x v="8"/>
    <s v="C9-N"/>
    <n v="0.3347751773400835"/>
    <n v="0.30778349729250198"/>
  </r>
  <r>
    <x v="8"/>
    <s v="C9-A"/>
    <n v="1.02253376290241"/>
    <n v="0.77170949450729076"/>
  </r>
  <r>
    <x v="9"/>
    <s v="C10"/>
    <n v="0.74575363465812128"/>
    <n v="0.91872102183663884"/>
  </r>
  <r>
    <x v="9"/>
    <s v="C10-IP"/>
    <n v="1.217161358200789"/>
    <n v="1.1190261553226459"/>
  </r>
  <r>
    <x v="9"/>
    <s v="C10-O"/>
    <n v="1.32793197041064"/>
    <n v="1.2208657441896109"/>
  </r>
  <r>
    <x v="9"/>
    <s v="C10-N"/>
    <n v="0.77256423384358452"/>
    <n v="0.71027524700234224"/>
  </r>
  <r>
    <x v="9"/>
    <s v="C10-A"/>
    <n v="0.9457155614576872"/>
    <n v="0.86946602571342368"/>
  </r>
  <r>
    <x v="10"/>
    <s v="C11"/>
    <n v="0.92728656860550784"/>
    <n v="1.1656511649587911"/>
  </r>
  <r>
    <x v="10"/>
    <s v="C11-IP"/>
    <n v="1.386888721947017"/>
    <n v="1.275069031664648"/>
  </r>
  <r>
    <x v="10"/>
    <s v="C11-A"/>
    <n v="0.55592178892751454"/>
    <n v="0.51109987836224158"/>
  </r>
  <r>
    <x v="10"/>
    <s v="C11-O"/>
    <n v="0.89292114768584585"/>
    <n v="0.82092822958017608"/>
  </r>
  <r>
    <x v="11"/>
    <s v="C12-IP"/>
    <n v="1.0664591161558079"/>
    <n v="0.98047447572990742"/>
  </r>
  <r>
    <x v="11"/>
    <s v="C12"/>
    <n v="1.1218471845208211"/>
    <n v="1.4255442834496861"/>
  </r>
  <r>
    <x v="11"/>
    <s v="C12-O"/>
    <n v="0.10475177002068629"/>
    <n v="9.6306023584880607E-2"/>
  </r>
  <r>
    <x v="11"/>
    <s v="C12-A"/>
    <n v="0.36921411542907628"/>
    <n v="0.33944575162177781"/>
  </r>
  <r>
    <x v="11"/>
    <s v="C12-N"/>
    <n v="9.5950708064610313E-2"/>
    <n v="8.8214558589621225E-2"/>
  </r>
  <r>
    <x v="12"/>
    <s v="C13-IP"/>
    <n v="0.41734093701316177"/>
    <n v="0.38369228620183288"/>
  </r>
  <r>
    <x v="12"/>
    <s v="C13-O"/>
    <n v="3.6065221276528503E-2"/>
    <n v="3.3157416339269392E-2"/>
  </r>
  <r>
    <x v="12"/>
    <s v="C13"/>
    <n v="1.261632905131749"/>
    <n v="1.603171626704925"/>
  </r>
  <r>
    <x v="13"/>
    <s v="C14-IP"/>
    <n v="0.10223262547528771"/>
    <n v="9.3989988314498354E-2"/>
  </r>
  <r>
    <x v="13"/>
    <s v=" C14 "/>
    <n v="1.333751652708087"/>
    <n v="1.6948137592124051"/>
  </r>
  <r>
    <x v="14"/>
    <s v="C15-IP "/>
    <n v="8.6396294337837673E-2"/>
    <n v="7.9430481780908946E-2"/>
  </r>
  <r>
    <x v="14"/>
    <s v="C15"/>
    <n v="1.268755744398548"/>
    <n v="1.612222701520478"/>
  </r>
  <r>
    <x v="15"/>
    <s v="C16-IP"/>
    <n v="0.23501386455173739"/>
    <n v="0.21606556889515061"/>
  </r>
  <r>
    <x v="15"/>
    <s v="C16"/>
    <n v="1.096917247087025"/>
    <n v="1.3938655215952489"/>
  </r>
  <r>
    <x v="16"/>
    <s v="C17-IP"/>
    <n v="9.24948562910968E-2"/>
    <n v="8.5037339318384864E-2"/>
  </r>
  <r>
    <x v="16"/>
    <s v="C17"/>
    <n v="1.0141142406104859"/>
    <n v="1.2886467768644361"/>
  </r>
  <r>
    <x v="17"/>
    <s v="C18"/>
    <n v="0.99363607771844198"/>
    <n v="1.262624936769722"/>
  </r>
  <r>
    <x v="18"/>
    <s v="C19"/>
    <n v="0.47366881124212451"/>
    <n v="0.60189647523431189"/>
  </r>
  <r>
    <x v="19"/>
    <s v="C20"/>
    <n v="0.39175615967393751"/>
    <n v="0.49780911485544588"/>
  </r>
  <r>
    <x v="20"/>
    <s v="C21"/>
    <n v="0.37394906150694041"/>
    <n v="0.47518142781656197"/>
  </r>
  <r>
    <x v="21"/>
    <s v="C22"/>
    <n v="0.35258054370654379"/>
    <n v="0.44802820336990129"/>
  </r>
  <r>
    <x v="22"/>
    <s v="C23"/>
    <n v="0.32765060627274778"/>
    <n v="0.41634944151546388"/>
  </r>
  <r>
    <x v="23"/>
    <s v="C24"/>
    <n v="0.32052776700594893"/>
    <n v="0.40729836669991032"/>
  </r>
  <r>
    <x v="24"/>
    <s v="C25"/>
    <n v="0.28936534521370377"/>
    <n v="0.36769991438186339"/>
  </r>
  <r>
    <x v="25"/>
    <s v="C26"/>
    <n v="0.25464150378805939"/>
    <n v="0.32357592465603979"/>
  </r>
  <r>
    <x v="26"/>
    <s v="C27"/>
    <n v="0.21635624272901549"/>
    <n v="0.274926397522439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Ottene"/>
    <n v="0"/>
    <s v="1-GAS"/>
    <n v="1"/>
  </r>
  <r>
    <x v="1"/>
    <x v="1"/>
    <s v="Toluene"/>
    <n v="0"/>
    <s v="1-GAS"/>
    <n v="2"/>
  </r>
  <r>
    <x v="2"/>
    <x v="1"/>
    <s v="Nonene"/>
    <n v="3.10974113820444E-4"/>
    <s v="1-GAS"/>
    <n v="3"/>
  </r>
  <r>
    <x v="0"/>
    <x v="1"/>
    <s v="p-Xilene"/>
    <n v="0"/>
    <s v="1-GAS"/>
    <n v="4"/>
  </r>
  <r>
    <x v="0"/>
    <x v="1"/>
    <s v="m-Xilene"/>
    <n v="3.5396185810477501E-2"/>
    <s v="1-GAS"/>
    <n v="5"/>
  </r>
  <r>
    <x v="0"/>
    <x v="1"/>
    <s v="Etilbenzene"/>
    <n v="0"/>
    <s v="1-GAS"/>
    <n v="6"/>
  </r>
  <r>
    <x v="0"/>
    <x v="1"/>
    <s v="o-Xilene"/>
    <n v="0"/>
    <s v="1-GAS"/>
    <n v="7"/>
  </r>
  <r>
    <x v="2"/>
    <x v="1"/>
    <s v="Trimetilbenzene"/>
    <n v="0"/>
    <s v="1-GAS"/>
    <n v="8"/>
  </r>
  <r>
    <x v="3"/>
    <x v="0"/>
    <s v="Decene"/>
    <n v="0"/>
    <s v="1-GAS"/>
    <n v="9"/>
  </r>
  <r>
    <x v="3"/>
    <x v="2"/>
    <s v="Decano"/>
    <n v="2.0346410411596631E-3"/>
    <s v="1-GAS"/>
    <n v="10"/>
  </r>
  <r>
    <x v="4"/>
    <x v="2"/>
    <s v="*CH4"/>
    <n v="12.78041501570276"/>
    <s v="1-GAS"/>
    <n v="11"/>
  </r>
  <r>
    <x v="5"/>
    <x v="0"/>
    <s v="*Etilene"/>
    <n v="3.7332760249047356"/>
    <s v="1-GAS"/>
    <n v="12"/>
  </r>
  <r>
    <x v="5"/>
    <x v="0"/>
    <s v="*Acetilene"/>
    <n v="0"/>
    <s v="1-GAS"/>
    <n v="13"/>
  </r>
  <r>
    <x v="5"/>
    <x v="2"/>
    <s v="*Etano"/>
    <n v="0.85144978553306505"/>
    <s v="1-GAS"/>
    <n v="14"/>
  </r>
  <r>
    <x v="6"/>
    <x v="0"/>
    <s v="*Propilene"/>
    <n v="3.7200862991198229"/>
    <s v="1-GAS"/>
    <n v="15"/>
  </r>
  <r>
    <x v="6"/>
    <x v="2"/>
    <s v="*Propano"/>
    <n v="0.36821667279847131"/>
    <s v="1-GAS"/>
    <n v="16"/>
  </r>
  <r>
    <x v="5"/>
    <x v="3"/>
    <s v="*DME"/>
    <n v="1.3783850759797726E-3"/>
    <s v="1-GAS"/>
    <n v="17"/>
  </r>
  <r>
    <x v="4"/>
    <x v="3"/>
    <s v="Metanolo"/>
    <n v="0.93023540589214981"/>
    <s v="1-GAS"/>
    <n v="18"/>
  </r>
  <r>
    <x v="7"/>
    <x v="0"/>
    <s v="2-Metilpropene"/>
    <n v="2.7294049315717401E-2"/>
    <s v="1-GAS"/>
    <n v="19"/>
  </r>
  <r>
    <x v="7"/>
    <x v="0"/>
    <s v="*1-Butene"/>
    <n v="2.0079882866377279"/>
    <s v="1-GAS"/>
    <n v="20"/>
  </r>
  <r>
    <x v="7"/>
    <x v="2"/>
    <s v="*N-Butano"/>
    <n v="0.26740996050100824"/>
    <s v="1-GAS"/>
    <n v="21"/>
  </r>
  <r>
    <x v="7"/>
    <x v="0"/>
    <s v="2-Butene"/>
    <n v="3.5992252413664078E-2"/>
    <s v="1-GAS"/>
    <n v="22"/>
  </r>
  <r>
    <x v="8"/>
    <x v="0"/>
    <s v="3-Metilbut-1-ene"/>
    <n v="1.7945319805876735E-2"/>
    <s v="1-GAS"/>
    <n v="23"/>
  </r>
  <r>
    <x v="8"/>
    <x v="4"/>
    <s v="2-Metilbutano"/>
    <n v="6.5627972849214941E-2"/>
    <s v="1-GAS"/>
    <n v="24"/>
  </r>
  <r>
    <x v="8"/>
    <x v="0"/>
    <s v="2-Metilbut-1-ene"/>
    <n v="0.14721053970045297"/>
    <s v="1-GAS"/>
    <n v="25"/>
  </r>
  <r>
    <x v="8"/>
    <x v="0"/>
    <s v="*1-Pentene"/>
    <n v="0.98314259057901432"/>
    <s v="1-GAS"/>
    <n v="26"/>
  </r>
  <r>
    <x v="8"/>
    <x v="0"/>
    <s v="2-Pentene"/>
    <n v="1.5278814627944184E-2"/>
    <s v="1-GAS"/>
    <n v="27"/>
  </r>
  <r>
    <x v="8"/>
    <x v="2"/>
    <s v="*Pentano"/>
    <n v="0"/>
    <s v="1-GAS"/>
    <n v="28"/>
  </r>
  <r>
    <x v="9"/>
    <x v="0"/>
    <s v="2-Metilbut-2-ene"/>
    <n v="1.0687713660490971E-3"/>
    <s v="1-GAS"/>
    <n v="29"/>
  </r>
  <r>
    <x v="9"/>
    <x v="4"/>
    <s v="2,2-Dimetilbutano"/>
    <n v="4.5584925831352485E-2"/>
    <s v="1-GAS"/>
    <n v="30"/>
  </r>
  <r>
    <x v="9"/>
    <x v="0"/>
    <s v="3-Metilpent-1-ene"/>
    <n v="9.4779324762036765E-2"/>
    <s v="1-GAS"/>
    <n v="31"/>
  </r>
  <r>
    <x v="9"/>
    <x v="0"/>
    <s v="4-Metilpent-2-ene"/>
    <n v="0.37655864831263619"/>
    <s v="1-GAS"/>
    <n v="32"/>
  </r>
  <r>
    <x v="9"/>
    <x v="0"/>
    <s v="1-Esene"/>
    <n v="3.3946382002541582E-2"/>
    <s v="1-GAS"/>
    <n v="33"/>
  </r>
  <r>
    <x v="9"/>
    <x v="2"/>
    <s v="Esano"/>
    <n v="1.519724831577126E-3"/>
    <s v="1-GAS"/>
    <n v="34"/>
  </r>
  <r>
    <x v="9"/>
    <x v="0"/>
    <s v="2,3-Dimetilbut-2-ene"/>
    <n v="3.086769638050033E-3"/>
    <s v="1-GAS"/>
    <n v="35"/>
  </r>
  <r>
    <x v="1"/>
    <x v="4"/>
    <s v="2,2-Dimetilpentano"/>
    <n v="5.5340367193050153E-4"/>
    <s v="1-GAS"/>
    <n v="36"/>
  </r>
  <r>
    <x v="1"/>
    <x v="0"/>
    <s v="2-Metiles-1-ene"/>
    <n v="5.0169138078610903E-5"/>
    <s v="1-GAS"/>
    <n v="37"/>
  </r>
  <r>
    <x v="1"/>
    <x v="0"/>
    <s v="1-eptene"/>
    <n v="5.3147826216079475E-4"/>
    <s v="1-GAS"/>
    <n v="38"/>
  </r>
  <r>
    <x v="1"/>
    <x v="2"/>
    <s v="Eptano"/>
    <n v="1.5354985472503201E-5"/>
    <s v="1-GAS"/>
    <n v="39"/>
  </r>
  <r>
    <x v="1"/>
    <x v="0"/>
    <s v="2-Eptene"/>
    <n v="1.0071992072931525E-2"/>
    <s v="1-GAS"/>
    <n v="40"/>
  </r>
  <r>
    <x v="6"/>
    <x v="2"/>
    <s v="Propane"/>
    <n v="2.1944762553205637E-2"/>
    <s v="2-DHA"/>
    <n v="1"/>
  </r>
  <r>
    <x v="7"/>
    <x v="0"/>
    <s v="Butene-1"/>
    <n v="0.137979406070496"/>
    <s v="2-DHA"/>
    <n v="2"/>
  </r>
  <r>
    <x v="7"/>
    <x v="2"/>
    <s v="n-Butane"/>
    <n v="1.3184906258924033E-2"/>
    <s v="2-DHA"/>
    <n v="3"/>
  </r>
  <r>
    <x v="7"/>
    <x v="4"/>
    <s v="i-Butane"/>
    <n v="7.6987156206226228E-3"/>
    <s v="2-DHA"/>
    <n v="4"/>
  </r>
  <r>
    <x v="8"/>
    <x v="0"/>
    <s v="1,4-Pentadiene"/>
    <n v="0.29845126020318291"/>
    <s v="2-DHA"/>
    <n v="5"/>
  </r>
  <r>
    <x v="8"/>
    <x v="2"/>
    <s v="n-Pentane"/>
    <n v="2.625778593646471E-2"/>
    <s v="2-DHA"/>
    <n v="6"/>
  </r>
  <r>
    <x v="8"/>
    <x v="4"/>
    <s v="(C5-IsoParaffin)"/>
    <n v="2.2215493458215406E-2"/>
    <s v="2-DHA"/>
    <n v="7"/>
  </r>
  <r>
    <x v="8"/>
    <x v="5"/>
    <s v="Cyclopentane"/>
    <n v="9.2919825558525244E-3"/>
    <s v="2-DHA"/>
    <n v="8"/>
  </r>
  <r>
    <x v="9"/>
    <x v="4"/>
    <s v="3-Methylpentane"/>
    <n v="0.29857884603198059"/>
    <s v="2-DHA"/>
    <n v="9"/>
  </r>
  <r>
    <x v="9"/>
    <x v="0"/>
    <s v="1t,4-Hexadiene"/>
    <n v="0.12111007002385282"/>
    <s v="2-DHA"/>
    <n v="10"/>
  </r>
  <r>
    <x v="9"/>
    <x v="5"/>
    <s v="Cyclohexane"/>
    <n v="3.0001340864358409E-2"/>
    <s v="2-DHA"/>
    <n v="11"/>
  </r>
  <r>
    <x v="9"/>
    <x v="2"/>
    <s v="n-Hexane"/>
    <n v="3.3919159363292877E-3"/>
    <s v="2-DHA"/>
    <n v="12"/>
  </r>
  <r>
    <x v="9"/>
    <x v="1"/>
    <s v="Benzene"/>
    <n v="2.4894795862967249E-3"/>
    <s v="2-DHA"/>
    <n v="13"/>
  </r>
  <r>
    <x v="1"/>
    <x v="4"/>
    <s v="3-Ethylpentane"/>
    <n v="0.25462397208642901"/>
    <s v="2-DHA"/>
    <n v="14"/>
  </r>
  <r>
    <x v="1"/>
    <x v="0"/>
    <s v="2,4-Dimethylpentene-1"/>
    <n v="0.17772083581624029"/>
    <s v="2-DHA"/>
    <n v="15"/>
  </r>
  <r>
    <x v="1"/>
    <x v="5"/>
    <s v="1c,3-Dimethylcyclopentane"/>
    <n v="2.709176159787411E-2"/>
    <s v="2-DHA"/>
    <n v="16"/>
  </r>
  <r>
    <x v="1"/>
    <x v="1"/>
    <s v="Toluene"/>
    <n v="6.65624604386087E-3"/>
    <s v="2-DHA"/>
    <n v="17"/>
  </r>
  <r>
    <x v="0"/>
    <x v="0"/>
    <s v="Octene-1"/>
    <n v="0.29186969854691103"/>
    <s v="2-DHA"/>
    <n v="18"/>
  </r>
  <r>
    <x v="0"/>
    <x v="1"/>
    <s v="Ethylbenzene"/>
    <n v="5.4986380362328911E-2"/>
    <s v="2-DHA"/>
    <n v="19"/>
  </r>
  <r>
    <x v="0"/>
    <x v="4"/>
    <s v="2-Methyl-3-ethylpentane"/>
    <n v="0.10631633758228454"/>
    <s v="2-DHA"/>
    <n v="20"/>
  </r>
  <r>
    <x v="0"/>
    <x v="5"/>
    <s v="1c,2t,3-Trimethylcyclopentane"/>
    <n v="4.7723323669308218E-2"/>
    <s v="2-DHA"/>
    <n v="21"/>
  </r>
  <r>
    <x v="0"/>
    <x v="2"/>
    <s v="n-Octane"/>
    <n v="1.036245877796012E-3"/>
    <s v="2-DHA"/>
    <n v="22"/>
  </r>
  <r>
    <x v="2"/>
    <x v="4"/>
    <s v="I8 (C9)"/>
    <n v="0.27953121534732772"/>
    <s v="2-DHA"/>
    <n v="23"/>
  </r>
  <r>
    <x v="2"/>
    <x v="0"/>
    <s v="3,5,5-Trimethylhexene-1"/>
    <n v="5.1513556339444988E-2"/>
    <s v="2-DHA"/>
    <n v="24"/>
  </r>
  <r>
    <x v="2"/>
    <x v="1"/>
    <s v="1,3-Methylethylbenzene"/>
    <n v="7.2568329940549542E-2"/>
    <s v="2-DHA"/>
    <n v="25"/>
  </r>
  <r>
    <x v="2"/>
    <x v="2"/>
    <s v="n-Nonane"/>
    <n v="2.2308848942701527E-2"/>
    <s v="2-DHA"/>
    <n v="26"/>
  </r>
  <r>
    <x v="2"/>
    <x v="5"/>
    <s v="1,1,3-Trimethylcyclohexane"/>
    <n v="2.9039779374151295E-2"/>
    <s v="2-DHA"/>
    <n v="27"/>
  </r>
  <r>
    <x v="3"/>
    <x v="0"/>
    <s v="Decene-1"/>
    <n v="0.10367126552184425"/>
    <s v="2-DHA"/>
    <n v="28"/>
  </r>
  <r>
    <x v="3"/>
    <x v="4"/>
    <s v="I15 (C10)"/>
    <n v="9.5023435808945997E-2"/>
    <s v="2-DHA"/>
    <n v="29"/>
  </r>
  <r>
    <x v="3"/>
    <x v="1"/>
    <s v="1,2-Methyl-n-propylbenzene"/>
    <n v="7.3831740830595113E-2"/>
    <s v="2-DHA"/>
    <n v="30"/>
  </r>
  <r>
    <x v="3"/>
    <x v="5"/>
    <s v="Sec-butylcyclohexane"/>
    <n v="6.0313866677003905E-2"/>
    <s v="2-DHA"/>
    <n v="31"/>
  </r>
  <r>
    <x v="10"/>
    <x v="0"/>
    <s v="Undecene-1"/>
    <n v="6.3372814718666015E-2"/>
    <s v="2-DHA"/>
    <n v="32"/>
  </r>
  <r>
    <x v="10"/>
    <x v="4"/>
    <s v="I26 (C11)"/>
    <n v="9.8430910992689663E-2"/>
    <s v="2-DHA"/>
    <n v="33"/>
  </r>
  <r>
    <x v="10"/>
    <x v="1"/>
    <s v="1,2-Ethyl-i-propylbenzene"/>
    <n v="3.945513959332022E-2"/>
    <s v="2-DHA"/>
    <n v="34"/>
  </r>
  <r>
    <x v="10"/>
    <x v="2"/>
    <s v="n-Undecane"/>
    <n v="2.5579402749198845E-3"/>
    <s v="2-DHA"/>
    <n v="35"/>
  </r>
  <r>
    <x v="11"/>
    <x v="4"/>
    <s v="I47 (C12)"/>
    <n v="6.9381796070089721E-2"/>
    <s v="2-DHA"/>
    <n v="36"/>
  </r>
  <r>
    <x v="11"/>
    <x v="0"/>
    <s v="Dodecene-1"/>
    <n v="6.8149503674872864E-3"/>
    <s v="2-DHA"/>
    <n v="37"/>
  </r>
  <r>
    <x v="11"/>
    <x v="5"/>
    <s v="1t-M-2-(4-MP)cyclopentane"/>
    <n v="6.2423700626390377E-3"/>
    <s v="2-DHA"/>
    <n v="38"/>
  </r>
  <r>
    <x v="11"/>
    <x v="1"/>
    <s v="1,3-Di-i-propylbenzene"/>
    <n v="2.4020366158280529E-2"/>
    <s v="2-DHA"/>
    <n v="39"/>
  </r>
  <r>
    <x v="12"/>
    <x v="4"/>
    <s v="(C13-IsoParaffin)"/>
    <n v="2.5062835735042286E-2"/>
    <s v="2-DHA"/>
    <n v="40"/>
  </r>
  <r>
    <x v="12"/>
    <x v="0"/>
    <s v="Tridecene-1"/>
    <n v="2.1658472400781508E-3"/>
    <s v="2-DHA"/>
    <n v="41"/>
  </r>
  <r>
    <x v="13"/>
    <x v="4"/>
    <s v="(C14-IsoParaffin)"/>
    <n v="5.7009082526194976E-3"/>
    <s v="2-DHA"/>
    <n v="42"/>
  </r>
  <r>
    <x v="14"/>
    <x v="4"/>
    <s v="(C15-IsoParaffin)"/>
    <n v="4.4966225027484596E-3"/>
    <s v="2-DHA"/>
    <n v="43"/>
  </r>
  <r>
    <x v="15"/>
    <x v="4"/>
    <s v="(C16-IsoParaffin)"/>
    <n v="1.1467165344379287E-2"/>
    <s v="2-DHA"/>
    <n v="44"/>
  </r>
  <r>
    <x v="16"/>
    <x v="4"/>
    <s v="(C17-IsoParaffin)"/>
    <n v="4.2476745441187872E-3"/>
    <s v="2-DHA"/>
    <n v="45"/>
  </r>
  <r>
    <x v="4"/>
    <x v="2"/>
    <s v="C1"/>
    <n v="0"/>
    <s v="3-ASTM"/>
    <m/>
  </r>
  <r>
    <x v="5"/>
    <x v="2"/>
    <s v="C2"/>
    <n v="0"/>
    <s v="3-ASTM"/>
    <m/>
  </r>
  <r>
    <x v="6"/>
    <x v="2"/>
    <s v="C3"/>
    <n v="0"/>
    <s v="3-ASTM"/>
    <m/>
  </r>
  <r>
    <x v="7"/>
    <x v="2"/>
    <s v="C4"/>
    <n v="0"/>
    <s v="3-ASTM"/>
    <m/>
  </r>
  <r>
    <x v="8"/>
    <x v="2"/>
    <s v="C5"/>
    <n v="0"/>
    <s v="3-ASTM"/>
    <m/>
  </r>
  <r>
    <x v="9"/>
    <x v="2"/>
    <s v="C6"/>
    <n v="0"/>
    <s v="3-ASTM"/>
    <m/>
  </r>
  <r>
    <x v="1"/>
    <x v="2"/>
    <s v="C7"/>
    <n v="0"/>
    <s v="3-ASTM"/>
    <m/>
  </r>
  <r>
    <x v="0"/>
    <x v="2"/>
    <s v="C8"/>
    <n v="2.4018211690328556E-2"/>
    <s v="3-ASTM"/>
    <m/>
  </r>
  <r>
    <x v="2"/>
    <x v="2"/>
    <s v="C9"/>
    <n v="2.9782582496007418E-2"/>
    <s v="3-ASTM"/>
    <m/>
  </r>
  <r>
    <x v="3"/>
    <x v="2"/>
    <s v="C10"/>
    <n v="7.5897548941438242E-2"/>
    <s v="3-ASTM"/>
    <m/>
  </r>
  <r>
    <x v="10"/>
    <x v="2"/>
    <s v="C11"/>
    <n v="8.7426290552795966E-2"/>
    <s v="3-ASTM"/>
    <m/>
  </r>
  <r>
    <x v="11"/>
    <x v="2"/>
    <s v="C12"/>
    <n v="0.10087648909937995"/>
    <s v="3-ASTM"/>
    <m/>
  </r>
  <r>
    <x v="12"/>
    <x v="2"/>
    <s v="C13"/>
    <n v="0.10471940296983252"/>
    <s v="3-ASTM"/>
    <m/>
  </r>
  <r>
    <x v="13"/>
    <x v="2"/>
    <s v="C14"/>
    <n v="0.10279794603460621"/>
    <s v="3-ASTM"/>
    <m/>
  </r>
  <r>
    <x v="14"/>
    <x v="2"/>
    <s v="C15"/>
    <n v="9.1269204423248526E-2"/>
    <s v="3-ASTM"/>
    <m/>
  </r>
  <r>
    <x v="15"/>
    <x v="2"/>
    <s v="C16"/>
    <n v="7.3976092006211983E-2"/>
    <s v="3-ASTM"/>
    <m/>
  </r>
  <r>
    <x v="16"/>
    <x v="2"/>
    <s v="C17"/>
    <n v="6.4368807330080421E-2"/>
    <s v="3-ASTM"/>
    <m/>
  </r>
  <r>
    <x v="17"/>
    <x v="2"/>
    <s v="C18"/>
    <n v="5.9565164992014842E-2"/>
    <s v="3-ASTM"/>
    <m/>
  </r>
  <r>
    <x v="18"/>
    <x v="2"/>
    <s v="C19"/>
    <n v="2.690039709316798E-2"/>
    <s v="3-ASTM"/>
    <m/>
  </r>
  <r>
    <x v="19"/>
    <x v="2"/>
    <s v="C20"/>
    <n v="2.1136026287489132E-2"/>
    <s v="3-ASTM"/>
    <m/>
  </r>
  <r>
    <x v="20"/>
    <x v="2"/>
    <s v="C21"/>
    <n v="1.9214569352262848E-2"/>
    <s v="3-ASTM"/>
    <m/>
  </r>
  <r>
    <x v="21"/>
    <x v="2"/>
    <s v="C22"/>
    <n v="1.7293112417036564E-2"/>
    <s v="3-ASTM"/>
    <m/>
  </r>
  <r>
    <x v="22"/>
    <x v="2"/>
    <s v="C23"/>
    <n v="1.5371655481810279E-2"/>
    <s v="3-ASTM"/>
    <m/>
  </r>
  <r>
    <x v="23"/>
    <x v="2"/>
    <s v="C24"/>
    <n v="1.4410927014197135E-2"/>
    <s v="3-ASTM"/>
    <m/>
  </r>
  <r>
    <x v="24"/>
    <x v="2"/>
    <s v="C25"/>
    <n v="1.248947007897085E-2"/>
    <s v="3-ASTM"/>
    <m/>
  </r>
  <r>
    <x v="25"/>
    <x v="2"/>
    <s v="C26"/>
    <n v="1.0568013143744566E-2"/>
    <s v="3-ASTM"/>
    <m/>
  </r>
  <r>
    <x v="26"/>
    <x v="2"/>
    <s v="C27"/>
    <n v="8.6465562085182822E-3"/>
    <s v="3-ASTM"/>
    <m/>
  </r>
  <r>
    <x v="27"/>
    <x v="2"/>
    <s v="C28"/>
    <n v="0"/>
    <s v="3-ASTM"/>
    <m/>
  </r>
  <r>
    <x v="28"/>
    <x v="2"/>
    <s v="C29"/>
    <n v="0"/>
    <s v="3-ASTM"/>
    <m/>
  </r>
  <r>
    <x v="29"/>
    <x v="2"/>
    <s v="C30"/>
    <n v="0"/>
    <s v="3-ASTM"/>
    <m/>
  </r>
  <r>
    <x v="30"/>
    <x v="2"/>
    <s v="C31"/>
    <n v="0"/>
    <s v="3-ASTM"/>
    <m/>
  </r>
  <r>
    <x v="31"/>
    <x v="2"/>
    <s v="C32"/>
    <n v="0"/>
    <s v="3-ASTM"/>
    <m/>
  </r>
  <r>
    <x v="32"/>
    <x v="2"/>
    <s v="C33"/>
    <n v="0"/>
    <s v="3-ASTM"/>
    <m/>
  </r>
  <r>
    <x v="33"/>
    <x v="2"/>
    <s v="C34"/>
    <n v="0"/>
    <s v="3-ASTM"/>
    <m/>
  </r>
  <r>
    <x v="34"/>
    <x v="2"/>
    <s v="C35"/>
    <n v="0"/>
    <s v="3-ASTM"/>
    <m/>
  </r>
  <r>
    <x v="35"/>
    <x v="2"/>
    <s v="C36"/>
    <n v="0"/>
    <s v="3-ASTM"/>
    <m/>
  </r>
  <r>
    <x v="36"/>
    <x v="2"/>
    <s v="C37"/>
    <n v="0"/>
    <s v="3-ASTM"/>
    <m/>
  </r>
  <r>
    <x v="37"/>
    <x v="2"/>
    <s v="C38"/>
    <n v="0"/>
    <s v="3-ASTM"/>
    <m/>
  </r>
  <r>
    <x v="38"/>
    <x v="2"/>
    <s v="C39"/>
    <n v="0"/>
    <s v="3-ASTM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2.78041501570276"/>
    <n v="12.78041501570276"/>
    <n v="10.42247935715865"/>
    <n v="2.3579356585441098"/>
    <n v="0.12336948309604594"/>
    <n v="1.8953812956013037E-2"/>
  </r>
  <r>
    <n v="2"/>
    <x v="0"/>
    <s v="METHANOL"/>
    <s v="CH4O"/>
    <s v="MEOH"/>
    <n v="0.93023540589214981"/>
    <n v="0.93023540589214981"/>
    <n v="0.7586106791756565"/>
    <n v="0.17162472671649329"/>
    <n v="8.9795723410821121E-3"/>
    <n v="1.3795724056439155E-3"/>
  </r>
  <r>
    <n v="3"/>
    <x v="1"/>
    <s v="ETHANE"/>
    <s v="C2H6"/>
    <s v="C2"/>
    <n v="0.85144978553306505"/>
    <n v="1.7028995710661301"/>
    <n v="1.3887213838474184"/>
    <n v="0.31417818721871182"/>
    <n v="1.6438107807045636E-2"/>
    <n v="2.525461020882777E-3"/>
  </r>
  <r>
    <n v="4"/>
    <x v="1"/>
    <s v="ETHYLENE"/>
    <s v="C2H4"/>
    <s v="C2-O"/>
    <n v="3.7332760249047361"/>
    <n v="7.4665520498094722"/>
    <n v="6.0890029402547317"/>
    <n v="1.3775491095547403"/>
    <n v="7.2074706945192704E-2"/>
    <n v="1.1073163962558745E-2"/>
  </r>
  <r>
    <n v="5"/>
    <x v="2"/>
    <s v="PROPANE"/>
    <s v="C3H8"/>
    <s v="C3"/>
    <n v="0.39016143535167702"/>
    <n v="1.1704843060550312"/>
    <n v="0.95453461431009101"/>
    <n v="0.21594969174494014"/>
    <n v="1.1298697548758979E-2"/>
    <n v="1.7358701245349098E-3"/>
  </r>
  <r>
    <n v="6"/>
    <x v="2"/>
    <s v="PROPYLENE"/>
    <s v="C3H6-2"/>
    <s v="C3-O"/>
    <n v="3.7200862991198229"/>
    <n v="11.160258897359469"/>
    <n v="9.1012355886221776"/>
    <n v="2.0590233087372916"/>
    <n v="0.10773009872477736"/>
    <n v="1.6551063437402799E-2"/>
  </r>
  <r>
    <n v="7"/>
    <x v="3"/>
    <s v="N-BUTANE"/>
    <s v="C4H10-1"/>
    <s v="C4"/>
    <n v="0.28059486675993228"/>
    <n v="1.1223794670397291"/>
    <n v="0.91530492646345918"/>
    <n v="0.20707454057626992"/>
    <n v="1.0834341022273365E-2"/>
    <n v="1.6645289263144372E-3"/>
  </r>
  <r>
    <n v="8"/>
    <x v="3"/>
    <s v="ISOBUTANE"/>
    <s v="C4H10-2"/>
    <s v="C4-IP"/>
    <n v="7.6987156206226228E-3"/>
    <n v="3.0794862482490491E-2"/>
    <n v="2.5113333028383499E-2"/>
    <n v="5.6815294541069927E-3"/>
    <n v="2.9726313752807072E-4"/>
    <n v="4.5669883394406589E-5"/>
  </r>
  <r>
    <n v="9"/>
    <x v="3"/>
    <s v="1-BUTENE"/>
    <s v="C4H8-1"/>
    <s v="C4-O"/>
    <n v="2.2092539944376051"/>
    <n v="8.8370159777504202"/>
    <n v="7.2066217328483519"/>
    <n v="1.6303942449020683"/>
    <n v="8.5303809926912624E-2"/>
    <n v="1.3105611024820859E-2"/>
  </r>
  <r>
    <n v="10"/>
    <x v="4"/>
    <s v="N-PENTANE"/>
    <s v="C5H12-1"/>
    <s v="C5"/>
    <n v="2.625778593646471E-2"/>
    <n v="0.13128892968232356"/>
    <n v="0.1070666451563763"/>
    <n v="2.4222284525947255E-2"/>
    <n v="1.2673334450595498E-3"/>
    <n v="1.9470618233730942E-4"/>
  </r>
  <r>
    <n v="11"/>
    <x v="4"/>
    <s v="2-METHYL-1-BUTANE"/>
    <s v="C5H12-5"/>
    <s v="C5-IP"/>
    <n v="8.784346630743034E-2"/>
    <n v="0.4392173315371517"/>
    <n v="0.3581834835275538"/>
    <n v="8.1033848009597911E-2"/>
    <n v="4.2397696077934059E-3"/>
    <n v="6.5137502489284998E-4"/>
  </r>
  <r>
    <n v="12"/>
    <x v="4"/>
    <s v="1-PENTENE"/>
    <s v="C5H10-2"/>
    <s v="C5-O"/>
    <n v="1.4620285249164711"/>
    <n v="7.3101426245823555"/>
    <n v="5.96145043091198"/>
    <n v="1.3486921936703755"/>
    <n v="7.056488508745877E-2"/>
    <n v="1.084120318611527E-2"/>
  </r>
  <r>
    <n v="13"/>
    <x v="4"/>
    <s v="CYCLOPENTANE"/>
    <m/>
    <s v="C5-N"/>
    <n v="9.2919825558525244E-3"/>
    <n v="4.6459912779262619E-2"/>
    <n v="3.7888243948440328E-2"/>
    <n v="8.5716688308222887E-3"/>
    <n v="4.4847803590279851E-4"/>
    <n v="6.8901713730647741E-5"/>
  </r>
  <r>
    <n v="14"/>
    <x v="5"/>
    <s v="2,2-DIMETHYL-BUTANE"/>
    <s v="C6H14-4"/>
    <s v="C6-IP"/>
    <n v="0.34416377186333308"/>
    <n v="2.0649826311799986"/>
    <n v="1.6840015617584576"/>
    <n v="0.38098106942154103"/>
    <n v="1.9933299466252191E-2"/>
    <n v="3.0624431601565787E-3"/>
  </r>
  <r>
    <n v="15"/>
    <x v="5"/>
    <s v="N-HEXANE"/>
    <s v="C6H14-1"/>
    <s v="C6"/>
    <n v="4.9116407679064139E-3"/>
    <n v="2.9469844607438483E-2"/>
    <n v="2.4032775672958966E-2"/>
    <n v="5.4370689344795178E-3"/>
    <n v="2.8447272578186822E-4"/>
    <n v="4.3704834455365646E-5"/>
  </r>
  <r>
    <n v="16"/>
    <x v="5"/>
    <s v="2-METHYL-1-PENTENE"/>
    <s v="C6H12-D2"/>
    <s v="C6-O"/>
    <n v="0.63054996610516656"/>
    <n v="3.7832997966309994"/>
    <n v="3.0852960552440156"/>
    <n v="0.69800374138698362"/>
    <n v="3.6520233477103335E-2"/>
    <n v="5.6107690254003145E-3"/>
  </r>
  <r>
    <n v="17"/>
    <x v="5"/>
    <s v="BENZENE"/>
    <m/>
    <s v="C6-A"/>
    <n v="2.4894795862967249E-3"/>
    <n v="1.4936877517780349E-2"/>
    <n v="1.2181083118051817E-2"/>
    <n v="2.7557943997285326E-3"/>
    <n v="1.4418583873633179E-4"/>
    <n v="2.2151924039324127E-5"/>
  </r>
  <r>
    <n v="18"/>
    <x v="5"/>
    <s v="CYCLOHEXANE"/>
    <m/>
    <s v="C6-N"/>
    <n v="3.0001340864358409E-2"/>
    <n v="0.18000804518615046"/>
    <n v="0.14679727792642197"/>
    <n v="3.3210767259728484E-2"/>
    <n v="1.7376195890712186E-3"/>
    <n v="2.6695837457890492E-4"/>
  </r>
  <r>
    <n v="19"/>
    <x v="6"/>
    <s v="N-HEPTANE"/>
    <s v="C7H16-1"/>
    <s v="C7"/>
    <n v="1.5354985472503201E-5"/>
    <n v="1.0748489830752241E-4"/>
    <n v="8.7654362744874379E-5"/>
    <n v="1.9830535562648034E-5"/>
    <n v="1.0375528751247638E-6"/>
    <n v="1.5940395171939096E-7"/>
  </r>
  <r>
    <n v="20"/>
    <x v="6"/>
    <s v="2-METHYLHEXANE"/>
    <s v="C7H16-2"/>
    <s v="C7-IP"/>
    <n v="0.25517737575835953"/>
    <n v="1.7862416303085167"/>
    <n v="1.456687165159654"/>
    <n v="0.32955446514886266"/>
    <n v="1.7242609597970294E-2"/>
    <n v="2.6490602780515227E-3"/>
  </r>
  <r>
    <n v="21"/>
    <x v="6"/>
    <s v="1-HEPTENE"/>
    <s v="C7H14-7"/>
    <s v="C7-O"/>
    <n v="0.1883744752894112"/>
    <n v="1.3186213270258784"/>
    <n v="1.0753409450280405"/>
    <n v="0.24328038199783802"/>
    <n v="1.2728665799563598E-2"/>
    <n v="1.9555626293473621E-3"/>
  </r>
  <r>
    <n v="22"/>
    <x v="6"/>
    <s v="TOLUENE"/>
    <s v="C7H8"/>
    <s v="C7-A"/>
    <n v="6.65624604386087E-3"/>
    <n v="4.6593722307026089E-2"/>
    <n v="3.7997366151372898E-2"/>
    <n v="8.5963561556531946E-3"/>
    <n v="4.4976970070814508E-4"/>
    <n v="6.910015805016673E-5"/>
  </r>
  <r>
    <n v="23"/>
    <x v="6"/>
    <s v="1c,3-Dimethylcyclopentane"/>
    <m/>
    <s v="C7-N"/>
    <n v="2.709176159787411E-2"/>
    <n v="0.18964233118511878"/>
    <n v="0.15465407653756538"/>
    <n v="3.4988254647553389E-2"/>
    <n v="1.8306194550561524E-3"/>
    <n v="2.8124636558426899E-4"/>
  </r>
  <r>
    <n v="24"/>
    <x v="7"/>
    <s v="N-OCTANE"/>
    <s v="C8H18-1"/>
    <s v="C8"/>
    <n v="2.505445756812457E-2"/>
    <n v="0.20043566054499656"/>
    <n v="0.16345607962667671"/>
    <n v="3.6979580918319835E-2"/>
    <n v="1.9348075790237588E-3"/>
    <n v="2.9725325938297705E-4"/>
  </r>
  <r>
    <n v="25"/>
    <x v="7"/>
    <s v="2,2,4-TRIMETHYLPENTANE"/>
    <s v="C8H18-13"/>
    <s v="C8-IP"/>
    <n v="0.1063163375822845"/>
    <n v="0.85053070065827596"/>
    <n v="0.69361117454706711"/>
    <n v="0.15691952611120885"/>
    <n v="8.2101819673779577E-3"/>
    <n v="1.2613674746725146E-3"/>
  </r>
  <r>
    <n v="26"/>
    <x v="7"/>
    <s v="1-OCTENE"/>
    <s v="C8H16-16"/>
    <s v="C8-O"/>
    <n v="0.29186969854691103"/>
    <n v="2.3349575883752882"/>
    <n v="1.9041672148190576"/>
    <n v="0.43079037355623062"/>
    <n v="2.2539370620994623E-2"/>
    <n v="3.4628256857005481E-3"/>
  </r>
  <r>
    <n v="27"/>
    <x v="7"/>
    <s v="1-METHYL-1-ETHYLCYCLOPENTANE"/>
    <s v="C8H16-13"/>
    <s v="C8-N"/>
    <n v="4.7723323669308218E-2"/>
    <n v="0.38178658935446574"/>
    <n v="0.31134848449740443"/>
    <n v="7.0438104857061298E-2"/>
    <n v="3.6853900381006405E-3"/>
    <n v="5.6620317844512471E-4"/>
  </r>
  <r>
    <n v="28"/>
    <x v="7"/>
    <s v="M-XYLENE"/>
    <s v="C8H10-2"/>
    <s v="C8-A"/>
    <n v="9.0382566172806406E-2"/>
    <n v="0.72306052938245124"/>
    <n v="0.58965874208353442"/>
    <n v="0.13340178729891686"/>
    <n v="6.9797110381365256E-3"/>
    <n v="1.0723246477483159E-3"/>
  </r>
  <r>
    <n v="29"/>
    <x v="8"/>
    <s v="N-NONANE"/>
    <s v="C9H20-1"/>
    <s v="C9"/>
    <n v="5.2091431438708938E-2"/>
    <n v="0.46882288294838043"/>
    <n v="0.3823269286396031"/>
    <n v="8.6495954308777309E-2"/>
    <n v="4.5255523128064365E-3"/>
    <n v="6.9528111739599718E-4"/>
  </r>
  <r>
    <n v="30"/>
    <x v="8"/>
    <s v="3-METHYLOCTANE"/>
    <s v="C9H20-D2"/>
    <s v="C9-IP"/>
    <n v="0.27953121534732772"/>
    <n v="2.5157809381259497"/>
    <n v="2.0516293768656721"/>
    <n v="0.46415156126027746"/>
    <n v="2.428486035376352E-2"/>
    <n v="3.7309931861332648E-3"/>
  </r>
  <r>
    <n v="31"/>
    <x v="8"/>
    <s v="1-NONENE"/>
    <s v="C9H18-3"/>
    <s v="C9-O"/>
    <n v="5.1513556339444988E-2"/>
    <n v="0.46362200705500489"/>
    <n v="0.37808559363043087"/>
    <n v="8.5536413424574007E-2"/>
    <n v="4.4753482020773189E-3"/>
    <n v="6.8756803227557192E-4"/>
  </r>
  <r>
    <n v="32"/>
    <x v="8"/>
    <s v="ISOPROPYLCYCLOHEXANE"/>
    <s v="C9H18-2"/>
    <s v="C9-N"/>
    <n v="2.9039779374151291E-2"/>
    <n v="0.26135801436736161"/>
    <n v="0.21313850185811162"/>
    <n v="4.8219512509249995E-2"/>
    <n v="2.522891713288965E-3"/>
    <n v="3.8760329087807389E-4"/>
  </r>
  <r>
    <n v="33"/>
    <x v="8"/>
    <s v="INDANE"/>
    <s v="C9H10-E1"/>
    <s v="C9-A"/>
    <n v="7.2879304054369987E-2"/>
    <n v="0.65591373648932993"/>
    <n v="0.53490026499432364"/>
    <n v="0.12101347149500626"/>
    <n v="6.3315423268228786E-3"/>
    <n v="9.7274355030127155E-4"/>
  </r>
  <r>
    <n v="34"/>
    <x v="9"/>
    <s v="N-DECANE"/>
    <s v="C10H22-1"/>
    <s v="C10"/>
    <n v="7.7932189982597905E-2"/>
    <n v="0.77932189982597899"/>
    <n v="0.63554011380210995"/>
    <n v="0.14378178602386898"/>
    <n v="7.5228026499007073E-3"/>
    <n v="1.1557622740480398E-3"/>
  </r>
  <r>
    <n v="35"/>
    <x v="9"/>
    <s v="2-METHYLNONANE"/>
    <s v="C10H22-E2"/>
    <s v="C10-IP"/>
    <n v="9.5023435808945997E-2"/>
    <n v="0.95023435808946"/>
    <n v="0.77491990436006319"/>
    <n v="0.17531445372939686"/>
    <n v="9.1726224409429749E-3"/>
    <n v="1.4092315676350036E-3"/>
  </r>
  <r>
    <n v="36"/>
    <x v="9"/>
    <s v="1-DECENE"/>
    <s v="C10H20-5"/>
    <s v="C10-O"/>
    <n v="0.10367126552184421"/>
    <n v="1.036712655218442"/>
    <n v="0.84544330016228364"/>
    <n v="0.19126935505615841"/>
    <n v="1.0007398369793525E-2"/>
    <n v="1.5374819778543399E-3"/>
  </r>
  <r>
    <n v="37"/>
    <x v="9"/>
    <s v="1-PROPYL-1-METHYLCYCLOHEXANE"/>
    <s v="C10H20-N24"/>
    <s v="C10-N"/>
    <n v="6.0313866677003912E-2"/>
    <n v="0.60313866677003913"/>
    <n v="0.49186198540433407"/>
    <n v="0.11127668136570507"/>
    <n v="5.8221040133074652E-3"/>
    <n v="8.9447623277120905E-4"/>
  </r>
  <r>
    <n v="38"/>
    <x v="9"/>
    <s v="1,2-DIMETHYL-3-ETHYLBENZENE"/>
    <s v="C10H14-D3"/>
    <s v="C10-A"/>
    <n v="7.3831740830595113E-2"/>
    <n v="0.73831740830595116"/>
    <n v="0.60210078762270292"/>
    <n v="0.13621662068324827"/>
    <n v="7.126985853871266E-3"/>
    <n v="1.0949511453270924E-3"/>
  </r>
  <r>
    <n v="39"/>
    <x v="10"/>
    <s v="N-UNDECANE"/>
    <s v="C11H24"/>
    <s v="C11"/>
    <n v="8.9984230827715853E-2"/>
    <n v="0.98982653910487439"/>
    <n v="0.80720748569690093"/>
    <n v="0.18261905340797352"/>
    <n v="9.5548061885376671E-3"/>
    <n v="1.4679481893225437E-3"/>
  </r>
  <r>
    <n v="40"/>
    <x v="10"/>
    <s v="3-ETHYLNONANE"/>
    <s v="C11H24-N8"/>
    <s v="C11-IP"/>
    <n v="9.8430910992689663E-2"/>
    <n v="1.0827400209195863"/>
    <n v="0.88297880024543096"/>
    <n v="0.19976122067415536"/>
    <n v="1.0451701024116257E-2"/>
    <n v="1.6057422087846832E-3"/>
  </r>
  <r>
    <n v="41"/>
    <x v="10"/>
    <s v="1-ETHYL-2-ISOPROPYLBENZENE"/>
    <s v="C11H16-D1"/>
    <s v="C11-A"/>
    <n v="3.945513959332022E-2"/>
    <n v="0.43400653552652241"/>
    <n v="0.35393405862324351"/>
    <n v="8.00724769032789E-2"/>
    <n v="4.1894697380661372E-3"/>
    <n v="6.4364722788343685E-4"/>
  </r>
  <r>
    <n v="42"/>
    <x v="10"/>
    <s v="Undecene-1"/>
    <m/>
    <s v="C11-O"/>
    <n v="6.3372814718666015E-2"/>
    <n v="0.69710096190532611"/>
    <n v="0.56848861139382878"/>
    <n v="0.12861235051149736"/>
    <n v="6.7291230551082019E-3"/>
    <n v="1.0338256799310823E-3"/>
  </r>
  <r>
    <n v="43"/>
    <x v="11"/>
    <s v="2-METHYLUNDECANE"/>
    <s v="C12H26-N9"/>
    <s v="C12-IP"/>
    <n v="6.9381796070089721E-2"/>
    <n v="0.83258155284107671"/>
    <n v="0.67897357300020833"/>
    <n v="0.15360797984086844"/>
    <n v="8.0369186511631344E-3"/>
    <n v="1.2347482459519271E-3"/>
  </r>
  <r>
    <n v="44"/>
    <x v="11"/>
    <s v="N-DODECANE"/>
    <s v="C12H26"/>
    <s v="C12"/>
    <n v="0.10087648909937991"/>
    <n v="1.2105178691925589"/>
    <n v="0.98718214452579478"/>
    <n v="0.22333572466676407"/>
    <n v="1.1685141962708093E-2"/>
    <n v="1.7952413317092579E-3"/>
  </r>
  <r>
    <n v="45"/>
    <x v="11"/>
    <s v="1-DODECENE"/>
    <s v="C12H24-2"/>
    <s v="C12-O"/>
    <n v="6.8149503674872856E-3"/>
    <n v="8.1779404409847434E-2"/>
    <n v="6.6691430071333713E-2"/>
    <n v="1.5087974338513721E-2"/>
    <n v="7.8941746708141667E-4"/>
    <n v="1.2128178411529965E-4"/>
  </r>
  <r>
    <n v="46"/>
    <x v="11"/>
    <s v="1,2,4-TRIETHYLBENZENE"/>
    <s v="C12H18-D6"/>
    <s v="C12-A"/>
    <n v="2.4020366158280529E-2"/>
    <n v="0.28824439389936635"/>
    <n v="0.23506445147060498"/>
    <n v="5.3179942428761368E-2"/>
    <n v="2.7824262230143632E-3"/>
    <n v="4.2747675414885744E-4"/>
  </r>
  <r>
    <n v="47"/>
    <x v="11"/>
    <m/>
    <m/>
    <s v="C12-N"/>
    <n v="6.2423700626390377E-3"/>
    <n v="7.4908440751668456E-2"/>
    <n v="6.1088131837029866E-2"/>
    <n v="1.3820308914638592E-2"/>
    <n v="7.2309198126270394E-4"/>
    <n v="1.1109189905721051E-4"/>
  </r>
  <r>
    <n v="48"/>
    <x v="12"/>
    <s v="2-METHYLDODECANE"/>
    <s v="C13H28-N1"/>
    <s v="C13-IP"/>
    <n v="2.506283573504229E-2"/>
    <n v="0.32581686455554976"/>
    <n v="0.26570495096380453"/>
    <n v="6.0111913591745204E-2"/>
    <n v="3.1451136848690449E-3"/>
    <n v="4.8319807307610751E-4"/>
  </r>
  <r>
    <n v="49"/>
    <x v="12"/>
    <s v="1-TRIDECENE"/>
    <s v="C13H26-2"/>
    <s v="C13-O"/>
    <n v="2.1658472400781512E-3"/>
    <n v="2.8156014121015965E-2"/>
    <n v="2.2961341677527679E-2"/>
    <n v="5.1946724434882852E-3"/>
    <n v="2.7179030601798547E-4"/>
    <n v="4.1756376814125988E-5"/>
  </r>
  <r>
    <n v="50"/>
    <x v="12"/>
    <s v="N-TRIDECANE"/>
    <s v="C13H28"/>
    <s v="C13"/>
    <n v="0.1047194029698325"/>
    <n v="1.3613522386078225"/>
    <n v="1.110188173645279"/>
    <n v="0.25116406496254345"/>
    <n v="1.3141147746950296E-2"/>
    <n v="2.0189341008190627E-3"/>
  </r>
  <r>
    <n v="51"/>
    <x v="13"/>
    <s v="2-METHYLTRIDECANE"/>
    <s v="C14H30-N1"/>
    <s v="C14-IP"/>
    <n v="5.7009082526194984E-3"/>
    <n v="7.9812715536672976E-2"/>
    <n v="6.5087587460790186E-2"/>
    <n v="1.4725128075882788E-2"/>
    <n v="7.7043299831446586E-4"/>
    <n v="1.1836511411678855E-4"/>
  </r>
  <r>
    <n v="52"/>
    <x v="13"/>
    <s v="N-TETRADECANE"/>
    <s v="C14H30"/>
    <s v=" C14 "/>
    <n v="0.10279794603460619"/>
    <n v="1.4391712444844866"/>
    <n v="1.1736498829362227"/>
    <n v="0.26552136154826395"/>
    <n v="1.3892335444552956E-2"/>
    <n v="2.1343424721432286E-3"/>
  </r>
  <r>
    <n v="53"/>
    <x v="14"/>
    <s v="2-METHYLTETRADECANE"/>
    <s v="C15H32-N1"/>
    <s v="C15-IP "/>
    <n v="4.4966225027484596E-3"/>
    <n v="6.7449337541226895E-2"/>
    <n v="5.5005203454952738E-2"/>
    <n v="1.2444134086274157E-2"/>
    <n v="6.5108917804374824E-4"/>
    <n v="1.0002978199007302E-4"/>
  </r>
  <r>
    <n v="54"/>
    <x v="14"/>
    <s v="N-PENTADECANE"/>
    <s v="C15H32"/>
    <s v="C15"/>
    <n v="9.1269204423248526E-2"/>
    <n v="1.3690380663487278"/>
    <n v="1.1164559967851255"/>
    <n v="0.2525820695636023"/>
    <n v="1.3215339124491301E-2"/>
    <n v="2.0303324584807088E-3"/>
  </r>
  <r>
    <n v="55"/>
    <x v="15"/>
    <s v="2-METHYLPENTADECANE"/>
    <s v="C16H34-N1"/>
    <s v="C16-IP"/>
    <n v="1.146716534437929E-2"/>
    <n v="0.18347464551006865"/>
    <n v="0.14962430430006984"/>
    <n v="3.3850341209998816E-2"/>
    <n v="1.7710827191446091E-3"/>
    <n v="2.7209946694969808E-4"/>
  </r>
  <r>
    <n v="56"/>
    <x v="15"/>
    <s v="N-HEXADECANE"/>
    <s v="C16H34"/>
    <s v="C16"/>
    <n v="7.3976092006211983E-2"/>
    <n v="1.1836174720993917"/>
    <n v="0.96524476353633337"/>
    <n v="0.21837270856305835"/>
    <n v="1.1425472141314588E-2"/>
    <n v="1.7553470798934976E-3"/>
  </r>
  <r>
    <n v="57"/>
    <x v="16"/>
    <s v="14-METHYLHEXADECANE"/>
    <s v="C17H36-N10"/>
    <s v="C17-IP"/>
    <n v="4.2476745441187872E-3"/>
    <n v="7.2210467250019381E-2"/>
    <n v="5.8887923698831751E-2"/>
    <n v="1.3322543551187626E-2"/>
    <n v="6.9704841414095398E-4"/>
    <n v="1.0709070777760759E-4"/>
  </r>
  <r>
    <n v="58"/>
    <x v="16"/>
    <s v="N-HEPTADECANE"/>
    <s v="C17H36"/>
    <s v="C17"/>
    <n v="6.4368807330080421E-2"/>
    <n v="1.0942697246113671"/>
    <n v="0.89238131953561795"/>
    <n v="0.20188840507574912"/>
    <n v="1.0562997377400395E-2"/>
    <n v="1.6228411720768585E-3"/>
  </r>
  <r>
    <n v="59"/>
    <x v="17"/>
    <s v="N-OCTADECANE"/>
    <s v="C18H38"/>
    <s v="C18"/>
    <n v="5.9565164992014842E-2"/>
    <n v="1.0721729698562672"/>
    <n v="0.8743613280085617"/>
    <n v="0.19781164184770544"/>
    <n v="1.0349697166970033E-2"/>
    <n v="1.5900708937996294E-3"/>
  </r>
  <r>
    <n v="60"/>
    <x v="18"/>
    <s v="N-NONADECANE"/>
    <s v="C19H40"/>
    <s v="C19"/>
    <n v="2.690039709316798E-2"/>
    <n v="0.5111075447701916"/>
    <n v="0.41681023879978008"/>
    <n v="9.4297305970411513E-2"/>
    <n v="4.933726606476751E-3"/>
    <n v="7.5799078449946457E-4"/>
  </r>
  <r>
    <n v="61"/>
    <x v="19"/>
    <s v="N-EICOSANE"/>
    <s v="C20H42"/>
    <s v="C20"/>
    <n v="2.1136026287489128E-2"/>
    <n v="0.42272052574978258"/>
    <n v="0.34473027269154749"/>
    <n v="7.7990253058235093E-2"/>
    <n v="4.0805257647552086E-3"/>
    <n v="6.2690967139053468E-4"/>
  </r>
  <r>
    <n v="62"/>
    <x v="20"/>
    <s v="N-HENEICOSANE"/>
    <s v="C21H44"/>
    <s v="C21"/>
    <n v="1.9214569352262852E-2"/>
    <n v="0.4035059563975199"/>
    <n v="0.32906071484193183"/>
    <n v="7.4445241555588071E-2"/>
    <n v="3.8950473209027007E-3"/>
    <n v="5.9841377723641965E-4"/>
  </r>
  <r>
    <n v="63"/>
    <x v="21"/>
    <s v="N-DOCOSANE"/>
    <s v="C22H46"/>
    <s v="C22"/>
    <n v="1.7293112417036561E-2"/>
    <n v="0.38044847317480435"/>
    <n v="0.31025724542239275"/>
    <n v="7.0191227752411586E-2"/>
    <n v="3.6724731882796877E-3"/>
    <n v="5.6421870425148114E-4"/>
  </r>
  <r>
    <n v="64"/>
    <x v="22"/>
    <s v="N-TRICOSANE"/>
    <s v="C23H48"/>
    <s v="C23"/>
    <n v="1.5371655481810281E-2"/>
    <n v="0.35354807608163646"/>
    <n v="0.28831986443293073"/>
    <n v="6.5228211648705736E-2"/>
    <n v="3.4128033668861754E-3"/>
    <n v="5.2432445243572002E-4"/>
  </r>
  <r>
    <n v="65"/>
    <x v="23"/>
    <s v="N-TETRACOSANE"/>
    <s v="C24H50"/>
    <s v="C24"/>
    <n v="1.441092701419714E-2"/>
    <n v="0.34586224834073137"/>
    <n v="0.28205204129308442"/>
    <n v="6.3810207047646922E-2"/>
    <n v="3.3386119893451718E-3"/>
    <n v="5.1292609477407403E-4"/>
  </r>
  <r>
    <n v="66"/>
    <x v="24"/>
    <s v="N-PENTACOSANE"/>
    <s v="C25H52"/>
    <s v="C25"/>
    <n v="1.248947007897085E-2"/>
    <n v="0.31223675197427125"/>
    <n v="0.25463031505625672"/>
    <n v="5.7606436918014564E-2"/>
    <n v="3.0140247126032795E-3"/>
    <n v="4.6305828000437225E-4"/>
  </r>
  <r>
    <n v="67"/>
    <x v="25"/>
    <s v="N-HEXACOSANE"/>
    <s v="C26H54"/>
    <s v="C26"/>
    <n v="1.0568013143744569E-2"/>
    <n v="0.27476834173735881"/>
    <n v="0.22407467724950597"/>
    <n v="5.0693664487852834E-2"/>
    <n v="2.6523417470908865E-3"/>
    <n v="4.0749128640384769E-4"/>
  </r>
  <r>
    <n v="68"/>
    <x v="26"/>
    <s v="N-HEPTACOSANE"/>
    <s v="C27H56"/>
    <s v="C27"/>
    <n v="8.6465562085182822E-3"/>
    <n v="0.23345701762999363"/>
    <n v="0.19038512787283196"/>
    <n v="4.3071889757161662E-2"/>
    <n v="2.2535630928079906E-3"/>
    <n v="3.4622511397249987E-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Metanolo"/>
    <n v="0.64499028268648395"/>
    <s v="1-GAS"/>
  </r>
  <r>
    <x v="0"/>
    <x v="1"/>
    <s v="*CH4"/>
    <n v="11.284207492384301"/>
    <s v="1-GAS"/>
  </r>
  <r>
    <x v="1"/>
    <x v="2"/>
    <s v="*Acetilene"/>
    <n v="0"/>
    <s v="1-GAS"/>
  </r>
  <r>
    <x v="1"/>
    <x v="2"/>
    <s v="*Etilene"/>
    <n v="2.9665605763140062"/>
    <s v="1-GAS"/>
  </r>
  <r>
    <x v="1"/>
    <x v="0"/>
    <s v="*DME"/>
    <n v="0"/>
    <s v="1-GAS"/>
  </r>
  <r>
    <x v="1"/>
    <x v="1"/>
    <s v="*Etano"/>
    <n v="0.75254127723175746"/>
    <s v="1-GAS"/>
  </r>
  <r>
    <x v="2"/>
    <x v="2"/>
    <s v="*Propilene"/>
    <n v="2.9824519040758708"/>
    <s v="1-GAS"/>
  </r>
  <r>
    <x v="2"/>
    <x v="1"/>
    <s v="*Propano"/>
    <n v="0.30622925533420892"/>
    <s v="1-GAS"/>
  </r>
  <r>
    <x v="3"/>
    <x v="2"/>
    <s v="*1-Butene"/>
    <n v="1.5864331013899196"/>
    <s v="1-GAS"/>
  </r>
  <r>
    <x v="3"/>
    <x v="2"/>
    <s v="2-Butene"/>
    <n v="2.8354859891253276E-2"/>
    <s v="1-GAS"/>
  </r>
  <r>
    <x v="3"/>
    <x v="2"/>
    <s v="2-Metilpropene"/>
    <n v="2.3029278036235987E-2"/>
    <s v="1-GAS"/>
  </r>
  <r>
    <x v="3"/>
    <x v="1"/>
    <s v="*N-Butano"/>
    <n v="0.22254904654045757"/>
    <s v="1-GAS"/>
  </r>
  <r>
    <x v="4"/>
    <x v="3"/>
    <s v="2-Metilbutano"/>
    <n v="0"/>
    <s v="1-GAS"/>
  </r>
  <r>
    <x v="4"/>
    <x v="2"/>
    <s v="*1-Pentene"/>
    <n v="0.87794251730437234"/>
    <s v="1-GAS"/>
  </r>
  <r>
    <x v="4"/>
    <x v="2"/>
    <s v="2-Metilbut-1-ene"/>
    <n v="0"/>
    <s v="1-GAS"/>
  </r>
  <r>
    <x v="4"/>
    <x v="2"/>
    <s v="2-Pentene"/>
    <n v="0"/>
    <s v="1-GAS"/>
  </r>
  <r>
    <x v="4"/>
    <x v="2"/>
    <s v="3-Metilbut-1-ene"/>
    <n v="0.22658449801189481"/>
    <s v="1-GAS"/>
  </r>
  <r>
    <x v="4"/>
    <x v="1"/>
    <s v="*Pentano"/>
    <n v="0.12759230511881964"/>
    <s v="1-GAS"/>
  </r>
  <r>
    <x v="5"/>
    <x v="3"/>
    <s v="2,2-Dimetilbutano"/>
    <n v="0.14337230719112087"/>
    <s v="1-GAS"/>
  </r>
  <r>
    <x v="5"/>
    <x v="2"/>
    <s v="1-Esene"/>
    <n v="1.9141241611245166E-5"/>
    <s v="1-GAS"/>
  </r>
  <r>
    <x v="5"/>
    <x v="2"/>
    <s v="2-Metilbut-2-ene"/>
    <n v="1.0782087352486522E-2"/>
    <s v="1-GAS"/>
  </r>
  <r>
    <x v="5"/>
    <x v="2"/>
    <s v="2,3-Dimetilbut-2-ene"/>
    <n v="2.3569675213591481E-5"/>
    <s v="1-GAS"/>
  </r>
  <r>
    <x v="5"/>
    <x v="2"/>
    <s v="3-Metilpent-1-ene"/>
    <n v="0"/>
    <s v="1-GAS"/>
  </r>
  <r>
    <x v="5"/>
    <x v="2"/>
    <s v="4-Metilpent-2-ene"/>
    <n v="0.30171511307275434"/>
    <s v="1-GAS"/>
  </r>
  <r>
    <x v="5"/>
    <x v="1"/>
    <s v="Esano"/>
    <n v="1.93133713228955E-3"/>
    <s v="1-GAS"/>
  </r>
  <r>
    <x v="6"/>
    <x v="4"/>
    <s v="Toluene"/>
    <n v="0"/>
    <s v="1-GAS"/>
  </r>
  <r>
    <x v="6"/>
    <x v="3"/>
    <s v="2,2-Dimetilpentano"/>
    <n v="8.7957753518294102E-6"/>
    <s v="1-GAS"/>
  </r>
  <r>
    <x v="6"/>
    <x v="2"/>
    <s v="1-eptene"/>
    <n v="3.0511255265248889E-4"/>
    <s v="1-GAS"/>
  </r>
  <r>
    <x v="6"/>
    <x v="2"/>
    <s v="2-Eptene"/>
    <n v="3.9947618791171554E-6"/>
    <s v="1-GAS"/>
  </r>
  <r>
    <x v="6"/>
    <x v="2"/>
    <s v="2-Metiles-1-ene"/>
    <n v="6.5715585602161316E-5"/>
    <s v="1-GAS"/>
  </r>
  <r>
    <x v="6"/>
    <x v="1"/>
    <s v="Eptano"/>
    <n v="3.6542649360789502E-5"/>
    <s v="1-GAS"/>
  </r>
  <r>
    <x v="7"/>
    <x v="4"/>
    <s v="Etilbenzene"/>
    <n v="0"/>
    <s v="1-GAS"/>
  </r>
  <r>
    <x v="7"/>
    <x v="4"/>
    <s v="m-Xilene"/>
    <n v="4.2434939469165787E-2"/>
    <s v="1-GAS"/>
  </r>
  <r>
    <x v="7"/>
    <x v="4"/>
    <s v="o-Xilene"/>
    <n v="0"/>
    <s v="1-GAS"/>
  </r>
  <r>
    <x v="7"/>
    <x v="4"/>
    <s v="p-Xilene"/>
    <n v="2.7440081930822701E-7"/>
    <s v="1-GAS"/>
  </r>
  <r>
    <x v="7"/>
    <x v="2"/>
    <s v="Ottene"/>
    <n v="0"/>
    <s v="1-GAS"/>
  </r>
  <r>
    <x v="8"/>
    <x v="4"/>
    <s v="Nonene"/>
    <n v="3.0331315405092388E-2"/>
    <s v="1-GAS"/>
  </r>
  <r>
    <x v="8"/>
    <x v="4"/>
    <s v="Trimetilbenzene"/>
    <n v="0"/>
    <s v="1-GAS"/>
  </r>
  <r>
    <x v="9"/>
    <x v="2"/>
    <s v="Decene"/>
    <n v="4.9085231091620912E-7"/>
    <s v="1-GAS"/>
  </r>
  <r>
    <x v="9"/>
    <x v="1"/>
    <s v="Decano"/>
    <n v="4.3389939217189496E-3"/>
    <s v="1-GAS"/>
  </r>
  <r>
    <x v="2"/>
    <x v="1"/>
    <s v="Propane"/>
    <n v="1.988368291862655E-2"/>
    <s v="2-DHA"/>
  </r>
  <r>
    <x v="3"/>
    <x v="3"/>
    <s v="i-Butane"/>
    <n v="6.9756425894330794E-3"/>
    <s v="2-DHA"/>
  </r>
  <r>
    <x v="3"/>
    <x v="2"/>
    <s v="Butene-1"/>
    <n v="0.12502020712023554"/>
    <s v="2-DHA"/>
  </r>
  <r>
    <x v="3"/>
    <x v="1"/>
    <s v="n-Butane"/>
    <n v="1.1946563319089717E-2"/>
    <s v="2-DHA"/>
  </r>
  <r>
    <x v="4"/>
    <x v="3"/>
    <s v="(C5-IsoParaffin)"/>
    <n v="2.0128986437333372E-2"/>
    <s v="2-DHA"/>
  </r>
  <r>
    <x v="4"/>
    <x v="5"/>
    <s v="Cyclopentane"/>
    <n v="8.4192678949261014E-3"/>
    <s v="2-DHA"/>
  </r>
  <r>
    <x v="4"/>
    <x v="2"/>
    <s v="1,4-Pentadiene"/>
    <n v="0.27042034335786092"/>
    <s v="2-DHA"/>
  </r>
  <r>
    <x v="4"/>
    <x v="1"/>
    <s v="n-Pentane"/>
    <n v="2.3791621733886957E-2"/>
    <s v="2-DHA"/>
  </r>
  <r>
    <x v="5"/>
    <x v="4"/>
    <s v="Benzene"/>
    <n v="2.2556645398328469E-3"/>
    <s v="2-DHA"/>
  </r>
  <r>
    <x v="5"/>
    <x v="3"/>
    <s v="3-Methylpentane"/>
    <n v="0.27053594616552729"/>
    <s v="2-DHA"/>
  </r>
  <r>
    <x v="5"/>
    <x v="5"/>
    <s v="Cyclohexane"/>
    <n v="2.7183577285660596E-2"/>
    <s v="2-DHA"/>
  </r>
  <r>
    <x v="5"/>
    <x v="2"/>
    <s v="1t,4-Hexadiene"/>
    <n v="0.10973526028219321"/>
    <s v="2-DHA"/>
  </r>
  <r>
    <x v="5"/>
    <x v="1"/>
    <s v="n-Hexane"/>
    <n v="3.0733429355222545E-3"/>
    <s v="2-DHA"/>
  </r>
  <r>
    <x v="6"/>
    <x v="4"/>
    <s v="Toluene"/>
    <n v="6.0310830633780749E-3"/>
    <s v="2-DHA"/>
  </r>
  <r>
    <x v="6"/>
    <x v="3"/>
    <s v="3-Ethylpentane"/>
    <n v="0.23070936913410356"/>
    <s v="2-DHA"/>
  </r>
  <r>
    <x v="6"/>
    <x v="5"/>
    <s v="1c,3-Dimethylcyclopentane"/>
    <n v="2.4547269354730956E-2"/>
    <s v="2-DHA"/>
  </r>
  <r>
    <x v="6"/>
    <x v="2"/>
    <s v="2,4-Dimethylpentene-1"/>
    <n v="0.16102907191799212"/>
    <s v="2-DHA"/>
  </r>
  <r>
    <x v="7"/>
    <x v="4"/>
    <s v="Ethylbenzene"/>
    <n v="4.9821990523557999E-2"/>
    <s v="2-DHA"/>
  </r>
  <r>
    <x v="7"/>
    <x v="3"/>
    <s v="2-Methyl-3-ethylpentane"/>
    <n v="9.6330973754236549E-2"/>
    <s v="2-DHA"/>
  </r>
  <r>
    <x v="7"/>
    <x v="5"/>
    <s v="1c,2t,3-Trimethylcyclopentane"/>
    <n v="4.324108922859568E-2"/>
    <s v="2-DHA"/>
  </r>
  <r>
    <x v="7"/>
    <x v="2"/>
    <s v="Octene-1"/>
    <n v="0.26445693023067784"/>
    <s v="2-DHA"/>
  </r>
  <r>
    <x v="7"/>
    <x v="1"/>
    <s v="n-Octane"/>
    <n v="9.3892036470542264E-4"/>
    <s v="2-DHA"/>
  </r>
  <r>
    <x v="8"/>
    <x v="4"/>
    <s v="1,3-Methylethylbenzene"/>
    <n v="6.5752621336127498E-2"/>
    <s v="2-DHA"/>
  </r>
  <r>
    <x v="8"/>
    <x v="3"/>
    <s v="I8 (C9)"/>
    <n v="0.25327729285513123"/>
    <s v="2-DHA"/>
  </r>
  <r>
    <x v="8"/>
    <x v="5"/>
    <s v="1,1,3-Trimethylcyclohexane"/>
    <n v="2.631232685715016E-2"/>
    <s v="2-DHA"/>
  </r>
  <r>
    <x v="8"/>
    <x v="2"/>
    <s v="3,5,5-Trimethylhexene-1"/>
    <n v="4.6675338490491186E-2"/>
    <s v="2-DHA"/>
  </r>
  <r>
    <x v="8"/>
    <x v="1"/>
    <s v="n-Nonane"/>
    <n v="2.0213573857577098E-2"/>
    <s v="2-DHA"/>
  </r>
  <r>
    <x v="9"/>
    <x v="4"/>
    <s v="1,2-Methyl-n-propylbenzene"/>
    <n v="6.6897371090092667E-2"/>
    <s v="2-DHA"/>
  </r>
  <r>
    <x v="9"/>
    <x v="3"/>
    <s v="I15 (C10)"/>
    <n v="8.609871548541978E-2"/>
    <s v="2-DHA"/>
  </r>
  <r>
    <x v="9"/>
    <x v="5"/>
    <s v="Sec-butylcyclohexane"/>
    <n v="5.464911263880029E-2"/>
    <s v="2-DHA"/>
  </r>
  <r>
    <x v="9"/>
    <x v="2"/>
    <s v="Decene-1"/>
    <n v="9.3934330180664119E-2"/>
    <s v="2-DHA"/>
  </r>
  <r>
    <x v="10"/>
    <x v="4"/>
    <s v="1,2-Ethyl-i-propylbenzene"/>
    <n v="3.5749463375675833E-2"/>
    <s v="2-DHA"/>
  </r>
  <r>
    <x v="10"/>
    <x v="3"/>
    <s v="I26 (C11)"/>
    <n v="8.9186156324316007E-2"/>
    <s v="2-DHA"/>
  </r>
  <r>
    <x v="10"/>
    <x v="2"/>
    <s v="Undecene-1"/>
    <n v="5.7420760442119918E-2"/>
    <s v="2-DHA"/>
  </r>
  <r>
    <x v="10"/>
    <x v="1"/>
    <s v="n-Undecane"/>
    <n v="2.3176953146782499E-3"/>
    <s v="2-DHA"/>
  </r>
  <r>
    <x v="11"/>
    <x v="4"/>
    <s v="1,3-Di-i-propylbenzene"/>
    <n v="2.1764343228712183E-2"/>
    <s v="2-DHA"/>
  </r>
  <r>
    <x v="11"/>
    <x v="3"/>
    <s v="I47 (C12)"/>
    <n v="6.2865370725141437E-2"/>
    <s v="2-DHA"/>
  </r>
  <r>
    <x v="11"/>
    <x v="5"/>
    <s v="1t-M-2-(4-MP)cyclopentane"/>
    <n v="5.6560788336308641E-3"/>
    <s v="2-DHA"/>
  </r>
  <r>
    <x v="11"/>
    <x v="2"/>
    <s v="Dodecene-1"/>
    <n v="6.1748816777924195E-3"/>
    <s v="2-DHA"/>
  </r>
  <r>
    <x v="12"/>
    <x v="3"/>
    <s v="(C13-IsoParaffin)"/>
    <n v="2.2708902754767189E-2"/>
    <s v="2-DHA"/>
  </r>
  <r>
    <x v="12"/>
    <x v="2"/>
    <s v="Tridecene-1"/>
    <n v="1.9624281496545765E-3"/>
    <s v="2-DHA"/>
  </r>
  <r>
    <x v="13"/>
    <x v="3"/>
    <s v="(C14-IsoParaffin)"/>
    <n v="5.1654717962172168E-3"/>
    <s v="2-DHA"/>
  </r>
  <r>
    <x v="14"/>
    <x v="3"/>
    <s v="(C15-IsoParaffin)"/>
    <n v="4.0742940750730806E-3"/>
    <s v="2-DHA"/>
  </r>
  <r>
    <x v="15"/>
    <x v="3"/>
    <s v="(C16-IsoParaffin)"/>
    <n v="1.0390154786605049E-2"/>
    <s v="2-DHA"/>
  </r>
  <r>
    <x v="16"/>
    <x v="3"/>
    <s v="(C17-IsoParaffin)"/>
    <n v="3.8487276210897952E-3"/>
    <s v="2-DHA"/>
  </r>
  <r>
    <x v="0"/>
    <x v="1"/>
    <s v="C1"/>
    <n v="0"/>
    <s v="3-ASTM"/>
  </r>
  <r>
    <x v="1"/>
    <x v="1"/>
    <s v="C2"/>
    <n v="0"/>
    <s v="3-ASTM"/>
  </r>
  <r>
    <x v="2"/>
    <x v="1"/>
    <s v="C3"/>
    <n v="0"/>
    <s v="3-ASTM"/>
  </r>
  <r>
    <x v="3"/>
    <x v="1"/>
    <s v="C4"/>
    <n v="0"/>
    <s v="3-ASTM"/>
  </r>
  <r>
    <x v="4"/>
    <x v="1"/>
    <s v="C5"/>
    <n v="0"/>
    <s v="3-ASTM"/>
  </r>
  <r>
    <x v="5"/>
    <x v="1"/>
    <s v="C6"/>
    <n v="0"/>
    <s v="3-ASTM"/>
  </r>
  <r>
    <x v="6"/>
    <x v="1"/>
    <s v="C7"/>
    <n v="0"/>
    <s v="3-ASTM"/>
  </r>
  <r>
    <x v="7"/>
    <x v="1"/>
    <s v="C8"/>
    <n v="1.5745326907267671E-2"/>
    <s v="3-ASTM"/>
  </r>
  <r>
    <x v="8"/>
    <x v="1"/>
    <s v="C9"/>
    <n v="1.9524205365011916E-2"/>
    <s v="3-ASTM"/>
  </r>
  <r>
    <x v="9"/>
    <x v="1"/>
    <s v="C10"/>
    <n v="4.9755233026965842E-2"/>
    <s v="3-ASTM"/>
  </r>
  <r>
    <x v="10"/>
    <x v="1"/>
    <s v="C11"/>
    <n v="5.7312989942454345E-2"/>
    <s v="3-ASTM"/>
  </r>
  <r>
    <x v="11"/>
    <x v="1"/>
    <s v="C12"/>
    <n v="6.6130373010524227E-2"/>
    <s v="3-ASTM"/>
  </r>
  <r>
    <x v="12"/>
    <x v="1"/>
    <s v="C13"/>
    <n v="6.8649625315687066E-2"/>
    <s v="3-ASTM"/>
  </r>
  <r>
    <x v="13"/>
    <x v="1"/>
    <s v="C14"/>
    <n v="6.7389999163105632E-2"/>
    <s v="3-ASTM"/>
  </r>
  <r>
    <x v="14"/>
    <x v="1"/>
    <s v="C15"/>
    <n v="5.9832242247617157E-2"/>
    <s v="3-ASTM"/>
  </r>
  <r>
    <x v="15"/>
    <x v="1"/>
    <s v="C16"/>
    <n v="4.849560687438445E-2"/>
    <s v="3-ASTM"/>
  </r>
  <r>
    <x v="16"/>
    <x v="1"/>
    <s v="C17"/>
    <n v="4.219747611147729E-2"/>
    <s v="3-ASTM"/>
  </r>
  <r>
    <x v="17"/>
    <x v="1"/>
    <s v="C18"/>
    <n v="3.9048410730023846E-2"/>
    <s v="3-ASTM"/>
  </r>
  <r>
    <x v="18"/>
    <x v="1"/>
    <s v="C19"/>
    <n v="1.763476613613979E-2"/>
    <s v="3-ASTM"/>
  </r>
  <r>
    <x v="19"/>
    <x v="1"/>
    <s v="C20"/>
    <n v="1.3855887678395551E-2"/>
    <s v="3-ASTM"/>
  </r>
  <r>
    <x v="20"/>
    <x v="1"/>
    <s v="C21"/>
    <n v="1.2596261525814138E-2"/>
    <s v="3-ASTM"/>
  </r>
  <r>
    <x v="21"/>
    <x v="1"/>
    <s v="C22"/>
    <n v="1.1336635373232725E-2"/>
    <s v="3-ASTM"/>
  </r>
  <r>
    <x v="22"/>
    <x v="1"/>
    <s v="C23"/>
    <n v="1.0077009220651311E-2"/>
    <s v="3-ASTM"/>
  </r>
  <r>
    <x v="23"/>
    <x v="1"/>
    <s v="C24"/>
    <n v="9.4471961443606031E-3"/>
    <s v="3-ASTM"/>
  </r>
  <r>
    <x v="24"/>
    <x v="1"/>
    <s v="C25"/>
    <n v="8.1875699917791887E-3"/>
    <s v="3-ASTM"/>
  </r>
  <r>
    <x v="25"/>
    <x v="1"/>
    <s v="C26"/>
    <n v="6.9279438391977761E-3"/>
    <s v="3-ASTM"/>
  </r>
  <r>
    <x v="26"/>
    <x v="1"/>
    <s v="C27"/>
    <n v="5.6683176866163627E-3"/>
    <s v="3-ASTM"/>
  </r>
  <r>
    <x v="27"/>
    <x v="1"/>
    <s v="C28"/>
    <n v="0"/>
    <s v="3-ASTM"/>
  </r>
  <r>
    <x v="28"/>
    <x v="1"/>
    <s v="C29"/>
    <n v="0"/>
    <s v="3-ASTM"/>
  </r>
  <r>
    <x v="29"/>
    <x v="1"/>
    <s v="C30"/>
    <n v="0"/>
    <s v="3-ASTM"/>
  </r>
  <r>
    <x v="30"/>
    <x v="1"/>
    <s v="C31"/>
    <n v="0"/>
    <s v="3-ASTM"/>
  </r>
  <r>
    <x v="31"/>
    <x v="1"/>
    <s v="C32"/>
    <n v="0"/>
    <s v="3-ASTM"/>
  </r>
  <r>
    <x v="32"/>
    <x v="1"/>
    <s v="C33"/>
    <n v="0"/>
    <s v="3-ASTM"/>
  </r>
  <r>
    <x v="33"/>
    <x v="1"/>
    <s v="C34"/>
    <n v="0"/>
    <s v="3-ASTM"/>
  </r>
  <r>
    <x v="34"/>
    <x v="1"/>
    <s v="C35"/>
    <n v="0"/>
    <s v="3-ASTM"/>
  </r>
  <r>
    <x v="35"/>
    <x v="1"/>
    <s v="C36"/>
    <n v="0"/>
    <s v="3-ASTM"/>
  </r>
  <r>
    <x v="36"/>
    <x v="1"/>
    <s v="C37"/>
    <n v="0"/>
    <s v="3-ASTM"/>
  </r>
  <r>
    <x v="37"/>
    <x v="1"/>
    <s v="C38"/>
    <n v="0"/>
    <s v="3-ASTM"/>
  </r>
  <r>
    <x v="38"/>
    <x v="1"/>
    <s v="C39"/>
    <n v="0"/>
    <s v="3-ASTM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1.284207492384301"/>
    <n v="11.284207492384301"/>
    <n v="5.7279936180240245"/>
    <n v="5.5562138743602763"/>
    <n v="0.10862232982029044"/>
    <n v="3.3720696605982724E-2"/>
  </r>
  <r>
    <n v="2"/>
    <x v="0"/>
    <s v="METHANOL"/>
    <s v="CH4O"/>
    <s v="MEOH"/>
    <n v="0.64499028268648395"/>
    <n v="0.64499028268648395"/>
    <n v="0.32740449211068706"/>
    <n v="0.31758579057579689"/>
    <n v="6.2087078125900533E-3"/>
    <n v="1.9274301408368007E-3"/>
  </r>
  <r>
    <n v="3"/>
    <x v="1"/>
    <s v="ETHANE"/>
    <s v="C2H6"/>
    <s v="C2"/>
    <n v="0.75254127723175746"/>
    <n v="1.5050825544635149"/>
    <n v="0.76399722996804897"/>
    <n v="0.74108532449546594"/>
    <n v="1.4487997827763924E-2"/>
    <n v="4.4976514496276685E-3"/>
  </r>
  <r>
    <n v="4"/>
    <x v="1"/>
    <s v="ETHYLENE"/>
    <s v="C2H4"/>
    <s v="C2-O"/>
    <n v="2.9665605763140062"/>
    <n v="5.9331211526280123"/>
    <n v="3.0117205944815315"/>
    <n v="2.9214005581464808"/>
    <n v="5.711251261016366E-2"/>
    <n v="1.7729998181027249E-2"/>
  </r>
  <r>
    <n v="5"/>
    <x v="2"/>
    <s v="PROPANE"/>
    <s v="C3H8"/>
    <s v="C3"/>
    <n v="0.32611293825283549"/>
    <n v="0.97833881475850648"/>
    <n v="0.49661604423562683"/>
    <n v="0.48172277052287965"/>
    <n v="9.417536985597939E-3"/>
    <n v="2.9235784943332016E-3"/>
  </r>
  <r>
    <n v="6"/>
    <x v="2"/>
    <s v="PROPYLENE"/>
    <s v="C3H6-2"/>
    <s v="C3-O"/>
    <n v="2.9824519040758708"/>
    <n v="8.9473557122276119"/>
    <n v="4.5417807544233302"/>
    <n v="4.4055749578042818"/>
    <n v="8.6127680995672029E-2"/>
    <n v="2.6737461855558593E-2"/>
  </r>
  <r>
    <n v="7"/>
    <x v="3"/>
    <s v="N-BUTANE"/>
    <s v="C4H10-1"/>
    <s v="C4"/>
    <n v="0.23449560985954729"/>
    <n v="0.93798243943818915"/>
    <n v="0.47613068357229532"/>
    <n v="0.46185175586589383"/>
    <n v="9.0290645551367437E-3"/>
    <n v="2.8029811826290325E-3"/>
  </r>
  <r>
    <n v="8"/>
    <x v="3"/>
    <s v="ISOBUTANE"/>
    <s v="C4H10-2"/>
    <s v="C4-IP"/>
    <n v="6.9756425894330794E-3"/>
    <n v="2.7902570357732318E-2"/>
    <n v="1.4163665905950706E-2"/>
    <n v="1.3738904451781612E-2"/>
    <n v="2.6859149854138812E-4"/>
    <n v="8.338149667977895E-5"/>
  </r>
  <r>
    <n v="9"/>
    <x v="3"/>
    <s v="1-BUTENE"/>
    <s v="C4H8-1"/>
    <s v="C4-O"/>
    <n v="1.762837446437644"/>
    <n v="7.0513497857505758"/>
    <n v="3.5793463208199241"/>
    <n v="3.4720034649306517"/>
    <n v="6.7876635787046752E-2"/>
    <n v="2.1071610651295761E-2"/>
  </r>
  <r>
    <n v="10"/>
    <x v="4"/>
    <s v="N-PENTANE"/>
    <s v="C5H12-1"/>
    <s v="C5"/>
    <n v="0.1513839268527066"/>
    <n v="0.75691963426353304"/>
    <n v="0.38422111941354398"/>
    <n v="0.37269851484998906"/>
    <n v="7.2861451914913991E-3"/>
    <n v="2.261909607682952E-3"/>
  </r>
  <r>
    <n v="11"/>
    <x v="4"/>
    <s v="2-METHYL-1-BUTANE"/>
    <s v="C5H12-5"/>
    <s v="C5-IP"/>
    <n v="2.0128986437333369E-2"/>
    <n v="0.10064493218666684"/>
    <n v="5.1088526122969935E-2"/>
    <n v="4.9556406063696906E-2"/>
    <n v="9.6881300934062746E-4"/>
    <n v="3.0075813702351551E-4"/>
  </r>
  <r>
    <n v="12"/>
    <x v="4"/>
    <s v="1-PENTENE"/>
    <s v="C5H10-2"/>
    <s v="C5-O"/>
    <n v="1.3749473586741281"/>
    <n v="6.8747367933706407"/>
    <n v="3.489695532858506"/>
    <n v="3.3850412605121347"/>
    <n v="6.6176550537658252E-2"/>
    <n v="2.0543836491104365E-2"/>
  </r>
  <r>
    <n v="13"/>
    <x v="4"/>
    <s v="CYCLOPENTANE"/>
    <m/>
    <s v="C5-N"/>
    <n v="8.4192678949261014E-3"/>
    <n v="4.2096339474630505E-2"/>
    <n v="2.1368586497154812E-2"/>
    <n v="2.0727752977475693E-2"/>
    <n v="4.0522140998614837E-4"/>
    <n v="1.2579686190674006E-4"/>
  </r>
  <r>
    <n v="14"/>
    <x v="5"/>
    <s v="2,2-DIMETHYL-BUTANE"/>
    <s v="C6H14-4"/>
    <s v="C6-IP"/>
    <n v="0.41390825335664821"/>
    <n v="2.4834495201398892"/>
    <n v="1.2606275639336366"/>
    <n v="1.2228219562062526"/>
    <n v="2.3905805795465609E-2"/>
    <n v="7.4213140675966011E-3"/>
  </r>
  <r>
    <n v="15"/>
    <x v="5"/>
    <s v="N-HEXANE"/>
    <s v="C6H14-1"/>
    <s v="C6"/>
    <n v="5.004680067811804E-3"/>
    <n v="3.0028080406870824E-2"/>
    <n v="1.524259927408738E-2"/>
    <n v="1.4785481132783444E-2"/>
    <n v="2.8905176159040453E-4"/>
    <n v="8.9733177074555407E-5"/>
  </r>
  <r>
    <n v="16"/>
    <x v="5"/>
    <s v="2-METHYL-1-PENTENE"/>
    <s v="C6H12-D2"/>
    <s v="C6-O"/>
    <n v="0.42227517162425893"/>
    <n v="2.5336510297455535"/>
    <n v="1.2861104280896252"/>
    <n v="1.2475406016559283"/>
    <n v="2.4389047967106212E-2"/>
    <n v="7.5713316807712455E-3"/>
  </r>
  <r>
    <n v="17"/>
    <x v="5"/>
    <s v="BENZENE"/>
    <m/>
    <s v="C6-A"/>
    <n v="2.2556645398328469E-3"/>
    <n v="1.3533987238997082E-2"/>
    <n v="6.8700077150933092E-3"/>
    <n v="6.6639795239037724E-3"/>
    <n v="1.3027881901764984E-4"/>
    <n v="4.0443733231905712E-5"/>
  </r>
  <r>
    <n v="18"/>
    <x v="5"/>
    <s v="CYCLOHEXANE"/>
    <m/>
    <s v="C6-N"/>
    <n v="2.71835772856606E-2"/>
    <n v="0.16310146371396361"/>
    <n v="8.2792180476518262E-2"/>
    <n v="8.030928323744535E-2"/>
    <n v="1.5700226176864531E-3"/>
    <n v="4.8739754011100381E-4"/>
  </r>
  <r>
    <n v="19"/>
    <x v="6"/>
    <s v="N-HEPTANE"/>
    <s v="C7H16-1"/>
    <s v="C7"/>
    <n v="3.6542649360789502E-5"/>
    <n v="2.5579854552552651E-4"/>
    <n v="1.2984628625970534E-4"/>
    <n v="1.2595225926582116E-4"/>
    <n v="2.4623292329901479E-6"/>
    <n v="7.644050458784471E-7"/>
  </r>
  <r>
    <n v="20"/>
    <x v="6"/>
    <s v="2-METHYLHEXANE"/>
    <s v="C7H16-2"/>
    <s v="C7-IP"/>
    <n v="0.2307181649094554"/>
    <n v="1.6150271543661878"/>
    <n v="0.81980637447409788"/>
    <n v="0.79522077989208995"/>
    <n v="1.5546329890573647E-2"/>
    <n v="4.8261998655697112E-3"/>
  </r>
  <r>
    <n v="21"/>
    <x v="6"/>
    <s v="1-HEPTENE"/>
    <s v="C7H14-7"/>
    <s v="C7-O"/>
    <n v="0.16140389481812589"/>
    <n v="1.1298272637268814"/>
    <n v="0.57351332474742489"/>
    <n v="0.55631393897945647"/>
    <n v="1.0875772158862212E-2"/>
    <n v="3.3762727602283521E-3"/>
  </r>
  <r>
    <n v="22"/>
    <x v="6"/>
    <s v="TOLUENE"/>
    <s v="C7H8"/>
    <s v="C7-A"/>
    <n v="6.0310830633780749E-3"/>
    <n v="4.2217581443646526E-2"/>
    <n v="2.1430130316269193E-2"/>
    <n v="2.0787451127377333E-2"/>
    <n v="4.0638849107318156E-4"/>
    <n v="1.2615917035027589E-4"/>
  </r>
  <r>
    <n v="23"/>
    <x v="6"/>
    <s v="1c,3-Dimethylcyclopentane"/>
    <m/>
    <s v="C7-N"/>
    <n v="2.454726935473096E-2"/>
    <n v="0.17183088548311673"/>
    <n v="8.7223335452753445E-2"/>
    <n v="8.4607550030363285E-2"/>
    <n v="1.6540524559528374E-3"/>
    <n v="5.1348374804558296E-4"/>
  </r>
  <r>
    <n v="24"/>
    <x v="7"/>
    <s v="N-OCTANE"/>
    <s v="C8H18-1"/>
    <s v="C8"/>
    <n v="1.6684247271973089E-2"/>
    <n v="0.13347397817578471"/>
    <n v="6.7752927769110821E-2"/>
    <n v="6.5721050406673892E-2"/>
    <n v="1.2848270017740448E-3"/>
    <n v="3.9886146420976441E-4"/>
  </r>
  <r>
    <n v="25"/>
    <x v="7"/>
    <s v="2,2,4-TRIMETHYLPENTANE"/>
    <s v="C8H18-13"/>
    <s v="C8-IP"/>
    <n v="9.6330973754236549E-2"/>
    <n v="0.77064779003389239"/>
    <n v="0.39118968931027165"/>
    <n v="0.37945810072362074"/>
    <n v="7.4182930862300147E-3"/>
    <n v="2.302933576446765E-3"/>
  </r>
  <r>
    <n v="26"/>
    <x v="7"/>
    <s v="1-OCTENE"/>
    <s v="C8H16-16"/>
    <s v="C8-O"/>
    <n v="0.26445693023067779"/>
    <n v="2.1156554418454223"/>
    <n v="1.0739310560362447"/>
    <n v="1.0417243858091776"/>
    <n v="2.0365402120204056E-2"/>
    <n v="6.322231785033554E-3"/>
  </r>
  <r>
    <n v="27"/>
    <x v="7"/>
    <s v="1-METHYL-1-ETHYLCYCLOPENTANE"/>
    <s v="C8H16-13"/>
    <s v="C8-N"/>
    <n v="4.324108922859568E-2"/>
    <n v="0.34592871382876544"/>
    <n v="0.175597397197785"/>
    <n v="0.17033131663098044"/>
    <n v="3.3299266140911304E-3"/>
    <n v="1.0337418214075101E-3"/>
  </r>
  <r>
    <n v="28"/>
    <x v="7"/>
    <s v="M-XYLENE"/>
    <s v="C8H10-2"/>
    <s v="C8-A"/>
    <n v="9.2257204393543096E-2"/>
    <n v="0.73805763514834477"/>
    <n v="0.37464655153822884"/>
    <n v="0.36341108361011593"/>
    <n v="7.1045786711714954E-3"/>
    <n v="2.2055441296487308E-3"/>
  </r>
  <r>
    <n v="29"/>
    <x v="8"/>
    <s v="N-NONANE"/>
    <s v="C9H20-1"/>
    <s v="C9"/>
    <n v="3.9737779222589018E-2"/>
    <n v="0.35764001300330117"/>
    <n v="0.18154218747001141"/>
    <n v="0.17609782553328976"/>
    <n v="3.4426601492037255E-3"/>
    <n v="1.0687387998477721E-3"/>
  </r>
  <r>
    <n v="30"/>
    <x v="8"/>
    <s v="3-METHYLOCTANE"/>
    <s v="C9H20-D2"/>
    <s v="C9-IP"/>
    <n v="0.25327729285513118"/>
    <n v="2.2794956356961804"/>
    <n v="1.1570982244338781"/>
    <n v="1.1223974112623023"/>
    <n v="2.1942535790095218E-2"/>
    <n v="6.8118368789167969E-3"/>
  </r>
  <r>
    <n v="31"/>
    <x v="8"/>
    <s v="1-NONENE"/>
    <s v="C9H18-3"/>
    <s v="C9-O"/>
    <n v="4.6675338490491193E-2"/>
    <n v="0.42007804641442076"/>
    <n v="0.21323645196685251"/>
    <n v="0.20684159444756825"/>
    <n v="4.0436916937840808E-3"/>
    <n v="1.2553229248518135E-3"/>
  </r>
  <r>
    <n v="32"/>
    <x v="8"/>
    <s v="ISOPROPYLCYCLOHEXANE"/>
    <s v="C9H18-2"/>
    <s v="C9-N"/>
    <n v="2.631232685715016E-2"/>
    <n v="0.23681094171435144"/>
    <n v="0.12020795999484518"/>
    <n v="0.11660298171950625"/>
    <n v="2.2795536357613283E-3"/>
    <n v="7.0766422222527019E-4"/>
  </r>
  <r>
    <n v="33"/>
    <x v="8"/>
    <s v="INDANE"/>
    <s v="C9H10-E1"/>
    <s v="C9-A"/>
    <n v="9.6083936741219886E-2"/>
    <n v="0.86475543067097893"/>
    <n v="0.43895981099053433"/>
    <n v="0.4257956196804446"/>
    <n v="8.3241778093521238E-3"/>
    <n v="2.5841562675723716E-3"/>
  </r>
  <r>
    <n v="34"/>
    <x v="9"/>
    <s v="N-DECANE"/>
    <s v="C10H22-1"/>
    <s v="C10"/>
    <n v="5.4094226948684793E-2"/>
    <n v="0.54094226948684798"/>
    <n v="0.27458852289195151"/>
    <n v="0.26635374659489647"/>
    <n v="5.2071365800028776E-3"/>
    <n v="1.6165025468583896E-3"/>
  </r>
  <r>
    <n v="35"/>
    <x v="9"/>
    <s v="2-METHYLNONANE"/>
    <s v="C10H22-E2"/>
    <s v="C10-IP"/>
    <n v="8.609871548541978E-2"/>
    <n v="0.86098715485419786"/>
    <n v="0.43704699080851944"/>
    <n v="0.42394016404567841"/>
    <n v="8.2879042031728262E-3"/>
    <n v="2.5728954957697356E-3"/>
  </r>
  <r>
    <n v="36"/>
    <x v="9"/>
    <s v="1-DECENE"/>
    <s v="C10H20-5"/>
    <s v="C10-O"/>
    <n v="9.3934821032975041E-2"/>
    <n v="0.93934821032975035"/>
    <n v="0.47682396459852822"/>
    <n v="0.46252424573122214"/>
    <n v="9.0422115321257997E-3"/>
    <n v="2.8070625278097824E-3"/>
  </r>
  <r>
    <n v="37"/>
    <x v="9"/>
    <s v="1-PROPYL-1-METHYLCYCLOHEXANE"/>
    <s v="C10H20-N24"/>
    <s v="C10-N"/>
    <n v="5.464911263880029E-2"/>
    <n v="0.5464911263880029"/>
    <n v="0.27740518652903856"/>
    <n v="0.26908593985896434"/>
    <n v="5.2605501462501857E-3"/>
    <n v="1.6330842447933257E-3"/>
  </r>
  <r>
    <n v="38"/>
    <x v="9"/>
    <s v="1,2-DIMETHYL-3-ETHYLBENZENE"/>
    <s v="C10H14-D3"/>
    <s v="C10-A"/>
    <n v="6.6897371090092667E-2"/>
    <n v="0.66897371090092661"/>
    <n v="0.33957875635063306"/>
    <n v="0.32939495455029355"/>
    <n v="6.4395734583599182E-3"/>
    <n v="1.999100030542073E-3"/>
  </r>
  <r>
    <n v="39"/>
    <x v="10"/>
    <s v="N-UNDECANE"/>
    <s v="C11H24"/>
    <s v="C11"/>
    <n v="5.9630685257132603E-2"/>
    <n v="0.65593753782845865"/>
    <n v="0.33296144483691364"/>
    <n v="0.32297609299154501"/>
    <n v="6.3140866227068444E-3"/>
    <n v="1.9601439197672178E-3"/>
  </r>
  <r>
    <n v="40"/>
    <x v="10"/>
    <s v="3-ETHYLNONANE"/>
    <s v="C11H24-N8"/>
    <s v="C11-IP"/>
    <n v="8.9186156324316007E-2"/>
    <n v="0.98104771956747605"/>
    <n v="0.4979911154994337"/>
    <n v="0.48305660406804235"/>
    <n v="9.4436130349625259E-3"/>
    <n v="2.931673538425523E-3"/>
  </r>
  <r>
    <n v="41"/>
    <x v="10"/>
    <s v="1-ETHYL-2-ISOPROPYLBENZENE"/>
    <s v="C11H16-D1"/>
    <s v="C11-A"/>
    <n v="3.5749463375675833E-2"/>
    <n v="0.39324409713243413"/>
    <n v="0.19961523042007265"/>
    <n v="0.19362886671236149"/>
    <n v="3.7853867936609598E-3"/>
    <n v="1.1751347979418035E-3"/>
  </r>
  <r>
    <n v="42"/>
    <x v="10"/>
    <s v="Undecene-1"/>
    <m/>
    <s v="C11-O"/>
    <n v="5.7420760442119918E-2"/>
    <n v="0.63162836486331908"/>
    <n v="0.32062182881179746"/>
    <n v="0.31100653605152162"/>
    <n v="6.0800853421330908E-3"/>
    <n v="1.8875006041552832E-3"/>
  </r>
  <r>
    <n v="43"/>
    <x v="11"/>
    <s v="2-METHYLUNDECANE"/>
    <s v="C12H26-N9"/>
    <s v="C12-IP"/>
    <n v="6.2865370725141437E-2"/>
    <n v="0.7543844487016973"/>
    <n v="0.38293423003930105"/>
    <n v="0.37145021866239625"/>
    <n v="7.2617413720438024E-3"/>
    <n v="2.2543336903464244E-3"/>
  </r>
  <r>
    <n v="44"/>
    <x v="11"/>
    <s v="N-DODECANE"/>
    <s v="C12H26"/>
    <s v="C12"/>
    <n v="6.6130373010524227E-2"/>
    <n v="0.79356447612629077"/>
    <n v="0.40282246296957464"/>
    <n v="0.39074201315671614"/>
    <n v="7.6388902204812727E-3"/>
    <n v="2.3714157112761582E-3"/>
  </r>
  <r>
    <n v="45"/>
    <x v="11"/>
    <s v="1-DODECENE"/>
    <s v="C12H24-2"/>
    <s v="C12-O"/>
    <n v="6.1748816777924204E-3"/>
    <n v="7.4098580133509048E-2"/>
    <n v="3.7613292240135883E-2"/>
    <n v="3.6485287893373165E-2"/>
    <n v="7.132765341216332E-4"/>
    <n v="2.2142943944468383E-4"/>
  </r>
  <r>
    <n v="46"/>
    <x v="11"/>
    <s v="1,2,4-TRIETHYLBENZENE"/>
    <s v="C12H18-D6"/>
    <s v="C12-A"/>
    <n v="2.176434322871218E-2"/>
    <n v="0.26117211874454616"/>
    <n v="0.13257397388201311"/>
    <n v="0.12859814486253304"/>
    <n v="2.5140555099930975E-3"/>
    <n v="7.8046294204270046E-4"/>
  </r>
  <r>
    <n v="47"/>
    <x v="11"/>
    <m/>
    <m/>
    <s v="C12-N"/>
    <n v="5.6560788336308641E-3"/>
    <n v="6.787294600357037E-2"/>
    <n v="3.445308869119295E-2"/>
    <n v="3.341985731237742E-2"/>
    <n v="6.5334827737351412E-4"/>
    <n v="2.0282532215800715E-4"/>
  </r>
  <r>
    <n v="48"/>
    <x v="12"/>
    <s v="2-METHYLDODECANE"/>
    <s v="C13H28-N1"/>
    <s v="C13-IP"/>
    <n v="2.2708902754767189E-2"/>
    <n v="0.29521573581197347"/>
    <n v="0.14985490578868746"/>
    <n v="0.14536083002328601"/>
    <n v="2.8417610226637454E-3"/>
    <n v="8.8219578267645675E-4"/>
  </r>
  <r>
    <n v="49"/>
    <x v="12"/>
    <s v="1-TRIDECENE"/>
    <s v="C13H26-2"/>
    <s v="C13-O"/>
    <n v="1.9624281496545761E-3"/>
    <n v="2.551156594550949E-2"/>
    <n v="1.2949964542950883E-2"/>
    <n v="1.2561601402558607E-2"/>
    <n v="2.4557557384826989E-4"/>
    <n v="7.6236437142142234E-5"/>
  </r>
  <r>
    <n v="50"/>
    <x v="12"/>
    <s v="N-TRIDECANE"/>
    <s v="C13H28"/>
    <s v="C13"/>
    <n v="6.8649625315687066E-2"/>
    <n v="0.89244512910393181"/>
    <n v="0.45301542065705341"/>
    <n v="0.4394297084468784"/>
    <n v="8.590720192398385E-3"/>
    <n v="2.6669016372050129E-3"/>
  </r>
  <r>
    <n v="51"/>
    <x v="13"/>
    <s v="2-METHYLTRIDECANE"/>
    <s v="C14H30-N1"/>
    <s v="C14-IP"/>
    <n v="5.1654717962172168E-3"/>
    <n v="7.2316605147041038E-2"/>
    <n v="3.6708741224315229E-2"/>
    <n v="3.5607863922725809E-2"/>
    <n v="6.9612315628430873E-4"/>
    <n v="2.1610434790248276E-4"/>
  </r>
  <r>
    <n v="52"/>
    <x v="13"/>
    <s v="N-TETRADECANE"/>
    <s v="C14H30"/>
    <s v=" C14 "/>
    <n v="6.7389999163105632E-2"/>
    <n v="0.94345998828347888"/>
    <n v="0.47891115041938309"/>
    <n v="0.46454883786409579"/>
    <n v="9.081791706572178E-3"/>
    <n v="2.8193497900727655E-3"/>
  </r>
  <r>
    <n v="53"/>
    <x v="14"/>
    <s v="2-METHYLTETRADECANE"/>
    <s v="C15H32-N1"/>
    <s v="C15-IP "/>
    <n v="4.0742940750730806E-3"/>
    <n v="6.111441112609621E-2"/>
    <n v="3.1022378588468232E-2"/>
    <n v="3.0092032537627978E-2"/>
    <n v="5.8829029212657531E-4"/>
    <n v="1.8262873287532426E-4"/>
  </r>
  <r>
    <n v="54"/>
    <x v="14"/>
    <s v="N-PENTADECANE"/>
    <s v="C15H32"/>
    <s v="C15"/>
    <n v="5.9832242247617157E-2"/>
    <n v="0.89748363371425732"/>
    <n v="0.45557302359654273"/>
    <n v="0.4419106101177146"/>
    <n v="8.639221082687153E-3"/>
    <n v="2.6819582448956549E-3"/>
  </r>
  <r>
    <n v="55"/>
    <x v="15"/>
    <s v="2-METHYLPENTADECANE"/>
    <s v="C16H34-N1"/>
    <s v="C16-IP"/>
    <n v="1.0390154786605051E-2"/>
    <n v="0.16624247658568081"/>
    <n v="8.4386594767062811E-2"/>
    <n v="8.1855881818617998E-2"/>
    <n v="1.600258160266799E-3"/>
    <n v="4.9678385653190843E-4"/>
  </r>
  <r>
    <n v="56"/>
    <x v="15"/>
    <s v="N-HEXADECANE"/>
    <s v="C16H34"/>
    <s v="C16"/>
    <n v="4.849560687438445E-2"/>
    <n v="0.77592970999015121"/>
    <n v="0.39387085268136202"/>
    <n v="0.38205885730878919"/>
    <n v="7.4691371044705804E-3"/>
    <n v="2.3187175843589107E-3"/>
  </r>
  <r>
    <n v="57"/>
    <x v="16"/>
    <s v="14-METHYLHEXADECANE"/>
    <s v="C17H36-N10"/>
    <s v="C17-IP"/>
    <n v="3.8487276210897952E-3"/>
    <n v="6.5428369558526517E-2"/>
    <n v="3.3212193547654215E-2"/>
    <n v="3.2216176010872302E-2"/>
    <n v="6.2981666568845093E-4"/>
    <n v="1.955201728429942E-4"/>
  </r>
  <r>
    <n v="58"/>
    <x v="16"/>
    <s v="N-HEPTADECANE"/>
    <s v="C17H36"/>
    <s v="C17"/>
    <n v="4.219747611147729E-2"/>
    <n v="0.71735709389511393"/>
    <n v="0.3641387185097974"/>
    <n v="0.35321837538531653"/>
    <n v="6.9053142548636147E-3"/>
    <n v="2.1436845199551899E-3"/>
  </r>
  <r>
    <n v="59"/>
    <x v="17"/>
    <s v="N-OCTADECANE"/>
    <s v="C18H38"/>
    <s v="C18"/>
    <n v="3.9048410730023853E-2"/>
    <n v="0.70287139314042935"/>
    <n v="0.3567856100587663"/>
    <n v="0.34608578308166305"/>
    <n v="6.7658741952834169E-3"/>
    <n v="2.1003967728445987E-3"/>
  </r>
  <r>
    <n v="60"/>
    <x v="18"/>
    <s v="N-NONADECANE"/>
    <s v="C19H40"/>
    <s v="C19"/>
    <n v="1.763476613613979E-2"/>
    <n v="0.33506055658665601"/>
    <n v="0.1700805954760426"/>
    <n v="0.16497996111061342"/>
    <n v="3.2253092042032034E-3"/>
    <n v="1.0012644114277109E-3"/>
  </r>
  <r>
    <n v="61"/>
    <x v="19"/>
    <s v="N-EICOSANE"/>
    <s v="C20H42"/>
    <s v="C20"/>
    <n v="1.3855887678395551E-2"/>
    <n v="0.27711775356791102"/>
    <n v="0.14066816167191493"/>
    <n v="0.13644959189599609"/>
    <n v="2.6675489658823485E-3"/>
    <n v="8.2811342298532505E-4"/>
  </r>
  <r>
    <n v="62"/>
    <x v="20"/>
    <s v="N-HENEICOSANE"/>
    <s v="C21H44"/>
    <s v="C21"/>
    <n v="1.259626152581414E-2"/>
    <n v="0.26452149204209696"/>
    <n v="0.13427415432319156"/>
    <n v="0.1302473377189054"/>
    <n v="2.5462967401604247E-3"/>
    <n v="7.9047190375871961E-4"/>
  </r>
  <r>
    <n v="63"/>
    <x v="21"/>
    <s v="N-DOCOSANE"/>
    <s v="C22H46"/>
    <s v="C22"/>
    <n v="1.1336635373232731E-2"/>
    <n v="0.24940597821112007"/>
    <n v="0.12660134550472352"/>
    <n v="0.12280463270639655"/>
    <n v="2.4007940692941155E-3"/>
    <n v="7.4530208068679295E-4"/>
  </r>
  <r>
    <n v="64"/>
    <x v="22"/>
    <s v="N-TRICOSANE"/>
    <s v="C23H48"/>
    <s v="C23"/>
    <n v="1.0077009220651309E-2"/>
    <n v="0.23177121207498011"/>
    <n v="0.11764973521651066"/>
    <n v="0.11412147685846945"/>
    <n v="2.2310409532834189E-3"/>
    <n v="6.9260395376954454E-4"/>
  </r>
  <r>
    <n v="65"/>
    <x v="23"/>
    <s v="N-TETRACOSANE"/>
    <s v="C24H50"/>
    <s v="C24"/>
    <n v="9.4471961443606031E-3"/>
    <n v="0.22673270746465446"/>
    <n v="0.11509213227702131"/>
    <n v="0.11164057518763315"/>
    <n v="2.1825400629946492E-3"/>
    <n v="6.7754734607890221E-4"/>
  </r>
  <r>
    <n v="66"/>
    <x v="24"/>
    <s v="N-PENTACOSANE"/>
    <s v="C25H52"/>
    <s v="C25"/>
    <n v="8.1875699917791887E-3"/>
    <n v="0.20468924979447972"/>
    <n v="0.10390261941675534"/>
    <n v="0.10078663037772438"/>
    <n v="1.9703486679812803E-3"/>
    <n v="6.1167468743234226E-4"/>
  </r>
  <r>
    <n v="67"/>
    <x v="25"/>
    <s v="N-HEXACOSANE"/>
    <s v="C26H54"/>
    <s v="C26"/>
    <n v="6.9279438391977761E-3"/>
    <n v="0.18012653981914217"/>
    <n v="9.1434305086744716E-2"/>
    <n v="8.8692234732397457E-2"/>
    <n v="1.7339068278235269E-3"/>
    <n v="5.382737249404612E-4"/>
  </r>
  <r>
    <n v="68"/>
    <x v="26"/>
    <s v="N-HEPTACOSANE"/>
    <s v="C27H56"/>
    <s v="C27"/>
    <n v="5.6683176866163627E-3"/>
    <n v="0.15304457753864179"/>
    <n v="7.7687189286989394E-2"/>
    <n v="7.5357388251652391E-2"/>
    <n v="1.4732145425213883E-3"/>
    <n v="4.5734445860325904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la pivot6" cacheId="26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5:AI33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la pivot4" cacheId="22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>
  <location ref="N17:P98" firstHeaderRow="1" firstDataRow="1" firstDataCol="2"/>
  <pivotFields count="5">
    <pivotField axis="axisRow" compact="0" outline="0" showAll="0" sortType="ascending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sd="0" m="1" x="39"/>
      </items>
    </pivotField>
    <pivotField axis="axisRow" compact="0" outline="0" showAll="0" sortType="ascending" defaultSubtotal="0">
      <items count="7">
        <item x="4"/>
        <item x="3"/>
        <item x="5"/>
        <item x="2"/>
        <item x="0"/>
        <item x="1"/>
        <item m="1" x="6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la pivot4" cacheId="13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 chartFormat="2">
  <location ref="N17:P98" firstHeaderRow="1" firstDataRow="1" firstDataCol="2"/>
  <pivotFields count="6">
    <pivotField axis="axisRow" compact="0" outline="0" showAll="0" sortType="ascending" defaultSubtotal="0">
      <items count="39">
        <item x="4"/>
        <item x="5"/>
        <item x="6"/>
        <item x="7"/>
        <item x="8"/>
        <item x="9"/>
        <item x="1"/>
        <item x="0"/>
        <item x="2"/>
        <item x="3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outline="0" showAll="0" sortType="ascending" defaultSubtotal="0">
      <items count="6">
        <item x="1"/>
        <item x="4"/>
        <item x="5"/>
        <item x="0"/>
        <item x="3"/>
        <item x="2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la pivot5" cacheId="1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7:AI35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ella pivot9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H7:J36" firstHeaderRow="1" firstDataRow="2" firstDataCol="1"/>
  <pivotFields count="4"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dataField="1" showAll="0"/>
    <pivotField dataField="1" showAl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5%" fld="2" showDataAs="percentOfCol" baseField="0" baseItem="0" numFmtId="10"/>
    <dataField name="Somma di 10%" fld="3" showDataAs="percentOfCol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27" displayName="Tabella27" ref="R1:U46" totalsRowShown="0" headerRowDxfId="28" dataDxfId="26" headerRowBorderDxfId="27" tableBorderDxfId="25" totalsRowBorderDxfId="24">
  <autoFilter ref="R1:U46" xr:uid="{00000000-0009-0000-0100-000001000000}"/>
  <sortState xmlns:xlrd2="http://schemas.microsoft.com/office/spreadsheetml/2017/richdata2" ref="R2:U46">
    <sortCondition ref="T1:T46"/>
  </sortState>
  <tableColumns count="4">
    <tableColumn id="1" xr3:uid="{00000000-0010-0000-0000-000001000000}" name="Component name" dataDxfId="23"/>
    <tableColumn id="3" xr3:uid="{00000000-0010-0000-0000-000003000000}" name="Vol %" dataDxfId="22"/>
    <tableColumn id="4" xr3:uid="{00000000-0010-0000-0000-000004000000}" name="Carbon number" dataDxfId="21"/>
    <tableColumn id="5" xr3:uid="{00000000-0010-0000-0000-000005000000}" name="Clas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4" displayName="Tabella4" ref="B3:F127" totalsRowShown="0">
  <autoFilter ref="B3:F127" xr:uid="{00000000-0009-0000-0100-000002000000}"/>
  <sortState xmlns:xlrd2="http://schemas.microsoft.com/office/spreadsheetml/2017/richdata2" ref="B4:F127">
    <sortCondition ref="F3:F127"/>
  </sortState>
  <tableColumns count="5">
    <tableColumn id="1" xr3:uid="{00000000-0010-0000-0100-000001000000}" name="Cn"/>
    <tableColumn id="2" xr3:uid="{00000000-0010-0000-0100-000002000000}" name="Class"/>
    <tableColumn id="3" xr3:uid="{00000000-0010-0000-0100-000003000000}" name="Name"/>
    <tableColumn id="4" xr3:uid="{00000000-0010-0000-0100-000004000000}" name="mol"/>
    <tableColumn id="5" xr3:uid="{00000000-0010-0000-0100-000005000000}" name="Colon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11" displayName="Tabella11" ref="R5:AB73" totalsRowShown="0">
  <autoFilter ref="R5:AB73" xr:uid="{00000000-0009-0000-0100-000003000000}"/>
  <tableColumns count="11">
    <tableColumn id="1" xr3:uid="{00000000-0010-0000-0200-000001000000}" name="Colonna1"/>
    <tableColumn id="2" xr3:uid="{00000000-0010-0000-0200-000002000000}" name="Nc" dataDxfId="19"/>
    <tableColumn id="3" xr3:uid="{00000000-0010-0000-0200-000003000000}" name="Colonna2" dataDxfId="18"/>
    <tableColumn id="4" xr3:uid="{00000000-0010-0000-0200-000004000000}" name="Colonna3" dataDxfId="17"/>
    <tableColumn id="5" xr3:uid="{00000000-0010-0000-0200-000005000000}" name="Colonna4" dataDxfId="16"/>
    <tableColumn id="6" xr3:uid="{00000000-0010-0000-0200-000006000000}" name="mmol"/>
    <tableColumn id="7" xr3:uid="{00000000-0010-0000-0200-000007000000}" name="mmolC">
      <calculatedColumnFormula>+W6*S6</calculatedColumnFormula>
    </tableColumn>
    <tableColumn id="8" xr3:uid="{00000000-0010-0000-0200-000008000000}" name="Colonna5">
      <calculatedColumnFormula>X6*$Y$4</calculatedColumnFormula>
    </tableColumn>
    <tableColumn id="9" xr3:uid="{00000000-0010-0000-0200-000009000000}" name="Colonna6">
      <calculatedColumnFormula>+X6*$Z$4</calculatedColumnFormula>
    </tableColumn>
    <tableColumn id="10" xr3:uid="{00000000-0010-0000-0200-00000A000000}" name="con CO">
      <calculatedColumnFormula>+Y6/$AA$3</calculatedColumnFormula>
    </tableColumn>
    <tableColumn id="11" xr3:uid="{00000000-0010-0000-02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278" displayName="Tabella278" ref="R1:V46" totalsRowShown="0" headerRowDxfId="15" dataDxfId="13" headerRowBorderDxfId="14" tableBorderDxfId="12" totalsRowBorderDxfId="11">
  <autoFilter ref="R1:V46" xr:uid="{00000000-0009-0000-0100-000004000000}"/>
  <sortState xmlns:xlrd2="http://schemas.microsoft.com/office/spreadsheetml/2017/richdata2" ref="R2:U46">
    <sortCondition ref="T1:T46"/>
  </sortState>
  <tableColumns count="5">
    <tableColumn id="1" xr3:uid="{00000000-0010-0000-0300-000001000000}" name="Component name" dataDxfId="10"/>
    <tableColumn id="3" xr3:uid="{00000000-0010-0000-0300-000003000000}" name="Vol %" dataDxfId="9"/>
    <tableColumn id="4" xr3:uid="{00000000-0010-0000-0300-000004000000}" name="Carbon number" dataDxfId="8"/>
    <tableColumn id="5" xr3:uid="{00000000-0010-0000-0300-000005000000}" name="Class" dataDxfId="7"/>
    <tableColumn id="6" xr3:uid="{00000000-0010-0000-0300-000006000000}" name="Colonna1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la10" displayName="Tabella10" ref="B3:G127" totalsRowShown="0">
  <autoFilter ref="B3:G127" xr:uid="{00000000-0009-0000-0100-000005000000}"/>
  <sortState xmlns:xlrd2="http://schemas.microsoft.com/office/spreadsheetml/2017/richdata2" ref="B4:G127">
    <sortCondition ref="F3:F127"/>
  </sortState>
  <tableColumns count="6">
    <tableColumn id="1" xr3:uid="{00000000-0010-0000-0400-000001000000}" name="Cn"/>
    <tableColumn id="2" xr3:uid="{00000000-0010-0000-0400-000002000000}" name="Class"/>
    <tableColumn id="3" xr3:uid="{00000000-0010-0000-0400-000003000000}" name="Name"/>
    <tableColumn id="4" xr3:uid="{00000000-0010-0000-0400-000004000000}" name="mol"/>
    <tableColumn id="5" xr3:uid="{00000000-0010-0000-0400-000005000000}" name="Colonna1"/>
    <tableColumn id="6" xr3:uid="{00000000-0010-0000-0400-000006000000}" name="Colonna2" dataDxfId="5">
      <calculatedColumnFormula>VLOOKUP(Tabella10[[#This Row],[Name]],'10% CO'!$C$8:$I$47,7,FALSE)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a9" displayName="Tabella9" ref="R5:AB73" totalsRowShown="0">
  <autoFilter ref="R5:AB73" xr:uid="{00000000-0009-0000-0100-000006000000}"/>
  <tableColumns count="11">
    <tableColumn id="1" xr3:uid="{00000000-0010-0000-0500-000001000000}" name="Colonna1"/>
    <tableColumn id="2" xr3:uid="{00000000-0010-0000-0500-000002000000}" name="Colonna2" dataDxfId="4"/>
    <tableColumn id="3" xr3:uid="{00000000-0010-0000-0500-000003000000}" name="Colonna3" dataDxfId="3"/>
    <tableColumn id="4" xr3:uid="{00000000-0010-0000-0500-000004000000}" name="Colonna4" dataDxfId="2"/>
    <tableColumn id="5" xr3:uid="{00000000-0010-0000-0500-000005000000}" name="Colonna5" dataDxfId="1"/>
    <tableColumn id="6" xr3:uid="{00000000-0010-0000-0500-000006000000}" name="mmol"/>
    <tableColumn id="7" xr3:uid="{00000000-0010-0000-0500-000007000000}" name="mmolC">
      <calculatedColumnFormula>+W6*S6</calculatedColumnFormula>
    </tableColumn>
    <tableColumn id="8" xr3:uid="{00000000-0010-0000-0500-000008000000}" name="Colonna6">
      <calculatedColumnFormula>X6*$Y$4</calculatedColumnFormula>
    </tableColumn>
    <tableColumn id="9" xr3:uid="{00000000-0010-0000-0500-000009000000}" name="Colonna7">
      <calculatedColumnFormula>+X6*$Z$4</calculatedColumnFormula>
    </tableColumn>
    <tableColumn id="10" xr3:uid="{00000000-0010-0000-0500-00000A000000}" name="con CO">
      <calculatedColumnFormula>+Y6/$AA$3</calculatedColumnFormula>
    </tableColumn>
    <tableColumn id="11" xr3:uid="{00000000-0010-0000-05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a14" displayName="Tabella14" ref="A3:D71" totalsRowShown="0">
  <autoFilter ref="A3:D71" xr:uid="{00000000-0009-0000-0100-000007000000}"/>
  <tableColumns count="4">
    <tableColumn id="1" xr3:uid="{00000000-0010-0000-0600-000001000000}" name="Nc"/>
    <tableColumn id="2" xr3:uid="{00000000-0010-0000-0600-000002000000}" name="Name" dataDxfId="0"/>
    <tableColumn id="3" xr3:uid="{00000000-0010-0000-0600-000003000000}" name="5%"/>
    <tableColumn id="4" xr3:uid="{00000000-0010-0000-0600-000004000000}" name="10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K54"/>
  <sheetViews>
    <sheetView zoomScale="88" workbookViewId="0">
      <selection activeCell="E18" sqref="E18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Q2">
        <v>1</v>
      </c>
      <c r="R2" s="5" t="s">
        <v>13</v>
      </c>
      <c r="S2" s="5">
        <v>0.70520000000000005</v>
      </c>
      <c r="T2" s="6">
        <v>3</v>
      </c>
      <c r="U2" s="6" t="s">
        <v>14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5.9651048755879649E-2</v>
      </c>
      <c r="Z2">
        <f t="shared" ref="Z2:Z46" si="3">Y2/T2</f>
        <v>1.988368291862655E-2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31.19636626918313</v>
      </c>
      <c r="N3">
        <v>30.233902299984798</v>
      </c>
      <c r="O3">
        <v>12.792565285417639</v>
      </c>
      <c r="P3" t="s">
        <v>18</v>
      </c>
      <c r="Q3">
        <v>2</v>
      </c>
      <c r="R3" s="3" t="s">
        <v>19</v>
      </c>
      <c r="S3" s="3">
        <v>4.4340000000000002</v>
      </c>
      <c r="T3" s="4">
        <v>4</v>
      </c>
      <c r="U3" s="4" t="s">
        <v>20</v>
      </c>
      <c r="W3">
        <f t="shared" si="0"/>
        <v>17.736000000000001</v>
      </c>
      <c r="X3" s="8">
        <f t="shared" si="1"/>
        <v>2.281275214322951E-2</v>
      </c>
      <c r="Y3">
        <f t="shared" si="2"/>
        <v>0.50008082848094215</v>
      </c>
      <c r="Z3">
        <f t="shared" si="3"/>
        <v>0.12502020712023554</v>
      </c>
    </row>
    <row r="4" spans="2:37" x14ac:dyDescent="0.25">
      <c r="N4" s="2">
        <f>+N3/(N3+O3)</f>
        <v>0.70268148878301684</v>
      </c>
      <c r="O4" s="2">
        <f>1-N4</f>
        <v>0.29731851121698316</v>
      </c>
      <c r="P4" t="s">
        <v>21</v>
      </c>
      <c r="Q4">
        <v>3</v>
      </c>
      <c r="R4" s="5" t="s">
        <v>22</v>
      </c>
      <c r="S4" s="5">
        <v>0.42370000000000002</v>
      </c>
      <c r="T4" s="6">
        <v>4</v>
      </c>
      <c r="U4" s="6" t="s">
        <v>14</v>
      </c>
      <c r="W4">
        <f t="shared" si="0"/>
        <v>1.6948000000000001</v>
      </c>
      <c r="X4" s="8">
        <f t="shared" si="1"/>
        <v>2.1799195045300733E-3</v>
      </c>
      <c r="Y4">
        <f t="shared" si="2"/>
        <v>4.7786253276358867E-2</v>
      </c>
      <c r="Z4">
        <f t="shared" si="3"/>
        <v>1.1946563319089717E-2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217.50473522160922</v>
      </c>
      <c r="E5">
        <f>+SUM(E6:E47)</f>
        <v>186.30836895242609</v>
      </c>
      <c r="G5" s="1" t="s">
        <v>24</v>
      </c>
      <c r="L5" t="s">
        <v>25</v>
      </c>
      <c r="N5">
        <f>+N4*L3</f>
        <v>21.921109094649889</v>
      </c>
      <c r="O5">
        <f>+O4*L3</f>
        <v>9.2752571745332393</v>
      </c>
      <c r="P5" t="s">
        <v>26</v>
      </c>
      <c r="Q5">
        <v>4</v>
      </c>
      <c r="R5" s="5" t="s">
        <v>27</v>
      </c>
      <c r="S5" s="5">
        <v>0.24740000000000001</v>
      </c>
      <c r="T5" s="6">
        <v>4</v>
      </c>
      <c r="U5" s="6" t="s">
        <v>28</v>
      </c>
      <c r="W5">
        <f t="shared" si="0"/>
        <v>0.98960000000000004</v>
      </c>
      <c r="X5" s="8">
        <f t="shared" si="1"/>
        <v>1.2728630762821338E-3</v>
      </c>
      <c r="Y5">
        <f t="shared" si="2"/>
        <v>2.7902570357732318E-2</v>
      </c>
      <c r="Z5">
        <f t="shared" si="3"/>
        <v>6.9756425894330794E-3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>
        <v>52.733113232800932</v>
      </c>
      <c r="E6">
        <v>13.424828135682761</v>
      </c>
      <c r="F6" s="9">
        <f>+(D6-E6)/D6</f>
        <v>0.74541938996819412</v>
      </c>
      <c r="G6" s="2"/>
      <c r="H6" s="2"/>
      <c r="I6" s="2"/>
      <c r="J6" s="2"/>
      <c r="L6">
        <f>+D7+D6-E6-E7</f>
        <v>77.43773383579537</v>
      </c>
      <c r="Q6">
        <v>5</v>
      </c>
      <c r="R6" s="5" t="s">
        <v>30</v>
      </c>
      <c r="S6" s="5">
        <v>9.5908000000000015</v>
      </c>
      <c r="T6" s="6">
        <v>5</v>
      </c>
      <c r="U6" s="6" t="s">
        <v>20</v>
      </c>
      <c r="W6">
        <f t="shared" si="0"/>
        <v>47.954000000000008</v>
      </c>
      <c r="X6" s="8">
        <f t="shared" si="1"/>
        <v>6.1680351616848678E-2</v>
      </c>
      <c r="Y6">
        <f t="shared" si="2"/>
        <v>1.3521017167893046</v>
      </c>
      <c r="Z6">
        <f t="shared" si="3"/>
        <v>0.27042034335786092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>
        <v>164.77162198880831</v>
      </c>
      <c r="E7">
        <v>126.64217325013109</v>
      </c>
      <c r="F7" s="9">
        <f>+(D7-E7)/D7</f>
        <v>0.23140786185419149</v>
      </c>
      <c r="G7" s="2"/>
      <c r="H7" s="2"/>
      <c r="I7" s="2"/>
      <c r="J7" s="2"/>
      <c r="Q7">
        <v>6</v>
      </c>
      <c r="R7" s="3" t="s">
        <v>32</v>
      </c>
      <c r="S7" s="3">
        <v>0.84379999999999999</v>
      </c>
      <c r="T7" s="4">
        <v>5</v>
      </c>
      <c r="U7" s="4" t="s">
        <v>14</v>
      </c>
      <c r="W7">
        <f t="shared" si="0"/>
        <v>4.2190000000000003</v>
      </c>
      <c r="X7" s="8">
        <f t="shared" si="1"/>
        <v>5.4266464418293477E-3</v>
      </c>
      <c r="Y7">
        <f t="shared" si="2"/>
        <v>0.11895810866943478</v>
      </c>
      <c r="Z7">
        <f t="shared" si="3"/>
        <v>2.3791621733886957E-2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>
        <v>0</v>
      </c>
      <c r="G8">
        <f t="shared" ref="G8:G47" si="8">+E8/B8</f>
        <v>0</v>
      </c>
      <c r="H8" t="s">
        <v>20</v>
      </c>
      <c r="I8">
        <v>1</v>
      </c>
      <c r="Q8">
        <v>7</v>
      </c>
      <c r="R8" s="3" t="s">
        <v>34</v>
      </c>
      <c r="S8" s="3">
        <v>0.71390000000000009</v>
      </c>
      <c r="T8" s="4">
        <v>5</v>
      </c>
      <c r="U8" s="4" t="s">
        <v>28</v>
      </c>
      <c r="W8">
        <f t="shared" si="0"/>
        <v>3.5695000000000006</v>
      </c>
      <c r="X8" s="8">
        <f t="shared" si="1"/>
        <v>4.5912335800212985E-3</v>
      </c>
      <c r="Y8">
        <f t="shared" si="2"/>
        <v>0.10064493218666686</v>
      </c>
      <c r="Z8">
        <f t="shared" si="3"/>
        <v>2.0128986437333372E-2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>
        <v>0</v>
      </c>
      <c r="G9">
        <f t="shared" si="8"/>
        <v>0</v>
      </c>
      <c r="H9" t="s">
        <v>36</v>
      </c>
      <c r="I9">
        <v>2</v>
      </c>
      <c r="Q9">
        <v>8</v>
      </c>
      <c r="R9" s="3" t="s">
        <v>37</v>
      </c>
      <c r="S9" s="3">
        <v>0.29859999999999998</v>
      </c>
      <c r="T9" s="4">
        <v>5</v>
      </c>
      <c r="U9" s="4" t="s">
        <v>38</v>
      </c>
      <c r="W9">
        <f t="shared" si="0"/>
        <v>1.4929999999999999</v>
      </c>
      <c r="X9" s="8">
        <f t="shared" si="1"/>
        <v>1.9203562781823216E-3</v>
      </c>
      <c r="Y9">
        <f t="shared" si="2"/>
        <v>4.2096339474630505E-2</v>
      </c>
      <c r="Z9">
        <f t="shared" si="3"/>
        <v>8.4192678949261014E-3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>
        <v>0.27298183864583148</v>
      </c>
      <c r="G10">
        <f t="shared" si="8"/>
        <v>3.0331315405092388E-2</v>
      </c>
      <c r="H10" t="s">
        <v>36</v>
      </c>
      <c r="I10">
        <v>3</v>
      </c>
      <c r="Q10">
        <v>9</v>
      </c>
      <c r="R10" s="3" t="s">
        <v>40</v>
      </c>
      <c r="S10" s="3">
        <v>9.5949000000000009</v>
      </c>
      <c r="T10" s="4">
        <v>6</v>
      </c>
      <c r="U10" s="4" t="s">
        <v>28</v>
      </c>
      <c r="W10">
        <f t="shared" si="0"/>
        <v>57.569400000000002</v>
      </c>
      <c r="X10" s="8">
        <f t="shared" si="1"/>
        <v>7.4048063443529377E-2</v>
      </c>
      <c r="Y10">
        <f t="shared" si="2"/>
        <v>1.6232156769931638</v>
      </c>
      <c r="Z10">
        <f t="shared" si="3"/>
        <v>0.27053594616552729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>
        <v>2.195206554465816E-6</v>
      </c>
      <c r="G11">
        <f t="shared" si="8"/>
        <v>2.7440081930822701E-7</v>
      </c>
      <c r="H11" t="s">
        <v>36</v>
      </c>
      <c r="I11">
        <v>4</v>
      </c>
      <c r="Q11">
        <v>10</v>
      </c>
      <c r="R11" s="5" t="s">
        <v>42</v>
      </c>
      <c r="S11" s="5">
        <v>3.8919000000000001</v>
      </c>
      <c r="T11" s="6">
        <v>6</v>
      </c>
      <c r="U11" s="6" t="s">
        <v>20</v>
      </c>
      <c r="W11">
        <f t="shared" si="0"/>
        <v>23.351400000000002</v>
      </c>
      <c r="X11" s="8">
        <f t="shared" si="1"/>
        <v>3.0035504081946867E-2</v>
      </c>
      <c r="Y11">
        <f t="shared" si="2"/>
        <v>0.65841156169315929</v>
      </c>
      <c r="Z11">
        <f t="shared" si="3"/>
        <v>0.10973526028219321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0.12596261525814137</v>
      </c>
      <c r="AK11">
        <f t="shared" si="7"/>
        <v>1.5745326907267671E-2</v>
      </c>
    </row>
    <row r="12" spans="2:37" x14ac:dyDescent="0.25">
      <c r="B12">
        <v>8</v>
      </c>
      <c r="C12" t="s">
        <v>43</v>
      </c>
      <c r="E12">
        <v>0.3394795157533263</v>
      </c>
      <c r="G12">
        <f t="shared" si="8"/>
        <v>4.2434939469165787E-2</v>
      </c>
      <c r="H12" t="s">
        <v>36</v>
      </c>
      <c r="I12">
        <v>5</v>
      </c>
      <c r="Q12">
        <v>11</v>
      </c>
      <c r="R12" s="3" t="s">
        <v>44</v>
      </c>
      <c r="S12" s="3">
        <v>0.96410000000000007</v>
      </c>
      <c r="T12" s="4">
        <v>6</v>
      </c>
      <c r="U12" s="4" t="s">
        <v>38</v>
      </c>
      <c r="W12">
        <f t="shared" si="0"/>
        <v>5.7846000000000002</v>
      </c>
      <c r="X12" s="8">
        <f t="shared" si="1"/>
        <v>7.4403837419782046E-3</v>
      </c>
      <c r="Y12">
        <f t="shared" si="2"/>
        <v>0.16310146371396358</v>
      </c>
      <c r="Z12">
        <f t="shared" si="3"/>
        <v>2.7183577285660596E-2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0.17571784828510725</v>
      </c>
      <c r="AK12">
        <f t="shared" si="7"/>
        <v>1.9524205365011916E-2</v>
      </c>
    </row>
    <row r="13" spans="2:37" x14ac:dyDescent="0.25">
      <c r="B13">
        <v>8</v>
      </c>
      <c r="C13" t="s">
        <v>45</v>
      </c>
      <c r="E13">
        <v>0</v>
      </c>
      <c r="G13">
        <f t="shared" si="8"/>
        <v>0</v>
      </c>
      <c r="H13" t="s">
        <v>36</v>
      </c>
      <c r="I13">
        <v>6</v>
      </c>
      <c r="Q13">
        <v>12</v>
      </c>
      <c r="R13" s="5" t="s">
        <v>46</v>
      </c>
      <c r="S13" s="5">
        <v>0.109</v>
      </c>
      <c r="T13" s="6">
        <v>6</v>
      </c>
      <c r="U13" s="6" t="s">
        <v>14</v>
      </c>
      <c r="W13">
        <f t="shared" si="0"/>
        <v>0.65400000000000003</v>
      </c>
      <c r="X13" s="8">
        <f t="shared" si="1"/>
        <v>8.4120094168200837E-4</v>
      </c>
      <c r="Y13">
        <f t="shared" si="2"/>
        <v>1.8440057613133526E-2</v>
      </c>
      <c r="Z13">
        <f t="shared" si="3"/>
        <v>3.0733429355222545E-3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0.49755233026965845</v>
      </c>
      <c r="AK13">
        <f t="shared" si="7"/>
        <v>4.9755233026965842E-2</v>
      </c>
    </row>
    <row r="14" spans="2:37" x14ac:dyDescent="0.25">
      <c r="B14">
        <v>8</v>
      </c>
      <c r="C14" t="s">
        <v>47</v>
      </c>
      <c r="E14">
        <v>0</v>
      </c>
      <c r="G14">
        <f t="shared" si="8"/>
        <v>0</v>
      </c>
      <c r="H14" t="s">
        <v>36</v>
      </c>
      <c r="I14">
        <v>7</v>
      </c>
      <c r="Q14">
        <v>13</v>
      </c>
      <c r="R14" s="3" t="s">
        <v>48</v>
      </c>
      <c r="S14" s="3">
        <v>0.08</v>
      </c>
      <c r="T14" s="4">
        <v>6</v>
      </c>
      <c r="U14" s="4" t="s">
        <v>36</v>
      </c>
      <c r="W14">
        <f t="shared" si="0"/>
        <v>0.48</v>
      </c>
      <c r="X14" s="8">
        <f t="shared" si="1"/>
        <v>6.1739518655560242E-4</v>
      </c>
      <c r="Y14">
        <f t="shared" si="2"/>
        <v>1.3533987238997082E-2</v>
      </c>
      <c r="Z14">
        <f t="shared" si="3"/>
        <v>2.2556645398328469E-3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0.63044288936699777</v>
      </c>
      <c r="AK14">
        <f t="shared" si="7"/>
        <v>5.7312989942454345E-2</v>
      </c>
    </row>
    <row r="15" spans="2:37" x14ac:dyDescent="0.25">
      <c r="B15">
        <v>9</v>
      </c>
      <c r="C15" t="s">
        <v>49</v>
      </c>
      <c r="E15">
        <v>0</v>
      </c>
      <c r="G15">
        <f t="shared" si="8"/>
        <v>0</v>
      </c>
      <c r="H15" t="s">
        <v>36</v>
      </c>
      <c r="I15">
        <v>8</v>
      </c>
      <c r="Q15">
        <v>14</v>
      </c>
      <c r="R15" s="5" t="s">
        <v>50</v>
      </c>
      <c r="S15" s="5">
        <v>8.1823999999999995</v>
      </c>
      <c r="T15" s="6">
        <v>7</v>
      </c>
      <c r="U15" s="6" t="s">
        <v>28</v>
      </c>
      <c r="W15">
        <f t="shared" si="0"/>
        <v>57.276799999999994</v>
      </c>
      <c r="X15" s="8">
        <f t="shared" si="1"/>
        <v>7.3671709627724846E-2</v>
      </c>
      <c r="Y15">
        <f t="shared" si="2"/>
        <v>1.6149655839387249</v>
      </c>
      <c r="Z15">
        <f t="shared" si="3"/>
        <v>0.23070936913410356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0.79356447612629066</v>
      </c>
      <c r="AK15">
        <f t="shared" si="7"/>
        <v>6.6130373010524227E-2</v>
      </c>
    </row>
    <row r="16" spans="2:37" x14ac:dyDescent="0.25">
      <c r="B16">
        <v>10</v>
      </c>
      <c r="C16" t="s">
        <v>51</v>
      </c>
      <c r="E16">
        <v>4.9085231091620912E-6</v>
      </c>
      <c r="G16">
        <f t="shared" si="8"/>
        <v>4.9085231091620912E-7</v>
      </c>
      <c r="H16" t="s">
        <v>20</v>
      </c>
      <c r="I16">
        <v>9</v>
      </c>
      <c r="Q16">
        <v>15</v>
      </c>
      <c r="R16" s="3" t="s">
        <v>52</v>
      </c>
      <c r="S16" s="3">
        <v>5.7110999999999992</v>
      </c>
      <c r="T16" s="4">
        <v>7</v>
      </c>
      <c r="U16" s="4" t="s">
        <v>20</v>
      </c>
      <c r="W16">
        <f t="shared" si="0"/>
        <v>39.977699999999992</v>
      </c>
      <c r="X16" s="8">
        <f t="shared" si="1"/>
        <v>5.1420915728258132E-2</v>
      </c>
      <c r="Y16">
        <f t="shared" si="2"/>
        <v>1.1272035034259449</v>
      </c>
      <c r="Z16">
        <f t="shared" si="3"/>
        <v>0.16102907191799212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0.89244512910393181</v>
      </c>
      <c r="AK16">
        <f t="shared" si="7"/>
        <v>6.8649625315687066E-2</v>
      </c>
    </row>
    <row r="17" spans="2:37" x14ac:dyDescent="0.25">
      <c r="B17">
        <v>10</v>
      </c>
      <c r="C17" t="s">
        <v>53</v>
      </c>
      <c r="E17">
        <v>4.3389939217189498E-2</v>
      </c>
      <c r="G17">
        <f t="shared" si="8"/>
        <v>4.3389939217189496E-3</v>
      </c>
      <c r="H17" t="s">
        <v>14</v>
      </c>
      <c r="I17">
        <v>10</v>
      </c>
      <c r="Q17">
        <v>16</v>
      </c>
      <c r="R17" s="3" t="s">
        <v>54</v>
      </c>
      <c r="S17" s="3">
        <v>0.87059999999999993</v>
      </c>
      <c r="T17" s="4">
        <v>7</v>
      </c>
      <c r="U17" s="4" t="s">
        <v>38</v>
      </c>
      <c r="W17">
        <f t="shared" si="0"/>
        <v>6.0941999999999998</v>
      </c>
      <c r="X17" s="8">
        <f t="shared" si="1"/>
        <v>7.8386036373065682E-3</v>
      </c>
      <c r="Y17">
        <f t="shared" si="2"/>
        <v>0.1718308854831167</v>
      </c>
      <c r="Z17">
        <f t="shared" si="3"/>
        <v>2.4547269354730956E-2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0.94345998828347877</v>
      </c>
      <c r="AK17">
        <f t="shared" si="7"/>
        <v>6.7389999163105632E-2</v>
      </c>
    </row>
    <row r="18" spans="2:37" x14ac:dyDescent="0.25">
      <c r="B18">
        <v>1</v>
      </c>
      <c r="C18" t="s">
        <v>55</v>
      </c>
      <c r="E18">
        <v>11.284207492384301</v>
      </c>
      <c r="G18">
        <f t="shared" si="8"/>
        <v>11.284207492384301</v>
      </c>
      <c r="H18" t="s">
        <v>14</v>
      </c>
      <c r="I18">
        <v>11</v>
      </c>
      <c r="Q18">
        <v>17</v>
      </c>
      <c r="R18" s="3" t="s">
        <v>35</v>
      </c>
      <c r="S18" s="3">
        <v>0.21390000000000001</v>
      </c>
      <c r="T18" s="4">
        <v>7</v>
      </c>
      <c r="U18" s="4" t="s">
        <v>36</v>
      </c>
      <c r="W18">
        <f t="shared" si="0"/>
        <v>1.4973000000000001</v>
      </c>
      <c r="X18" s="8">
        <f t="shared" si="1"/>
        <v>1.9258871100618826E-3</v>
      </c>
      <c r="Y18">
        <f t="shared" si="2"/>
        <v>4.2217581443646526E-2</v>
      </c>
      <c r="Z18">
        <f t="shared" si="3"/>
        <v>6.0310830633780749E-3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0.89748363371425732</v>
      </c>
      <c r="AK18">
        <f t="shared" si="7"/>
        <v>5.9832242247617157E-2</v>
      </c>
    </row>
    <row r="19" spans="2:37" x14ac:dyDescent="0.25">
      <c r="B19">
        <v>2</v>
      </c>
      <c r="C19" t="s">
        <v>56</v>
      </c>
      <c r="E19">
        <v>5.9331211526280123</v>
      </c>
      <c r="G19">
        <f t="shared" si="8"/>
        <v>2.9665605763140062</v>
      </c>
      <c r="H19" t="s">
        <v>20</v>
      </c>
      <c r="I19">
        <v>12</v>
      </c>
      <c r="Q19">
        <v>18</v>
      </c>
      <c r="R19" s="3" t="s">
        <v>57</v>
      </c>
      <c r="S19" s="3">
        <v>9.3793000000000024</v>
      </c>
      <c r="T19" s="4">
        <v>8</v>
      </c>
      <c r="U19" s="4" t="s">
        <v>20</v>
      </c>
      <c r="W19">
        <f t="shared" si="0"/>
        <v>75.034400000000019</v>
      </c>
      <c r="X19" s="8">
        <f t="shared" si="1"/>
        <v>9.6512244554349397E-2</v>
      </c>
      <c r="Y19">
        <f t="shared" si="2"/>
        <v>2.1156554418454228</v>
      </c>
      <c r="Z19">
        <f t="shared" si="3"/>
        <v>0.26445693023067784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0.77592970999015121</v>
      </c>
      <c r="AK19">
        <f t="shared" si="7"/>
        <v>4.849560687438445E-2</v>
      </c>
    </row>
    <row r="20" spans="2:37" x14ac:dyDescent="0.25">
      <c r="B20">
        <v>2</v>
      </c>
      <c r="C20" t="s">
        <v>58</v>
      </c>
      <c r="E20">
        <v>0</v>
      </c>
      <c r="G20">
        <f t="shared" si="8"/>
        <v>0</v>
      </c>
      <c r="H20" t="s">
        <v>20</v>
      </c>
      <c r="I20">
        <v>13</v>
      </c>
      <c r="Q20">
        <v>19</v>
      </c>
      <c r="R20" s="5" t="s">
        <v>59</v>
      </c>
      <c r="S20" s="5">
        <v>1.7669999999999999</v>
      </c>
      <c r="T20" s="6">
        <v>8</v>
      </c>
      <c r="U20" s="6" t="s">
        <v>36</v>
      </c>
      <c r="W20">
        <f t="shared" si="0"/>
        <v>14.135999999999999</v>
      </c>
      <c r="X20" s="8">
        <f t="shared" si="1"/>
        <v>1.818228824406249E-2</v>
      </c>
      <c r="Y20">
        <f t="shared" si="2"/>
        <v>0.39857592418846399</v>
      </c>
      <c r="Z20">
        <f t="shared" si="3"/>
        <v>4.9821990523557999E-2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0.71735709389511393</v>
      </c>
      <c r="AK20">
        <f t="shared" si="7"/>
        <v>4.219747611147729E-2</v>
      </c>
    </row>
    <row r="21" spans="2:37" x14ac:dyDescent="0.25">
      <c r="B21">
        <v>2</v>
      </c>
      <c r="C21" t="s">
        <v>60</v>
      </c>
      <c r="E21">
        <v>1.5050825544635149</v>
      </c>
      <c r="G21">
        <f t="shared" si="8"/>
        <v>0.75254127723175746</v>
      </c>
      <c r="H21" t="s">
        <v>14</v>
      </c>
      <c r="I21">
        <v>14</v>
      </c>
      <c r="Q21">
        <v>20</v>
      </c>
      <c r="R21" s="3" t="s">
        <v>61</v>
      </c>
      <c r="S21" s="3">
        <v>3.416500000000001</v>
      </c>
      <c r="T21" s="4">
        <v>8</v>
      </c>
      <c r="U21" s="4" t="s">
        <v>28</v>
      </c>
      <c r="W21">
        <f t="shared" si="0"/>
        <v>27.332000000000008</v>
      </c>
      <c r="X21" s="8">
        <f t="shared" si="1"/>
        <v>3.5155510914453604E-2</v>
      </c>
      <c r="Y21">
        <f t="shared" si="2"/>
        <v>0.77064779003389239</v>
      </c>
      <c r="Z21">
        <f t="shared" si="3"/>
        <v>9.6330973754236549E-2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0.70287139314042923</v>
      </c>
      <c r="AK21">
        <f t="shared" si="7"/>
        <v>3.9048410730023846E-2</v>
      </c>
    </row>
    <row r="22" spans="2:37" x14ac:dyDescent="0.25">
      <c r="B22">
        <v>3</v>
      </c>
      <c r="C22" t="s">
        <v>62</v>
      </c>
      <c r="E22">
        <v>8.9473557122276119</v>
      </c>
      <c r="G22">
        <f t="shared" si="8"/>
        <v>2.9824519040758708</v>
      </c>
      <c r="H22" t="s">
        <v>20</v>
      </c>
      <c r="I22">
        <v>15</v>
      </c>
      <c r="Q22">
        <v>21</v>
      </c>
      <c r="R22" s="5" t="s">
        <v>63</v>
      </c>
      <c r="S22" s="5">
        <v>1.5336000000000001</v>
      </c>
      <c r="T22" s="6">
        <v>8</v>
      </c>
      <c r="U22" s="6" t="s">
        <v>38</v>
      </c>
      <c r="W22">
        <f t="shared" si="0"/>
        <v>12.268800000000001</v>
      </c>
      <c r="X22" s="8">
        <f t="shared" si="1"/>
        <v>1.5780620968361199E-2</v>
      </c>
      <c r="Y22">
        <f t="shared" si="2"/>
        <v>0.34592871382876544</v>
      </c>
      <c r="Z22">
        <f t="shared" si="3"/>
        <v>4.324108922859568E-2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0.33506055658665601</v>
      </c>
      <c r="AK22">
        <f t="shared" si="7"/>
        <v>1.763476613613979E-2</v>
      </c>
    </row>
    <row r="23" spans="2:37" x14ac:dyDescent="0.25">
      <c r="B23">
        <v>3</v>
      </c>
      <c r="C23" t="s">
        <v>64</v>
      </c>
      <c r="E23">
        <v>0.9186877660026268</v>
      </c>
      <c r="G23">
        <f t="shared" si="8"/>
        <v>0.30622925533420892</v>
      </c>
      <c r="H23" t="s">
        <v>14</v>
      </c>
      <c r="I23">
        <v>16</v>
      </c>
      <c r="Q23">
        <v>22</v>
      </c>
      <c r="R23" s="5" t="s">
        <v>65</v>
      </c>
      <c r="S23" s="5">
        <v>3.3300000000000003E-2</v>
      </c>
      <c r="T23" s="6">
        <v>8</v>
      </c>
      <c r="U23" s="6" t="s">
        <v>14</v>
      </c>
      <c r="W23">
        <f t="shared" si="0"/>
        <v>0.26640000000000003</v>
      </c>
      <c r="X23" s="8">
        <f t="shared" si="1"/>
        <v>3.426543285383594E-4</v>
      </c>
      <c r="Y23">
        <f t="shared" si="2"/>
        <v>7.5113629176433811E-3</v>
      </c>
      <c r="Z23">
        <f t="shared" si="3"/>
        <v>9.3892036470542264E-4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0.27711775356791102</v>
      </c>
      <c r="AK23">
        <f t="shared" si="7"/>
        <v>1.3855887678395551E-2</v>
      </c>
    </row>
    <row r="24" spans="2:37" x14ac:dyDescent="0.25">
      <c r="B24">
        <v>2</v>
      </c>
      <c r="C24" t="s">
        <v>66</v>
      </c>
      <c r="E24">
        <v>0</v>
      </c>
      <c r="G24">
        <f t="shared" si="8"/>
        <v>0</v>
      </c>
      <c r="H24" t="s">
        <v>67</v>
      </c>
      <c r="I24">
        <v>17</v>
      </c>
      <c r="Q24">
        <v>23</v>
      </c>
      <c r="R24" s="3" t="s">
        <v>68</v>
      </c>
      <c r="S24" s="3">
        <v>8.9827999999999992</v>
      </c>
      <c r="T24" s="4">
        <v>9</v>
      </c>
      <c r="U24" s="4" t="s">
        <v>28</v>
      </c>
      <c r="W24">
        <f t="shared" si="0"/>
        <v>80.845199999999991</v>
      </c>
      <c r="X24" s="8">
        <f t="shared" si="1"/>
        <v>0.10398632778359372</v>
      </c>
      <c r="Y24">
        <f t="shared" si="2"/>
        <v>2.2794956356961809</v>
      </c>
      <c r="Z24">
        <f t="shared" si="3"/>
        <v>0.25327729285513123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0.26452149204209691</v>
      </c>
      <c r="AK24">
        <f t="shared" si="7"/>
        <v>1.2596261525814138E-2</v>
      </c>
    </row>
    <row r="25" spans="2:37" x14ac:dyDescent="0.25">
      <c r="B25">
        <v>1</v>
      </c>
      <c r="C25" t="s">
        <v>69</v>
      </c>
      <c r="E25">
        <v>0.64499028268648395</v>
      </c>
      <c r="G25">
        <f t="shared" si="8"/>
        <v>0.64499028268648395</v>
      </c>
      <c r="H25" t="s">
        <v>67</v>
      </c>
      <c r="I25">
        <v>18</v>
      </c>
      <c r="Q25">
        <v>24</v>
      </c>
      <c r="R25" s="5" t="s">
        <v>70</v>
      </c>
      <c r="S25" s="5">
        <v>1.6554</v>
      </c>
      <c r="T25" s="6">
        <v>9</v>
      </c>
      <c r="U25" s="6" t="s">
        <v>20</v>
      </c>
      <c r="W25">
        <f t="shared" si="0"/>
        <v>14.8986</v>
      </c>
      <c r="X25" s="8">
        <f t="shared" si="1"/>
        <v>1.9163174846702706E-2</v>
      </c>
      <c r="Y25">
        <f t="shared" si="2"/>
        <v>0.4200780464144207</v>
      </c>
      <c r="Z25">
        <f t="shared" si="3"/>
        <v>4.6675338490491186E-2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0.24940597821111996</v>
      </c>
      <c r="AK25">
        <f t="shared" si="7"/>
        <v>1.1336635373232725E-2</v>
      </c>
    </row>
    <row r="26" spans="2:37" x14ac:dyDescent="0.25">
      <c r="B26">
        <v>4</v>
      </c>
      <c r="C26" t="s">
        <v>71</v>
      </c>
      <c r="E26">
        <v>9.2117112144943947E-2</v>
      </c>
      <c r="G26">
        <f t="shared" si="8"/>
        <v>2.3029278036235987E-2</v>
      </c>
      <c r="H26" t="s">
        <v>20</v>
      </c>
      <c r="I26">
        <v>19</v>
      </c>
      <c r="Q26">
        <v>25</v>
      </c>
      <c r="R26" s="3" t="s">
        <v>72</v>
      </c>
      <c r="S26" s="5">
        <v>2.3319999999999999</v>
      </c>
      <c r="T26" s="4">
        <v>9</v>
      </c>
      <c r="U26" s="4" t="s">
        <v>36</v>
      </c>
      <c r="W26">
        <f t="shared" si="0"/>
        <v>20.988</v>
      </c>
      <c r="X26" s="8">
        <f t="shared" si="1"/>
        <v>2.6995604532143717E-2</v>
      </c>
      <c r="Y26">
        <f t="shared" si="2"/>
        <v>0.59177359202514745</v>
      </c>
      <c r="Z26">
        <f t="shared" si="3"/>
        <v>6.5752621336127498E-2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0.23177121207498017</v>
      </c>
      <c r="AK26">
        <f t="shared" si="7"/>
        <v>1.0077009220651311E-2</v>
      </c>
    </row>
    <row r="27" spans="2:37" x14ac:dyDescent="0.25">
      <c r="B27">
        <v>4</v>
      </c>
      <c r="C27" t="s">
        <v>73</v>
      </c>
      <c r="E27">
        <v>6.3457324055596782</v>
      </c>
      <c r="G27">
        <f t="shared" si="8"/>
        <v>1.5864331013899196</v>
      </c>
      <c r="H27" t="s">
        <v>20</v>
      </c>
      <c r="I27">
        <v>20</v>
      </c>
      <c r="Q27">
        <v>26</v>
      </c>
      <c r="R27" s="5" t="s">
        <v>74</v>
      </c>
      <c r="S27" s="5">
        <v>0.71689999999999998</v>
      </c>
      <c r="T27" s="6">
        <v>9</v>
      </c>
      <c r="U27" s="6" t="s">
        <v>14</v>
      </c>
      <c r="W27">
        <f t="shared" si="0"/>
        <v>6.4520999999999997</v>
      </c>
      <c r="X27" s="8">
        <f t="shared" si="1"/>
        <v>8.2989489232820884E-3</v>
      </c>
      <c r="Y27">
        <f t="shared" si="2"/>
        <v>0.18192216471819389</v>
      </c>
      <c r="Z27">
        <f t="shared" si="3"/>
        <v>2.0213573857577098E-2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0.22673270746465449</v>
      </c>
      <c r="AK27">
        <f t="shared" si="7"/>
        <v>9.4471961443606031E-3</v>
      </c>
    </row>
    <row r="28" spans="2:37" x14ac:dyDescent="0.25">
      <c r="B28">
        <v>4</v>
      </c>
      <c r="C28" t="s">
        <v>75</v>
      </c>
      <c r="E28">
        <v>0.89019618616183027</v>
      </c>
      <c r="G28">
        <f t="shared" si="8"/>
        <v>0.22254904654045757</v>
      </c>
      <c r="H28" t="s">
        <v>14</v>
      </c>
      <c r="I28">
        <v>21</v>
      </c>
      <c r="Q28">
        <v>27</v>
      </c>
      <c r="R28" s="5" t="s">
        <v>76</v>
      </c>
      <c r="S28" s="5">
        <v>0.93319999999999992</v>
      </c>
      <c r="T28" s="6">
        <v>9</v>
      </c>
      <c r="U28" s="6" t="s">
        <v>38</v>
      </c>
      <c r="W28">
        <f t="shared" si="0"/>
        <v>8.3987999999999996</v>
      </c>
      <c r="X28" s="8">
        <f t="shared" si="1"/>
        <v>1.0802872276756654E-2</v>
      </c>
      <c r="Y28">
        <f t="shared" si="2"/>
        <v>0.23681094171435144</v>
      </c>
      <c r="Z28">
        <f t="shared" si="3"/>
        <v>2.631232685715016E-2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0.20468924979447972</v>
      </c>
      <c r="AK28">
        <f t="shared" si="7"/>
        <v>8.1875699917791887E-3</v>
      </c>
    </row>
    <row r="29" spans="2:37" x14ac:dyDescent="0.25">
      <c r="B29">
        <v>4</v>
      </c>
      <c r="C29" t="s">
        <v>77</v>
      </c>
      <c r="E29">
        <v>0.1134194395650131</v>
      </c>
      <c r="G29">
        <f t="shared" si="8"/>
        <v>2.8354859891253276E-2</v>
      </c>
      <c r="H29" t="s">
        <v>20</v>
      </c>
      <c r="I29">
        <v>22</v>
      </c>
      <c r="Q29">
        <v>28</v>
      </c>
      <c r="R29" s="5" t="s">
        <v>78</v>
      </c>
      <c r="S29" s="5">
        <v>3.3315000000000001</v>
      </c>
      <c r="T29" s="6">
        <v>10</v>
      </c>
      <c r="U29" s="6" t="s">
        <v>20</v>
      </c>
      <c r="W29">
        <f t="shared" si="0"/>
        <v>33.314999999999998</v>
      </c>
      <c r="X29" s="8">
        <f t="shared" si="1"/>
        <v>4.2851084666874782E-2</v>
      </c>
      <c r="Y29">
        <f t="shared" si="2"/>
        <v>0.93934330180664116</v>
      </c>
      <c r="Z29">
        <f t="shared" si="3"/>
        <v>9.3934330180664119E-2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0.18012653981914217</v>
      </c>
      <c r="AK29">
        <f t="shared" si="7"/>
        <v>6.9279438391977761E-3</v>
      </c>
    </row>
    <row r="30" spans="2:37" x14ac:dyDescent="0.25">
      <c r="B30">
        <v>5</v>
      </c>
      <c r="C30" t="s">
        <v>79</v>
      </c>
      <c r="E30">
        <v>1.1329224900594741</v>
      </c>
      <c r="G30">
        <f t="shared" si="8"/>
        <v>0.22658449801189481</v>
      </c>
      <c r="H30" t="s">
        <v>20</v>
      </c>
      <c r="I30">
        <v>23</v>
      </c>
      <c r="Q30">
        <v>29</v>
      </c>
      <c r="R30" s="5" t="s">
        <v>80</v>
      </c>
      <c r="S30" s="5">
        <v>3.0535999999999999</v>
      </c>
      <c r="T30" s="6">
        <v>10</v>
      </c>
      <c r="U30" s="6" t="s">
        <v>28</v>
      </c>
      <c r="W30">
        <f t="shared" si="0"/>
        <v>30.535999999999998</v>
      </c>
      <c r="X30" s="8">
        <f t="shared" si="1"/>
        <v>3.9276623784712243E-2</v>
      </c>
      <c r="Y30">
        <f t="shared" si="2"/>
        <v>0.86098715485419774</v>
      </c>
      <c r="Z30">
        <f t="shared" si="3"/>
        <v>8.609871548541978E-2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0.15304457753864179</v>
      </c>
      <c r="AK30">
        <f t="shared" si="7"/>
        <v>5.6683176866163627E-3</v>
      </c>
    </row>
    <row r="31" spans="2:37" x14ac:dyDescent="0.25">
      <c r="B31">
        <v>5</v>
      </c>
      <c r="C31" t="s">
        <v>81</v>
      </c>
      <c r="E31">
        <v>0</v>
      </c>
      <c r="G31">
        <f t="shared" si="8"/>
        <v>0</v>
      </c>
      <c r="H31" t="s">
        <v>28</v>
      </c>
      <c r="I31">
        <v>24</v>
      </c>
      <c r="Q31">
        <v>30</v>
      </c>
      <c r="R31" s="3" t="s">
        <v>82</v>
      </c>
      <c r="S31" s="3">
        <v>2.3725999999999998</v>
      </c>
      <c r="T31" s="4">
        <v>10</v>
      </c>
      <c r="U31" s="4" t="s">
        <v>36</v>
      </c>
      <c r="W31">
        <f t="shared" si="0"/>
        <v>23.725999999999999</v>
      </c>
      <c r="X31" s="8">
        <f t="shared" si="1"/>
        <v>3.0517329575454631E-2</v>
      </c>
      <c r="Y31">
        <f t="shared" si="2"/>
        <v>0.66897371090092661</v>
      </c>
      <c r="Z31">
        <f t="shared" si="3"/>
        <v>6.6897371090092667E-2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>
        <v>0</v>
      </c>
      <c r="G32">
        <f t="shared" si="8"/>
        <v>0</v>
      </c>
      <c r="H32" t="s">
        <v>20</v>
      </c>
      <c r="I32">
        <v>25</v>
      </c>
      <c r="Q32">
        <v>31</v>
      </c>
      <c r="R32" s="5" t="s">
        <v>84</v>
      </c>
      <c r="S32" s="5">
        <v>1.9381999999999999</v>
      </c>
      <c r="T32" s="6">
        <v>10</v>
      </c>
      <c r="U32" s="6" t="s">
        <v>38</v>
      </c>
      <c r="W32">
        <f t="shared" si="0"/>
        <v>19.381999999999998</v>
      </c>
      <c r="X32" s="8">
        <f t="shared" si="1"/>
        <v>2.4929903137126428E-2</v>
      </c>
      <c r="Y32">
        <f t="shared" si="2"/>
        <v>0.5464911263880029</v>
      </c>
      <c r="Z32">
        <f t="shared" si="3"/>
        <v>5.464911263880029E-2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>
        <v>4.3897125865218616</v>
      </c>
      <c r="G33">
        <f t="shared" si="8"/>
        <v>0.87794251730437234</v>
      </c>
      <c r="H33" t="s">
        <v>20</v>
      </c>
      <c r="I33">
        <v>26</v>
      </c>
      <c r="Q33">
        <v>32</v>
      </c>
      <c r="R33" s="5" t="s">
        <v>86</v>
      </c>
      <c r="S33" s="5">
        <v>2.0365000000000002</v>
      </c>
      <c r="T33" s="6">
        <v>11</v>
      </c>
      <c r="U33" s="6" t="s">
        <v>20</v>
      </c>
      <c r="W33">
        <f t="shared" si="0"/>
        <v>22.401500000000002</v>
      </c>
      <c r="X33" s="8">
        <f t="shared" si="1"/>
        <v>2.8813704732552771E-2</v>
      </c>
      <c r="Y33">
        <f t="shared" si="2"/>
        <v>0.63162836486331908</v>
      </c>
      <c r="Z33">
        <f t="shared" si="3"/>
        <v>5.7420760442119918E-2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>
        <v>0</v>
      </c>
      <c r="G34">
        <f t="shared" si="8"/>
        <v>0</v>
      </c>
      <c r="H34" t="s">
        <v>20</v>
      </c>
      <c r="I34">
        <v>27</v>
      </c>
      <c r="Q34">
        <v>33</v>
      </c>
      <c r="R34" s="5" t="s">
        <v>88</v>
      </c>
      <c r="S34" s="5">
        <v>3.1631000000000009</v>
      </c>
      <c r="T34" s="6">
        <v>11</v>
      </c>
      <c r="U34" s="6" t="s">
        <v>28</v>
      </c>
      <c r="W34">
        <f t="shared" si="0"/>
        <v>34.794100000000007</v>
      </c>
      <c r="X34" s="8">
        <f t="shared" si="1"/>
        <v>4.4753562209446443E-2</v>
      </c>
      <c r="Y34">
        <f t="shared" si="2"/>
        <v>0.98104771956747605</v>
      </c>
      <c r="Z34">
        <f t="shared" si="3"/>
        <v>8.9186156324316007E-2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>
        <v>0.63796152559409813</v>
      </c>
      <c r="G35">
        <f t="shared" si="8"/>
        <v>0.12759230511881964</v>
      </c>
      <c r="H35" t="s">
        <v>14</v>
      </c>
      <c r="I35">
        <v>28</v>
      </c>
      <c r="Q35">
        <v>34</v>
      </c>
      <c r="R35" s="5" t="s">
        <v>90</v>
      </c>
      <c r="S35" s="5">
        <v>1.2679</v>
      </c>
      <c r="T35" s="6">
        <v>11</v>
      </c>
      <c r="U35" s="6" t="s">
        <v>36</v>
      </c>
      <c r="W35">
        <f t="shared" si="0"/>
        <v>13.946899999999999</v>
      </c>
      <c r="X35" s="8">
        <f t="shared" si="1"/>
        <v>1.7939060265359023E-2</v>
      </c>
      <c r="Y35">
        <f t="shared" si="2"/>
        <v>0.39324409713243413</v>
      </c>
      <c r="Z35">
        <f t="shared" si="3"/>
        <v>3.5749463375675833E-2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>
        <v>6.4692524114919131E-2</v>
      </c>
      <c r="G36">
        <f t="shared" si="8"/>
        <v>1.0782087352486522E-2</v>
      </c>
      <c r="H36" t="s">
        <v>20</v>
      </c>
      <c r="I36">
        <v>29</v>
      </c>
      <c r="Q36">
        <v>35</v>
      </c>
      <c r="R36" s="3" t="s">
        <v>92</v>
      </c>
      <c r="S36" s="3">
        <v>8.2199999999999995E-2</v>
      </c>
      <c r="T36" s="4">
        <v>11</v>
      </c>
      <c r="U36" s="4" t="s">
        <v>14</v>
      </c>
      <c r="W36">
        <f t="shared" si="0"/>
        <v>0.90419999999999989</v>
      </c>
      <c r="X36" s="8">
        <f t="shared" si="1"/>
        <v>1.1630181826741159E-3</v>
      </c>
      <c r="Y36">
        <f t="shared" si="2"/>
        <v>2.5494648461460746E-2</v>
      </c>
      <c r="Z36">
        <f t="shared" si="3"/>
        <v>2.3176953146782499E-3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>
        <v>0.86023384314672524</v>
      </c>
      <c r="G37">
        <f t="shared" si="8"/>
        <v>0.14337230719112087</v>
      </c>
      <c r="H37" t="s">
        <v>28</v>
      </c>
      <c r="I37">
        <v>30</v>
      </c>
      <c r="Q37">
        <v>36</v>
      </c>
      <c r="R37" s="5" t="s">
        <v>94</v>
      </c>
      <c r="S37" s="5">
        <v>2.2296</v>
      </c>
      <c r="T37" s="6">
        <v>12</v>
      </c>
      <c r="U37" s="6" t="s">
        <v>28</v>
      </c>
      <c r="W37">
        <f t="shared" si="0"/>
        <v>26.755200000000002</v>
      </c>
      <c r="X37" s="8">
        <f t="shared" si="1"/>
        <v>3.441360769860928E-2</v>
      </c>
      <c r="Y37">
        <f t="shared" si="2"/>
        <v>0.7543844487016973</v>
      </c>
      <c r="Z37">
        <f t="shared" si="3"/>
        <v>6.2865370725141437E-2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>
        <v>0</v>
      </c>
      <c r="G38">
        <f t="shared" si="8"/>
        <v>0</v>
      </c>
      <c r="H38" t="s">
        <v>20</v>
      </c>
      <c r="I38">
        <v>31</v>
      </c>
      <c r="Q38">
        <v>37</v>
      </c>
      <c r="R38" s="5" t="s">
        <v>96</v>
      </c>
      <c r="S38" s="5">
        <v>0.219</v>
      </c>
      <c r="T38" s="6">
        <v>12</v>
      </c>
      <c r="U38" s="6" t="s">
        <v>20</v>
      </c>
      <c r="W38">
        <f t="shared" si="0"/>
        <v>2.6280000000000001</v>
      </c>
      <c r="X38" s="8">
        <f t="shared" si="1"/>
        <v>3.3802386463919237E-3</v>
      </c>
      <c r="Y38">
        <f t="shared" si="2"/>
        <v>7.4098580133509034E-2</v>
      </c>
      <c r="Z38">
        <f t="shared" si="3"/>
        <v>6.1748816777924195E-3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>
        <v>1.810290678436526</v>
      </c>
      <c r="G39">
        <f t="shared" si="8"/>
        <v>0.30171511307275434</v>
      </c>
      <c r="H39" t="s">
        <v>20</v>
      </c>
      <c r="I39">
        <v>32</v>
      </c>
      <c r="Q39">
        <v>38</v>
      </c>
      <c r="R39" s="3" t="s">
        <v>98</v>
      </c>
      <c r="S39" s="3">
        <v>0.2006</v>
      </c>
      <c r="T39" s="4">
        <v>12</v>
      </c>
      <c r="U39" s="4" t="s">
        <v>38</v>
      </c>
      <c r="W39">
        <f t="shared" si="0"/>
        <v>2.4072</v>
      </c>
      <c r="X39" s="8">
        <f t="shared" si="1"/>
        <v>3.0962368605763463E-3</v>
      </c>
      <c r="Y39">
        <f t="shared" si="2"/>
        <v>6.787294600357037E-2</v>
      </c>
      <c r="Z39">
        <f t="shared" si="3"/>
        <v>5.6560788336308641E-3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>
        <v>1.14847449667471E-4</v>
      </c>
      <c r="G40">
        <f t="shared" si="8"/>
        <v>1.9141241611245166E-5</v>
      </c>
      <c r="H40" t="s">
        <v>20</v>
      </c>
      <c r="I40">
        <v>33</v>
      </c>
      <c r="Q40">
        <v>39</v>
      </c>
      <c r="R40" s="5" t="s">
        <v>100</v>
      </c>
      <c r="S40" s="5">
        <v>0.77190000000000003</v>
      </c>
      <c r="T40" s="6">
        <v>12</v>
      </c>
      <c r="U40" s="6" t="s">
        <v>36</v>
      </c>
      <c r="W40">
        <f t="shared" si="0"/>
        <v>9.2628000000000004</v>
      </c>
      <c r="X40" s="8">
        <f t="shared" si="1"/>
        <v>1.191418361255674E-2</v>
      </c>
      <c r="Y40">
        <f t="shared" si="2"/>
        <v>0.26117211874454621</v>
      </c>
      <c r="Z40">
        <f t="shared" si="3"/>
        <v>2.1764343228712183E-2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>
        <v>1.15880227937373E-2</v>
      </c>
      <c r="G41">
        <f t="shared" si="8"/>
        <v>1.93133713228955E-3</v>
      </c>
      <c r="H41" t="s">
        <v>14</v>
      </c>
      <c r="I41">
        <v>34</v>
      </c>
      <c r="Q41">
        <v>40</v>
      </c>
      <c r="R41" s="3" t="s">
        <v>102</v>
      </c>
      <c r="S41" s="3">
        <v>0.80540000000000012</v>
      </c>
      <c r="T41" s="4">
        <v>13</v>
      </c>
      <c r="U41" s="4" t="s">
        <v>28</v>
      </c>
      <c r="W41">
        <f t="shared" si="0"/>
        <v>10.470200000000002</v>
      </c>
      <c r="X41" s="8">
        <f t="shared" si="1"/>
        <v>1.3467189754738479E-2</v>
      </c>
      <c r="Y41">
        <f t="shared" si="2"/>
        <v>0.29521573581197347</v>
      </c>
      <c r="Z41">
        <f t="shared" si="3"/>
        <v>2.2708902754767189E-2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>
        <v>1.4141805128154889E-4</v>
      </c>
      <c r="G42">
        <f t="shared" si="8"/>
        <v>2.3569675213591481E-5</v>
      </c>
      <c r="H42" t="s">
        <v>20</v>
      </c>
      <c r="I42">
        <v>35</v>
      </c>
      <c r="Q42">
        <v>41</v>
      </c>
      <c r="R42" s="5" t="s">
        <v>104</v>
      </c>
      <c r="S42" s="5">
        <v>6.9599999999999995E-2</v>
      </c>
      <c r="T42" s="6">
        <v>13</v>
      </c>
      <c r="U42" s="6" t="s">
        <v>20</v>
      </c>
      <c r="W42">
        <f t="shared" si="0"/>
        <v>0.90479999999999994</v>
      </c>
      <c r="X42" s="8">
        <f t="shared" si="1"/>
        <v>1.1637899266573105E-3</v>
      </c>
      <c r="Y42">
        <f t="shared" si="2"/>
        <v>2.5511565945509497E-2</v>
      </c>
      <c r="Z42">
        <f t="shared" si="3"/>
        <v>1.9624281496545765E-3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>
        <v>6.157042746280587E-5</v>
      </c>
      <c r="G43">
        <f t="shared" si="8"/>
        <v>8.7957753518294102E-6</v>
      </c>
      <c r="H43" t="s">
        <v>28</v>
      </c>
      <c r="I43">
        <v>36</v>
      </c>
      <c r="Q43">
        <v>42</v>
      </c>
      <c r="R43" s="3" t="s">
        <v>106</v>
      </c>
      <c r="S43" s="3">
        <v>0.18319999999999989</v>
      </c>
      <c r="T43" s="4">
        <v>14</v>
      </c>
      <c r="U43" s="4" t="s">
        <v>28</v>
      </c>
      <c r="W43">
        <f t="shared" si="0"/>
        <v>2.5647999999999986</v>
      </c>
      <c r="X43" s="8">
        <f t="shared" si="1"/>
        <v>3.2989482801621009E-3</v>
      </c>
      <c r="Y43">
        <f t="shared" si="2"/>
        <v>7.2316605147041038E-2</v>
      </c>
      <c r="Z43">
        <f t="shared" si="3"/>
        <v>5.1654717962172168E-3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>
        <v>4.6000909921512922E-4</v>
      </c>
      <c r="G44">
        <f t="shared" si="8"/>
        <v>6.5715585602161316E-5</v>
      </c>
      <c r="H44" t="s">
        <v>20</v>
      </c>
      <c r="I44">
        <v>37</v>
      </c>
      <c r="Q44">
        <v>43</v>
      </c>
      <c r="R44" s="5" t="s">
        <v>108</v>
      </c>
      <c r="S44" s="5">
        <v>0.14449999999999999</v>
      </c>
      <c r="T44" s="6">
        <v>15</v>
      </c>
      <c r="U44" s="6" t="s">
        <v>28</v>
      </c>
      <c r="W44">
        <f t="shared" si="0"/>
        <v>2.1675</v>
      </c>
      <c r="X44" s="8">
        <f t="shared" si="1"/>
        <v>2.7879251392901425E-3</v>
      </c>
      <c r="Y44">
        <f t="shared" si="2"/>
        <v>6.1114411126096203E-2</v>
      </c>
      <c r="Z44">
        <f t="shared" si="3"/>
        <v>4.0742940750730806E-3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>
        <v>2.1357878685674221E-3</v>
      </c>
      <c r="G45">
        <f t="shared" si="8"/>
        <v>3.0511255265248889E-4</v>
      </c>
      <c r="H45" t="s">
        <v>20</v>
      </c>
      <c r="I45">
        <v>38</v>
      </c>
      <c r="Q45">
        <v>44</v>
      </c>
      <c r="R45" s="5" t="s">
        <v>110</v>
      </c>
      <c r="S45" s="5">
        <v>0.36849999999999988</v>
      </c>
      <c r="T45" s="6">
        <v>16</v>
      </c>
      <c r="U45" s="6" t="s">
        <v>28</v>
      </c>
      <c r="W45">
        <f t="shared" si="0"/>
        <v>5.8959999999999981</v>
      </c>
      <c r="X45" s="8">
        <f t="shared" si="1"/>
        <v>7.583670874857981E-3</v>
      </c>
      <c r="Y45">
        <f t="shared" si="2"/>
        <v>0.16624247658568078</v>
      </c>
      <c r="Z45">
        <f t="shared" si="3"/>
        <v>1.0390154786605049E-2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>
        <v>2.5579854552552651E-4</v>
      </c>
      <c r="G46">
        <f t="shared" si="8"/>
        <v>3.6542649360789502E-5</v>
      </c>
      <c r="H46" t="s">
        <v>14</v>
      </c>
      <c r="I46">
        <v>39</v>
      </c>
      <c r="Q46">
        <v>45</v>
      </c>
      <c r="R46" s="5" t="s">
        <v>112</v>
      </c>
      <c r="S46" s="5">
        <v>0.13650000000000001</v>
      </c>
      <c r="T46" s="6">
        <v>17</v>
      </c>
      <c r="U46" s="6" t="s">
        <v>28</v>
      </c>
      <c r="W46">
        <f t="shared" si="0"/>
        <v>2.3205</v>
      </c>
      <c r="X46" s="8">
        <f t="shared" si="1"/>
        <v>2.9847198550047404E-3</v>
      </c>
      <c r="Y46">
        <f t="shared" si="2"/>
        <v>6.5428369558526517E-2</v>
      </c>
      <c r="Z46">
        <f t="shared" si="3"/>
        <v>3.8487276210897952E-3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>
        <v>2.796333315382009E-5</v>
      </c>
      <c r="G47">
        <f t="shared" si="8"/>
        <v>3.9947618791171554E-6</v>
      </c>
      <c r="H47" t="s">
        <v>20</v>
      </c>
      <c r="I47">
        <v>40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46.241367566612226</v>
      </c>
      <c r="G54">
        <f>SUM(G4:G51)</f>
        <v>22.564836125359008</v>
      </c>
      <c r="Y54">
        <f>+SUM(Y1:Y49)</f>
        <v>21.921109094649886</v>
      </c>
      <c r="Z54">
        <f>+SUM(Z1:Z49)</f>
        <v>2.8195722160490346</v>
      </c>
      <c r="AH54">
        <f>SUM(AH4:AH51)</f>
        <v>1472.6999999999998</v>
      </c>
      <c r="AJ54">
        <f>SUM(AJ4:AJ51)</f>
        <v>9.2752571745332411</v>
      </c>
      <c r="AK54">
        <f>SUM(AK4:AK51)</f>
        <v>0.62981307629070693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I127"/>
  <sheetViews>
    <sheetView topLeftCell="S1" zoomScale="75" workbookViewId="0">
      <selection activeCell="AM38" sqref="AM38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25" bestFit="1" customWidth="1"/>
    <col min="16" max="16" width="12.75" bestFit="1" customWidth="1"/>
    <col min="17" max="17" width="13" bestFit="1" customWidth="1"/>
    <col min="18" max="18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3.125" bestFit="1" customWidth="1"/>
    <col min="35" max="35" width="16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Y3" s="21">
        <f>'5% CO'!D6-'5% CO'!E6</f>
        <v>39.308285097118173</v>
      </c>
      <c r="Z3" s="21">
        <f>+'5% CO'!D7-'5% CO'!E7</f>
        <v>38.129448738677212</v>
      </c>
      <c r="AA3" s="21">
        <f>+'5% CO'!D6</f>
        <v>52.733113232800932</v>
      </c>
      <c r="AB3" s="21">
        <f>+'5% CO'!D7</f>
        <v>164.77162198880831</v>
      </c>
    </row>
    <row r="4" spans="2:35" x14ac:dyDescent="0.25">
      <c r="B4">
        <f>'5% CO'!B25</f>
        <v>1</v>
      </c>
      <c r="C4" t="str">
        <f>'5% CO'!H25</f>
        <v>oxygenated</v>
      </c>
      <c r="D4" t="str">
        <f>'5% CO'!C25</f>
        <v>Metanolo</v>
      </c>
      <c r="E4">
        <f>'5% CO'!G25</f>
        <v>0.64499028268648395</v>
      </c>
      <c r="F4" t="s">
        <v>121</v>
      </c>
      <c r="Y4">
        <f>Y3/(Y3+Z3)</f>
        <v>0.50761151121067571</v>
      </c>
      <c r="Z4">
        <f>1-Y4</f>
        <v>0.49238848878932429</v>
      </c>
    </row>
    <row r="5" spans="2:35" x14ac:dyDescent="0.25">
      <c r="B5">
        <f>'5% CO'!B18</f>
        <v>1</v>
      </c>
      <c r="C5" t="str">
        <f>'5% CO'!H18</f>
        <v>paraffin</v>
      </c>
      <c r="D5" t="str">
        <f>'5% CO'!C18</f>
        <v>*CH4</v>
      </c>
      <c r="E5">
        <f>'5% CO'!G18</f>
        <v>11.284207492384301</v>
      </c>
      <c r="F5" t="s">
        <v>121</v>
      </c>
      <c r="R5" t="s">
        <v>120</v>
      </c>
      <c r="S5" t="s">
        <v>122</v>
      </c>
      <c r="T5" t="s">
        <v>123</v>
      </c>
      <c r="U5" t="s">
        <v>124</v>
      </c>
      <c r="V5" t="s">
        <v>125</v>
      </c>
      <c r="W5" t="s">
        <v>24</v>
      </c>
      <c r="X5" t="s">
        <v>6</v>
      </c>
      <c r="Y5" t="s">
        <v>126</v>
      </c>
      <c r="Z5" t="s">
        <v>127</v>
      </c>
      <c r="AA5" t="s">
        <v>128</v>
      </c>
      <c r="AB5" t="s">
        <v>129</v>
      </c>
      <c r="AH5" s="14" t="s">
        <v>130</v>
      </c>
      <c r="AI5" t="s">
        <v>131</v>
      </c>
    </row>
    <row r="6" spans="2:35" x14ac:dyDescent="0.25">
      <c r="B6">
        <f>'5% CO'!B20</f>
        <v>2</v>
      </c>
      <c r="C6" t="str">
        <f>'5% CO'!H20</f>
        <v>Olefin</v>
      </c>
      <c r="D6" t="str">
        <f>'5% CO'!C20</f>
        <v>*Acetilene</v>
      </c>
      <c r="E6">
        <f>'5% CO'!G20</f>
        <v>0</v>
      </c>
      <c r="F6" t="s">
        <v>121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11.284207492384301</v>
      </c>
      <c r="X6">
        <f t="shared" ref="X6:X37" si="0">+W6*S6</f>
        <v>11.284207492384301</v>
      </c>
      <c r="Y6">
        <f t="shared" ref="Y6:Y37" si="1">X6*$Y$4</f>
        <v>5.7279936180240245</v>
      </c>
      <c r="Z6">
        <f t="shared" ref="Z6:Z37" si="2">+X6*$Z$4</f>
        <v>5.5562138743602763</v>
      </c>
      <c r="AA6">
        <f t="shared" ref="AA6:AA37" si="3">+Y6/$AA$3</f>
        <v>0.10862232982029044</v>
      </c>
      <c r="AB6">
        <f t="shared" ref="AB6:AB37" si="4">+Z6/$AB$3</f>
        <v>3.3720696605982724E-2</v>
      </c>
      <c r="AD6">
        <f>+$AB$3*Tabella11[[#This Row],[conv CO2]]</f>
        <v>5.5562138743602763</v>
      </c>
      <c r="AH6" s="15">
        <v>1</v>
      </c>
      <c r="AI6" s="43">
        <v>11.929197775070785</v>
      </c>
    </row>
    <row r="7" spans="2:35" x14ac:dyDescent="0.25">
      <c r="B7">
        <f>'5% CO'!B19</f>
        <v>2</v>
      </c>
      <c r="C7" t="str">
        <f>'5% CO'!H19</f>
        <v>Olefin</v>
      </c>
      <c r="D7" t="str">
        <f>'5% CO'!C19</f>
        <v>*Etilene</v>
      </c>
      <c r="E7">
        <f>'5% CO'!G19</f>
        <v>2.9665605763140062</v>
      </c>
      <c r="F7" t="s">
        <v>121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0.64499028268648395</v>
      </c>
      <c r="X7">
        <f t="shared" si="0"/>
        <v>0.64499028268648395</v>
      </c>
      <c r="Y7">
        <f t="shared" si="1"/>
        <v>0.32740449211068706</v>
      </c>
      <c r="Z7">
        <f t="shared" si="2"/>
        <v>0.31758579057579689</v>
      </c>
      <c r="AA7">
        <f t="shared" si="3"/>
        <v>6.2087078125900533E-3</v>
      </c>
      <c r="AB7">
        <f t="shared" si="4"/>
        <v>1.9274301408368007E-3</v>
      </c>
      <c r="AD7">
        <f>+$AB$3*Tabella11[[#This Row],[conv CO2]]</f>
        <v>0.31758579057579689</v>
      </c>
      <c r="AH7" s="15">
        <v>2</v>
      </c>
      <c r="AI7" s="43">
        <v>7.4382037070915272</v>
      </c>
    </row>
    <row r="8" spans="2:35" x14ac:dyDescent="0.25">
      <c r="B8">
        <f>'5% CO'!B24</f>
        <v>2</v>
      </c>
      <c r="C8" t="str">
        <f>'5% CO'!H24</f>
        <v>oxygenated</v>
      </c>
      <c r="D8" t="str">
        <f>'5% CO'!C24</f>
        <v>*DME</v>
      </c>
      <c r="E8">
        <f>'5% CO'!G24</f>
        <v>0</v>
      </c>
      <c r="F8" t="s">
        <v>121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0.75254127723175746</v>
      </c>
      <c r="X8">
        <f t="shared" si="0"/>
        <v>1.5050825544635149</v>
      </c>
      <c r="Y8">
        <f t="shared" si="1"/>
        <v>0.76399722996804897</v>
      </c>
      <c r="Z8">
        <f t="shared" si="2"/>
        <v>0.74108532449546594</v>
      </c>
      <c r="AA8">
        <f t="shared" si="3"/>
        <v>1.4487997827763924E-2</v>
      </c>
      <c r="AB8">
        <f t="shared" si="4"/>
        <v>4.4976514496276685E-3</v>
      </c>
      <c r="AD8">
        <f>+$AB$3*Tabella11[[#This Row],[conv CO2]]</f>
        <v>0.74108532449546594</v>
      </c>
      <c r="AH8" s="15">
        <v>3</v>
      </c>
      <c r="AI8" s="43">
        <v>9.9256945269861188</v>
      </c>
    </row>
    <row r="9" spans="2:35" x14ac:dyDescent="0.25">
      <c r="B9">
        <f>'5% CO'!B21</f>
        <v>2</v>
      </c>
      <c r="C9" t="str">
        <f>'5% CO'!H21</f>
        <v>paraffin</v>
      </c>
      <c r="D9" t="str">
        <f>'5% CO'!C21</f>
        <v>*Etano</v>
      </c>
      <c r="E9">
        <f>'5% CO'!G21</f>
        <v>0.75254127723175746</v>
      </c>
      <c r="F9" t="s">
        <v>121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2.9665605763140062</v>
      </c>
      <c r="X9">
        <f t="shared" si="0"/>
        <v>5.9331211526280123</v>
      </c>
      <c r="Y9">
        <f t="shared" si="1"/>
        <v>3.0117205944815315</v>
      </c>
      <c r="Z9">
        <f t="shared" si="2"/>
        <v>2.9214005581464808</v>
      </c>
      <c r="AA9">
        <f t="shared" si="3"/>
        <v>5.711251261016366E-2</v>
      </c>
      <c r="AB9">
        <f t="shared" si="4"/>
        <v>1.7729998181027249E-2</v>
      </c>
      <c r="AH9" s="15">
        <v>4</v>
      </c>
      <c r="AI9" s="43">
        <v>8.0172347955464964</v>
      </c>
    </row>
    <row r="10" spans="2:35" x14ac:dyDescent="0.25">
      <c r="B10">
        <f>'5% CO'!B22</f>
        <v>3</v>
      </c>
      <c r="C10" t="str">
        <f>'5% CO'!H22</f>
        <v>Olefin</v>
      </c>
      <c r="D10" t="str">
        <f>'5% CO'!C22</f>
        <v>*Propilene</v>
      </c>
      <c r="E10">
        <f>'5% CO'!G22</f>
        <v>2.9824519040758708</v>
      </c>
      <c r="F10" t="s">
        <v>121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0.32611293825283549</v>
      </c>
      <c r="X10">
        <f t="shared" si="0"/>
        <v>0.97833881475850648</v>
      </c>
      <c r="Y10">
        <f t="shared" si="1"/>
        <v>0.49661604423562683</v>
      </c>
      <c r="Z10">
        <f t="shared" si="2"/>
        <v>0.48172277052287965</v>
      </c>
      <c r="AA10">
        <f t="shared" si="3"/>
        <v>9.417536985597939E-3</v>
      </c>
      <c r="AB10">
        <f t="shared" si="4"/>
        <v>2.9235784943332016E-3</v>
      </c>
      <c r="AH10" s="15">
        <v>5</v>
      </c>
      <c r="AI10" s="43">
        <v>7.7743976992954709</v>
      </c>
    </row>
    <row r="11" spans="2:35" x14ac:dyDescent="0.25">
      <c r="B11">
        <f>'5% CO'!B23</f>
        <v>3</v>
      </c>
      <c r="C11" t="str">
        <f>'5% CO'!H23</f>
        <v>paraffin</v>
      </c>
      <c r="D11" t="str">
        <f>'5% CO'!C23</f>
        <v>*Propano</v>
      </c>
      <c r="E11">
        <f>'5% CO'!G23</f>
        <v>0.30622925533420892</v>
      </c>
      <c r="F11" t="s">
        <v>121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2.9824519040758708</v>
      </c>
      <c r="X11">
        <f t="shared" si="0"/>
        <v>8.9473557122276119</v>
      </c>
      <c r="Y11">
        <f t="shared" si="1"/>
        <v>4.5417807544233302</v>
      </c>
      <c r="Z11">
        <f t="shared" si="2"/>
        <v>4.4055749578042818</v>
      </c>
      <c r="AA11">
        <f t="shared" si="3"/>
        <v>8.6127680995672029E-2</v>
      </c>
      <c r="AB11">
        <f t="shared" si="4"/>
        <v>2.6737461855558593E-2</v>
      </c>
      <c r="AH11" s="15">
        <v>6</v>
      </c>
      <c r="AI11" s="43">
        <v>5.2237640812452737</v>
      </c>
    </row>
    <row r="12" spans="2:35" x14ac:dyDescent="0.25">
      <c r="B12">
        <f>'5% CO'!B27</f>
        <v>4</v>
      </c>
      <c r="C12" t="str">
        <f>'5% CO'!H27</f>
        <v>Olefin</v>
      </c>
      <c r="D12" t="str">
        <f>'5% CO'!C27</f>
        <v>*1-Butene</v>
      </c>
      <c r="E12">
        <f>'5% CO'!G27</f>
        <v>1.5864331013899196</v>
      </c>
      <c r="F12" t="s">
        <v>121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0.23449560985954729</v>
      </c>
      <c r="X12">
        <f t="shared" si="0"/>
        <v>0.93798243943818915</v>
      </c>
      <c r="Y12">
        <f t="shared" si="1"/>
        <v>0.47613068357229532</v>
      </c>
      <c r="Z12">
        <f t="shared" si="2"/>
        <v>0.46185175586589383</v>
      </c>
      <c r="AA12">
        <f t="shared" si="3"/>
        <v>9.0290645551367437E-3</v>
      </c>
      <c r="AB12">
        <f t="shared" si="4"/>
        <v>2.8029811826290325E-3</v>
      </c>
      <c r="AH12" s="15">
        <v>7</v>
      </c>
      <c r="AI12" s="43">
        <v>2.9591586835653576</v>
      </c>
    </row>
    <row r="13" spans="2:35" x14ac:dyDescent="0.25">
      <c r="B13">
        <f>'5% CO'!B29</f>
        <v>4</v>
      </c>
      <c r="C13" t="str">
        <f>'5% CO'!H29</f>
        <v>Olefin</v>
      </c>
      <c r="D13" t="str">
        <f>'5% CO'!C29</f>
        <v>2-Butene</v>
      </c>
      <c r="E13">
        <f>'5% CO'!G29</f>
        <v>2.8354859891253276E-2</v>
      </c>
      <c r="F13" t="s">
        <v>121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6.9756425894330794E-3</v>
      </c>
      <c r="X13">
        <f t="shared" si="0"/>
        <v>2.7902570357732318E-2</v>
      </c>
      <c r="Y13">
        <f t="shared" si="1"/>
        <v>1.4163665905950706E-2</v>
      </c>
      <c r="Z13">
        <f t="shared" si="2"/>
        <v>1.3738904451781612E-2</v>
      </c>
      <c r="AA13">
        <f t="shared" si="3"/>
        <v>2.6859149854138812E-4</v>
      </c>
      <c r="AB13">
        <f t="shared" si="4"/>
        <v>8.338149667977895E-5</v>
      </c>
      <c r="AH13" s="15">
        <v>8</v>
      </c>
      <c r="AI13" s="43">
        <v>4.1037635590322097</v>
      </c>
    </row>
    <row r="14" spans="2:35" x14ac:dyDescent="0.25">
      <c r="B14">
        <f>'5% CO'!B26</f>
        <v>4</v>
      </c>
      <c r="C14" t="str">
        <f>'5% CO'!H26</f>
        <v>Olefin</v>
      </c>
      <c r="D14" t="str">
        <f>'5% CO'!C26</f>
        <v>2-Metilpropene</v>
      </c>
      <c r="E14">
        <f>'5% CO'!G26</f>
        <v>2.3029278036235987E-2</v>
      </c>
      <c r="F14" t="s">
        <v>121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1.7628374464376444</v>
      </c>
      <c r="X14">
        <f t="shared" si="0"/>
        <v>7.0513497857505776</v>
      </c>
      <c r="Y14">
        <f t="shared" si="1"/>
        <v>3.579346320819925</v>
      </c>
      <c r="Z14">
        <f t="shared" si="2"/>
        <v>3.4720034649306526</v>
      </c>
      <c r="AA14">
        <f t="shared" si="3"/>
        <v>6.7876635787046766E-2</v>
      </c>
      <c r="AB14">
        <f t="shared" si="4"/>
        <v>2.1071610651295765E-2</v>
      </c>
      <c r="AH14" s="15">
        <v>9</v>
      </c>
      <c r="AI14" s="43">
        <v>4.158780067499233</v>
      </c>
    </row>
    <row r="15" spans="2:35" x14ac:dyDescent="0.25">
      <c r="B15">
        <f>'5% CO'!B28</f>
        <v>4</v>
      </c>
      <c r="C15" t="str">
        <f>'5% CO'!H28</f>
        <v>paraffin</v>
      </c>
      <c r="D15" t="str">
        <f>'5% CO'!C28</f>
        <v>*N-Butano</v>
      </c>
      <c r="E15">
        <f>'5% CO'!G28</f>
        <v>0.22254904654045757</v>
      </c>
      <c r="F15" t="s">
        <v>121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0.1513839268527066</v>
      </c>
      <c r="X15">
        <f t="shared" si="0"/>
        <v>0.75691963426353304</v>
      </c>
      <c r="Y15">
        <f t="shared" si="1"/>
        <v>0.38422111941354398</v>
      </c>
      <c r="Z15">
        <f t="shared" si="2"/>
        <v>0.37269851484998906</v>
      </c>
      <c r="AA15">
        <f t="shared" si="3"/>
        <v>7.2861451914913991E-3</v>
      </c>
      <c r="AB15">
        <f t="shared" si="4"/>
        <v>2.261909607682952E-3</v>
      </c>
      <c r="AH15" s="15">
        <v>10</v>
      </c>
      <c r="AI15" s="43">
        <v>3.5567424719597254</v>
      </c>
    </row>
    <row r="16" spans="2:35" x14ac:dyDescent="0.25">
      <c r="B16">
        <f>'5% CO'!B31</f>
        <v>5</v>
      </c>
      <c r="C16" t="str">
        <f>'5% CO'!H31</f>
        <v>iso-paraffin</v>
      </c>
      <c r="D16" t="str">
        <f>'5% CO'!C31</f>
        <v>2-Metilbutano</v>
      </c>
      <c r="E16">
        <f>'5% CO'!G31</f>
        <v>0</v>
      </c>
      <c r="F16" t="s">
        <v>121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2.0128986437333372E-2</v>
      </c>
      <c r="X16">
        <f t="shared" si="0"/>
        <v>0.10064493218666687</v>
      </c>
      <c r="Y16">
        <f t="shared" si="1"/>
        <v>5.1088526122969949E-2</v>
      </c>
      <c r="Z16">
        <f t="shared" si="2"/>
        <v>4.955640606369692E-2</v>
      </c>
      <c r="AA16">
        <f t="shared" si="3"/>
        <v>9.6881300934062778E-4</v>
      </c>
      <c r="AB16">
        <f t="shared" si="4"/>
        <v>3.0075813702351556E-4</v>
      </c>
      <c r="AH16" s="15">
        <v>11</v>
      </c>
      <c r="AI16" s="43">
        <v>2.6618577193916879</v>
      </c>
    </row>
    <row r="17" spans="2:35" x14ac:dyDescent="0.25">
      <c r="B17">
        <f>'5% CO'!B33</f>
        <v>5</v>
      </c>
      <c r="C17" t="str">
        <f>'5% CO'!H33</f>
        <v>Olefin</v>
      </c>
      <c r="D17" t="str">
        <f>'5% CO'!C33</f>
        <v>*1-Pentene</v>
      </c>
      <c r="E17">
        <f>'5% CO'!G33</f>
        <v>0.87794251730437234</v>
      </c>
      <c r="F17" t="s">
        <v>121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1.3749473586741281</v>
      </c>
      <c r="X17">
        <f t="shared" si="0"/>
        <v>6.8747367933706407</v>
      </c>
      <c r="Y17">
        <f t="shared" si="1"/>
        <v>3.489695532858506</v>
      </c>
      <c r="Z17">
        <f t="shared" si="2"/>
        <v>3.3850412605121347</v>
      </c>
      <c r="AA17">
        <f t="shared" si="3"/>
        <v>6.6176550537658252E-2</v>
      </c>
      <c r="AB17">
        <f t="shared" si="4"/>
        <v>2.0543836491104365E-2</v>
      </c>
      <c r="AH17" s="15">
        <v>12</v>
      </c>
      <c r="AI17" s="43">
        <v>1.9510925697096135</v>
      </c>
    </row>
    <row r="18" spans="2:35" x14ac:dyDescent="0.25">
      <c r="B18">
        <f>'5% CO'!B32</f>
        <v>5</v>
      </c>
      <c r="C18" t="str">
        <f>'5% CO'!H32</f>
        <v>Olefin</v>
      </c>
      <c r="D18" t="str">
        <f>'5% CO'!C32</f>
        <v>2-Metilbut-1-ene</v>
      </c>
      <c r="E18">
        <f>'5% CO'!G32</f>
        <v>0</v>
      </c>
      <c r="F18" t="s">
        <v>121</v>
      </c>
      <c r="N18">
        <v>1</v>
      </c>
      <c r="O18" t="s">
        <v>67</v>
      </c>
      <c r="P18" s="43">
        <v>0.64499028268648395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8.4192678949261014E-3</v>
      </c>
      <c r="X18">
        <f t="shared" si="0"/>
        <v>4.2096339474630505E-2</v>
      </c>
      <c r="Y18">
        <f t="shared" si="1"/>
        <v>2.1368586497154812E-2</v>
      </c>
      <c r="Z18">
        <f t="shared" si="2"/>
        <v>2.0727752977475693E-2</v>
      </c>
      <c r="AA18">
        <f t="shared" si="3"/>
        <v>4.0522140998614837E-4</v>
      </c>
      <c r="AB18">
        <f t="shared" si="4"/>
        <v>1.2579686190674006E-4</v>
      </c>
      <c r="AH18" s="15">
        <v>13</v>
      </c>
      <c r="AI18" s="43">
        <v>1.2131724308614147</v>
      </c>
    </row>
    <row r="19" spans="2:35" x14ac:dyDescent="0.25">
      <c r="B19">
        <f>'5% CO'!B34</f>
        <v>5</v>
      </c>
      <c r="C19" t="str">
        <f>'5% CO'!H34</f>
        <v>Olefin</v>
      </c>
      <c r="D19" t="str">
        <f>'5% CO'!C34</f>
        <v>2-Pentene</v>
      </c>
      <c r="E19">
        <f>'5% CO'!G34</f>
        <v>0</v>
      </c>
      <c r="F19" t="s">
        <v>121</v>
      </c>
      <c r="O19" t="s">
        <v>14</v>
      </c>
      <c r="P19" s="43">
        <v>11.284207492384301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0.41390825335664816</v>
      </c>
      <c r="X19">
        <f t="shared" si="0"/>
        <v>2.4834495201398887</v>
      </c>
      <c r="Y19">
        <f t="shared" si="1"/>
        <v>1.2606275639336364</v>
      </c>
      <c r="Z19">
        <f t="shared" si="2"/>
        <v>1.2228219562062523</v>
      </c>
      <c r="AA19">
        <f t="shared" si="3"/>
        <v>2.3905805795465602E-2</v>
      </c>
      <c r="AB19">
        <f t="shared" si="4"/>
        <v>7.4213140675966002E-3</v>
      </c>
      <c r="AH19" s="15">
        <v>14</v>
      </c>
      <c r="AI19" s="43">
        <v>1.0157765934305198</v>
      </c>
    </row>
    <row r="20" spans="2:35" x14ac:dyDescent="0.25">
      <c r="B20">
        <f>'5% CO'!B30</f>
        <v>5</v>
      </c>
      <c r="C20" t="str">
        <f>'5% CO'!H30</f>
        <v>Olefin</v>
      </c>
      <c r="D20" t="str">
        <f>'5% CO'!C30</f>
        <v>3-Metilbut-1-ene</v>
      </c>
      <c r="E20">
        <f>'5% CO'!G30</f>
        <v>0.22658449801189481</v>
      </c>
      <c r="F20" t="s">
        <v>121</v>
      </c>
      <c r="N20">
        <v>2</v>
      </c>
      <c r="O20" t="s">
        <v>20</v>
      </c>
      <c r="P20" s="43">
        <v>2.9665605763140062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5.004680067811804E-3</v>
      </c>
      <c r="X20">
        <f t="shared" si="0"/>
        <v>3.0028080406870824E-2</v>
      </c>
      <c r="Y20">
        <f t="shared" si="1"/>
        <v>1.524259927408738E-2</v>
      </c>
      <c r="Z20">
        <f t="shared" si="2"/>
        <v>1.4785481132783444E-2</v>
      </c>
      <c r="AA20">
        <f t="shared" si="3"/>
        <v>2.8905176159040453E-4</v>
      </c>
      <c r="AB20">
        <f t="shared" si="4"/>
        <v>8.9733177074555407E-5</v>
      </c>
      <c r="AH20" s="15">
        <v>15</v>
      </c>
      <c r="AI20" s="43">
        <v>0.95859804484035349</v>
      </c>
    </row>
    <row r="21" spans="2:35" x14ac:dyDescent="0.25">
      <c r="B21">
        <f>'5% CO'!B35</f>
        <v>5</v>
      </c>
      <c r="C21" t="str">
        <f>'5% CO'!H35</f>
        <v>paraffin</v>
      </c>
      <c r="D21" t="str">
        <f>'5% CO'!C35</f>
        <v>*Pentano</v>
      </c>
      <c r="E21">
        <f>'5% CO'!G35</f>
        <v>0.12759230511881964</v>
      </c>
      <c r="F21" t="s">
        <v>121</v>
      </c>
      <c r="O21" t="s">
        <v>67</v>
      </c>
      <c r="P21" s="43">
        <v>0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0.42227517162425893</v>
      </c>
      <c r="X21">
        <f t="shared" si="0"/>
        <v>2.5336510297455535</v>
      </c>
      <c r="Y21">
        <f t="shared" si="1"/>
        <v>1.2861104280896252</v>
      </c>
      <c r="Z21">
        <f t="shared" si="2"/>
        <v>1.2475406016559283</v>
      </c>
      <c r="AA21">
        <f t="shared" si="3"/>
        <v>2.4389047967106212E-2</v>
      </c>
      <c r="AB21">
        <f t="shared" si="4"/>
        <v>7.5713316807712455E-3</v>
      </c>
      <c r="AH21" s="15">
        <v>16</v>
      </c>
      <c r="AI21" s="43">
        <v>0.94217218657583202</v>
      </c>
    </row>
    <row r="22" spans="2:35" x14ac:dyDescent="0.25">
      <c r="B22">
        <f>'5% CO'!B37</f>
        <v>6</v>
      </c>
      <c r="C22" t="str">
        <f>'5% CO'!H37</f>
        <v>iso-paraffin</v>
      </c>
      <c r="D22" t="str">
        <f>'5% CO'!C37</f>
        <v>2,2-Dimetilbutano</v>
      </c>
      <c r="E22">
        <f>'5% CO'!G37</f>
        <v>0.14337230719112087</v>
      </c>
      <c r="F22" t="s">
        <v>121</v>
      </c>
      <c r="O22" t="s">
        <v>14</v>
      </c>
      <c r="P22" s="43">
        <v>0.75254127723175746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2.2556645398328469E-3</v>
      </c>
      <c r="X22">
        <f t="shared" si="0"/>
        <v>1.3533987238997082E-2</v>
      </c>
      <c r="Y22">
        <f t="shared" si="1"/>
        <v>6.8700077150933092E-3</v>
      </c>
      <c r="Z22">
        <f t="shared" si="2"/>
        <v>6.6639795239037724E-3</v>
      </c>
      <c r="AA22">
        <f t="shared" si="3"/>
        <v>1.3027881901764984E-4</v>
      </c>
      <c r="AB22">
        <f t="shared" si="4"/>
        <v>4.0443733231905712E-5</v>
      </c>
      <c r="AH22" s="15">
        <v>17</v>
      </c>
      <c r="AI22" s="43">
        <v>0.78278546345364042</v>
      </c>
    </row>
    <row r="23" spans="2:35" x14ac:dyDescent="0.25">
      <c r="B23">
        <f>'5% CO'!B40</f>
        <v>6</v>
      </c>
      <c r="C23" t="str">
        <f>'5% CO'!H40</f>
        <v>Olefin</v>
      </c>
      <c r="D23" t="str">
        <f>'5% CO'!C40</f>
        <v>1-Esene</v>
      </c>
      <c r="E23">
        <f>'5% CO'!G40</f>
        <v>1.9141241611245166E-5</v>
      </c>
      <c r="F23" t="s">
        <v>121</v>
      </c>
      <c r="N23">
        <v>3</v>
      </c>
      <c r="O23" t="s">
        <v>20</v>
      </c>
      <c r="P23" s="43">
        <v>2.9824519040758708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2.7183577285660596E-2</v>
      </c>
      <c r="X23">
        <f t="shared" si="0"/>
        <v>0.16310146371396358</v>
      </c>
      <c r="Y23">
        <f t="shared" si="1"/>
        <v>8.2792180476518248E-2</v>
      </c>
      <c r="Z23">
        <f t="shared" si="2"/>
        <v>8.0309283237445336E-2</v>
      </c>
      <c r="AA23">
        <f t="shared" si="3"/>
        <v>1.5700226176864529E-3</v>
      </c>
      <c r="AB23">
        <f t="shared" si="4"/>
        <v>4.873975401110037E-4</v>
      </c>
      <c r="AH23" s="15">
        <v>18</v>
      </c>
      <c r="AI23" s="43">
        <v>0.70287139314042935</v>
      </c>
    </row>
    <row r="24" spans="2:35" x14ac:dyDescent="0.25">
      <c r="B24">
        <f>'5% CO'!B36</f>
        <v>6</v>
      </c>
      <c r="C24" t="str">
        <f>'5% CO'!H36</f>
        <v>Olefin</v>
      </c>
      <c r="D24" t="str">
        <f>'5% CO'!C36</f>
        <v>2-Metilbut-2-ene</v>
      </c>
      <c r="E24">
        <f>'5% CO'!G36</f>
        <v>1.0782087352486522E-2</v>
      </c>
      <c r="F24" t="s">
        <v>121</v>
      </c>
      <c r="O24" t="s">
        <v>14</v>
      </c>
      <c r="P24" s="43">
        <v>0.32611293825283549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3.6542649360789502E-5</v>
      </c>
      <c r="X24">
        <f t="shared" si="0"/>
        <v>2.5579854552552651E-4</v>
      </c>
      <c r="Y24">
        <f t="shared" si="1"/>
        <v>1.2984628625970534E-4</v>
      </c>
      <c r="Z24">
        <f t="shared" si="2"/>
        <v>1.2595225926582116E-4</v>
      </c>
      <c r="AA24">
        <f t="shared" si="3"/>
        <v>2.4623292329901479E-6</v>
      </c>
      <c r="AB24">
        <f t="shared" si="4"/>
        <v>7.644050458784471E-7</v>
      </c>
      <c r="AH24" s="15">
        <v>19</v>
      </c>
      <c r="AI24" s="43">
        <v>0.33506055658665601</v>
      </c>
    </row>
    <row r="25" spans="2:35" x14ac:dyDescent="0.25">
      <c r="B25">
        <f>'5% CO'!B42</f>
        <v>6</v>
      </c>
      <c r="C25" t="str">
        <f>'5% CO'!H42</f>
        <v>Olefin</v>
      </c>
      <c r="D25" t="str">
        <f>'5% CO'!C42</f>
        <v>2,3-Dimetilbut-2-ene</v>
      </c>
      <c r="E25">
        <f>'5% CO'!G42</f>
        <v>2.3569675213591481E-5</v>
      </c>
      <c r="F25" t="s">
        <v>121</v>
      </c>
      <c r="N25">
        <v>4</v>
      </c>
      <c r="O25" t="s">
        <v>28</v>
      </c>
      <c r="P25" s="43">
        <v>6.9756425894330794E-3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0.23071816490945538</v>
      </c>
      <c r="X25">
        <f t="shared" si="0"/>
        <v>1.6150271543661876</v>
      </c>
      <c r="Y25">
        <f t="shared" si="1"/>
        <v>0.81980637447409777</v>
      </c>
      <c r="Z25">
        <f t="shared" si="2"/>
        <v>0.79522077989208984</v>
      </c>
      <c r="AA25">
        <f t="shared" si="3"/>
        <v>1.5546329890573645E-2</v>
      </c>
      <c r="AB25">
        <f t="shared" si="4"/>
        <v>4.8261998655697103E-3</v>
      </c>
      <c r="AH25" s="15">
        <v>20</v>
      </c>
      <c r="AI25" s="43">
        <v>0.27711775356791102</v>
      </c>
    </row>
    <row r="26" spans="2:35" x14ac:dyDescent="0.25">
      <c r="B26">
        <f>'5% CO'!B38</f>
        <v>6</v>
      </c>
      <c r="C26" t="str">
        <f>'5% CO'!H38</f>
        <v>Olefin</v>
      </c>
      <c r="D26" t="str">
        <f>'5% CO'!C38</f>
        <v>3-Metilpent-1-ene</v>
      </c>
      <c r="E26">
        <f>'5% CO'!G38</f>
        <v>0</v>
      </c>
      <c r="F26" t="s">
        <v>121</v>
      </c>
      <c r="O26" t="s">
        <v>20</v>
      </c>
      <c r="P26" s="43">
        <v>1.7628374464376444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0.16140389481812589</v>
      </c>
      <c r="X26">
        <f t="shared" si="0"/>
        <v>1.1298272637268814</v>
      </c>
      <c r="Y26">
        <f t="shared" si="1"/>
        <v>0.57351332474742489</v>
      </c>
      <c r="Z26">
        <f t="shared" si="2"/>
        <v>0.55631393897945647</v>
      </c>
      <c r="AA26">
        <f t="shared" si="3"/>
        <v>1.0875772158862212E-2</v>
      </c>
      <c r="AB26">
        <f t="shared" si="4"/>
        <v>3.3762727602283521E-3</v>
      </c>
      <c r="AH26" s="15">
        <v>21</v>
      </c>
      <c r="AI26" s="43">
        <v>0.26452149204209696</v>
      </c>
    </row>
    <row r="27" spans="2:35" x14ac:dyDescent="0.25">
      <c r="B27">
        <f>'5% CO'!B39</f>
        <v>6</v>
      </c>
      <c r="C27" t="str">
        <f>'5% CO'!H39</f>
        <v>Olefin</v>
      </c>
      <c r="D27" t="str">
        <f>'5% CO'!C39</f>
        <v>4-Metilpent-2-ene</v>
      </c>
      <c r="E27">
        <f>'5% CO'!G39</f>
        <v>0.30171511307275434</v>
      </c>
      <c r="F27" t="s">
        <v>121</v>
      </c>
      <c r="O27" t="s">
        <v>14</v>
      </c>
      <c r="P27" s="43">
        <v>0.23449560985954729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6.0310830633780749E-3</v>
      </c>
      <c r="X27">
        <f t="shared" si="0"/>
        <v>4.2217581443646526E-2</v>
      </c>
      <c r="Y27">
        <f t="shared" si="1"/>
        <v>2.1430130316269193E-2</v>
      </c>
      <c r="Z27">
        <f t="shared" si="2"/>
        <v>2.0787451127377333E-2</v>
      </c>
      <c r="AA27">
        <f t="shared" si="3"/>
        <v>4.0638849107318156E-4</v>
      </c>
      <c r="AB27">
        <f t="shared" si="4"/>
        <v>1.2615917035027589E-4</v>
      </c>
      <c r="AH27" s="15">
        <v>22</v>
      </c>
      <c r="AI27" s="43">
        <v>0.24940597821112007</v>
      </c>
    </row>
    <row r="28" spans="2:35" x14ac:dyDescent="0.25">
      <c r="B28">
        <f>'5% CO'!B41</f>
        <v>6</v>
      </c>
      <c r="C28" t="str">
        <f>'5% CO'!H41</f>
        <v>paraffin</v>
      </c>
      <c r="D28" t="str">
        <f>'5% CO'!C41</f>
        <v>Esano</v>
      </c>
      <c r="E28">
        <f>'5% CO'!G41</f>
        <v>1.93133713228955E-3</v>
      </c>
      <c r="F28" t="s">
        <v>121</v>
      </c>
      <c r="N28">
        <v>5</v>
      </c>
      <c r="O28" t="s">
        <v>28</v>
      </c>
      <c r="P28" s="43">
        <v>2.0128986437333372E-2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2.4547269354730956E-2</v>
      </c>
      <c r="X28">
        <f t="shared" si="0"/>
        <v>0.1718308854831167</v>
      </c>
      <c r="Y28">
        <f t="shared" si="1"/>
        <v>8.7223335452753431E-2</v>
      </c>
      <c r="Z28">
        <f t="shared" si="2"/>
        <v>8.4607550030363271E-2</v>
      </c>
      <c r="AA28">
        <f t="shared" si="3"/>
        <v>1.6540524559528369E-3</v>
      </c>
      <c r="AB28">
        <f t="shared" si="4"/>
        <v>5.1348374804558285E-4</v>
      </c>
      <c r="AH28" s="15">
        <v>23</v>
      </c>
      <c r="AI28" s="43">
        <v>0.23177121207498011</v>
      </c>
    </row>
    <row r="29" spans="2:35" x14ac:dyDescent="0.25">
      <c r="B29">
        <f>'5% CO'!B9</f>
        <v>7</v>
      </c>
      <c r="C29" t="str">
        <f>'5% CO'!H9</f>
        <v>Aromatic</v>
      </c>
      <c r="D29" t="str">
        <f>'5% CO'!C9</f>
        <v>Toluene</v>
      </c>
      <c r="E29">
        <f>'5% CO'!G9</f>
        <v>0</v>
      </c>
      <c r="F29" t="s">
        <v>121</v>
      </c>
      <c r="O29" t="s">
        <v>38</v>
      </c>
      <c r="P29" s="43">
        <v>8.4192678949261014E-3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1.6684247271973093E-2</v>
      </c>
      <c r="X29">
        <f t="shared" si="0"/>
        <v>0.13347397817578474</v>
      </c>
      <c r="Y29">
        <f t="shared" si="1"/>
        <v>6.7752927769110835E-2</v>
      </c>
      <c r="Z29">
        <f t="shared" si="2"/>
        <v>6.5721050406673906E-2</v>
      </c>
      <c r="AA29">
        <f t="shared" si="3"/>
        <v>1.284827001774045E-3</v>
      </c>
      <c r="AB29">
        <f t="shared" si="4"/>
        <v>3.9886146420976446E-4</v>
      </c>
      <c r="AH29" s="15">
        <v>24</v>
      </c>
      <c r="AI29" s="43">
        <v>0.22673270746465446</v>
      </c>
    </row>
    <row r="30" spans="2:35" x14ac:dyDescent="0.25">
      <c r="B30">
        <f>'5% CO'!B43</f>
        <v>7</v>
      </c>
      <c r="C30" t="str">
        <f>'5% CO'!H43</f>
        <v>iso-paraffin</v>
      </c>
      <c r="D30" t="str">
        <f>'5% CO'!C43</f>
        <v>2,2-Dimetilpentano</v>
      </c>
      <c r="E30">
        <f>'5% CO'!G43</f>
        <v>8.7957753518294102E-6</v>
      </c>
      <c r="F30" t="s">
        <v>121</v>
      </c>
      <c r="O30" t="s">
        <v>20</v>
      </c>
      <c r="P30" s="43">
        <v>1.3749473586741281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9.6330973754236549E-2</v>
      </c>
      <c r="X30">
        <f t="shared" si="0"/>
        <v>0.77064779003389239</v>
      </c>
      <c r="Y30">
        <f t="shared" si="1"/>
        <v>0.39118968931027165</v>
      </c>
      <c r="Z30">
        <f t="shared" si="2"/>
        <v>0.37945810072362074</v>
      </c>
      <c r="AA30">
        <f t="shared" si="3"/>
        <v>7.4182930862300147E-3</v>
      </c>
      <c r="AB30">
        <f t="shared" si="4"/>
        <v>2.302933576446765E-3</v>
      </c>
      <c r="AH30" s="15">
        <v>25</v>
      </c>
      <c r="AI30" s="43">
        <v>0.20468924979447972</v>
      </c>
    </row>
    <row r="31" spans="2:35" x14ac:dyDescent="0.25">
      <c r="B31">
        <f>'5% CO'!B45</f>
        <v>7</v>
      </c>
      <c r="C31" t="str">
        <f>'5% CO'!H45</f>
        <v>Olefin</v>
      </c>
      <c r="D31" t="str">
        <f>'5% CO'!C45</f>
        <v>1-eptene</v>
      </c>
      <c r="E31">
        <f>'5% CO'!G45</f>
        <v>3.0511255265248889E-4</v>
      </c>
      <c r="F31" t="s">
        <v>121</v>
      </c>
      <c r="O31" t="s">
        <v>14</v>
      </c>
      <c r="P31" s="43">
        <v>0.1513839268527066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0.26445693023067784</v>
      </c>
      <c r="X31">
        <f t="shared" si="0"/>
        <v>2.1156554418454228</v>
      </c>
      <c r="Y31">
        <f t="shared" si="1"/>
        <v>1.0739310560362449</v>
      </c>
      <c r="Z31">
        <f t="shared" si="2"/>
        <v>1.0417243858091778</v>
      </c>
      <c r="AA31">
        <f t="shared" si="3"/>
        <v>2.0365402120204063E-2</v>
      </c>
      <c r="AB31">
        <f t="shared" si="4"/>
        <v>6.3222317850335557E-3</v>
      </c>
      <c r="AH31" s="15">
        <v>26</v>
      </c>
      <c r="AI31" s="43">
        <v>0.18012653981914217</v>
      </c>
    </row>
    <row r="32" spans="2:35" x14ac:dyDescent="0.25">
      <c r="B32">
        <f>'5% CO'!B47</f>
        <v>7</v>
      </c>
      <c r="C32" t="str">
        <f>'5% CO'!H47</f>
        <v>Olefin</v>
      </c>
      <c r="D32" t="str">
        <f>'5% CO'!C47</f>
        <v>2-Eptene</v>
      </c>
      <c r="E32">
        <f>'5% CO'!G47</f>
        <v>3.9947618791171554E-6</v>
      </c>
      <c r="F32" t="s">
        <v>121</v>
      </c>
      <c r="N32">
        <v>6</v>
      </c>
      <c r="O32" t="s">
        <v>36</v>
      </c>
      <c r="P32" s="43">
        <v>2.2556645398328469E-3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4.324108922859568E-2</v>
      </c>
      <c r="X32">
        <f t="shared" si="0"/>
        <v>0.34592871382876544</v>
      </c>
      <c r="Y32">
        <f t="shared" si="1"/>
        <v>0.175597397197785</v>
      </c>
      <c r="Z32">
        <f t="shared" si="2"/>
        <v>0.17033131663098044</v>
      </c>
      <c r="AA32">
        <f t="shared" si="3"/>
        <v>3.3299266140911304E-3</v>
      </c>
      <c r="AB32">
        <f t="shared" si="4"/>
        <v>1.0337418214075101E-3</v>
      </c>
      <c r="AH32" s="15">
        <v>27</v>
      </c>
      <c r="AI32" s="43">
        <v>0.15304457753864179</v>
      </c>
    </row>
    <row r="33" spans="1:35" x14ac:dyDescent="0.25">
      <c r="B33">
        <f>'5% CO'!B44</f>
        <v>7</v>
      </c>
      <c r="C33" t="str">
        <f>'5% CO'!H44</f>
        <v>Olefin</v>
      </c>
      <c r="D33" t="str">
        <f>'5% CO'!C44</f>
        <v>2-Metiles-1-ene</v>
      </c>
      <c r="E33">
        <f>'5% CO'!G44</f>
        <v>6.5715585602161316E-5</v>
      </c>
      <c r="F33" t="s">
        <v>121</v>
      </c>
      <c r="O33" t="s">
        <v>28</v>
      </c>
      <c r="P33" s="43">
        <v>0.41390825335664816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9.2257204393543096E-2</v>
      </c>
      <c r="X33">
        <f t="shared" si="0"/>
        <v>0.73805763514834477</v>
      </c>
      <c r="Y33">
        <f t="shared" si="1"/>
        <v>0.37464655153822884</v>
      </c>
      <c r="Z33">
        <f t="shared" si="2"/>
        <v>0.36341108361011593</v>
      </c>
      <c r="AA33">
        <f t="shared" si="3"/>
        <v>7.1045786711714954E-3</v>
      </c>
      <c r="AB33">
        <f t="shared" si="4"/>
        <v>2.2055441296487308E-3</v>
      </c>
      <c r="AH33" s="15" t="s">
        <v>211</v>
      </c>
      <c r="AI33" s="43">
        <v>77.437733835795342</v>
      </c>
    </row>
    <row r="34" spans="1:35" x14ac:dyDescent="0.25">
      <c r="B34">
        <f>'5% CO'!B46</f>
        <v>7</v>
      </c>
      <c r="C34" t="str">
        <f>'5% CO'!H46</f>
        <v>paraffin</v>
      </c>
      <c r="D34" t="str">
        <f>'5% CO'!C46</f>
        <v>Eptano</v>
      </c>
      <c r="E34">
        <f>'5% CO'!G46</f>
        <v>3.6542649360789502E-5</v>
      </c>
      <c r="F34" t="s">
        <v>121</v>
      </c>
      <c r="O34" t="s">
        <v>38</v>
      </c>
      <c r="P34" s="43">
        <v>2.7183577285660596E-2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3.9737779222589018E-2</v>
      </c>
      <c r="X34">
        <f t="shared" si="0"/>
        <v>0.35764001300330117</v>
      </c>
      <c r="Y34">
        <f t="shared" si="1"/>
        <v>0.18154218747001141</v>
      </c>
      <c r="Z34">
        <f t="shared" si="2"/>
        <v>0.17609782553328976</v>
      </c>
      <c r="AA34">
        <f t="shared" si="3"/>
        <v>3.4426601492037255E-3</v>
      </c>
      <c r="AB34">
        <f t="shared" si="4"/>
        <v>1.0687387998477721E-3</v>
      </c>
    </row>
    <row r="35" spans="1:35" x14ac:dyDescent="0.25">
      <c r="B35">
        <f>'5% CO'!B13</f>
        <v>8</v>
      </c>
      <c r="C35" t="str">
        <f>'5% CO'!H13</f>
        <v>Aromatic</v>
      </c>
      <c r="D35" t="str">
        <f>'5% CO'!C13</f>
        <v>Etilbenzene</v>
      </c>
      <c r="E35">
        <f>'5% CO'!G13</f>
        <v>0</v>
      </c>
      <c r="F35" t="s">
        <v>121</v>
      </c>
      <c r="O35" t="s">
        <v>20</v>
      </c>
      <c r="P35" s="43">
        <v>0.42227517162425893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0.25327729285513123</v>
      </c>
      <c r="X35">
        <f t="shared" si="0"/>
        <v>2.2794956356961809</v>
      </c>
      <c r="Y35">
        <f t="shared" si="1"/>
        <v>1.1570982244338783</v>
      </c>
      <c r="Z35">
        <f t="shared" si="2"/>
        <v>1.1223974112623025</v>
      </c>
      <c r="AA35">
        <f t="shared" si="3"/>
        <v>2.1942535790095221E-2</v>
      </c>
      <c r="AB35">
        <f t="shared" si="4"/>
        <v>6.8118368789167986E-3</v>
      </c>
    </row>
    <row r="36" spans="1:35" x14ac:dyDescent="0.25">
      <c r="B36">
        <f>'5% CO'!B12</f>
        <v>8</v>
      </c>
      <c r="C36" t="str">
        <f>'5% CO'!H12</f>
        <v>Aromatic</v>
      </c>
      <c r="D36" t="str">
        <f>'5% CO'!C12</f>
        <v>m-Xilene</v>
      </c>
      <c r="E36">
        <f>'5% CO'!G12</f>
        <v>4.2434939469165787E-2</v>
      </c>
      <c r="F36" t="s">
        <v>121</v>
      </c>
      <c r="O36" t="s">
        <v>14</v>
      </c>
      <c r="P36" s="43">
        <v>5.004680067811804E-3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4.6675338490491186E-2</v>
      </c>
      <c r="X36">
        <f t="shared" si="0"/>
        <v>0.4200780464144207</v>
      </c>
      <c r="Y36">
        <f t="shared" si="1"/>
        <v>0.21323645196685248</v>
      </c>
      <c r="Z36">
        <f t="shared" si="2"/>
        <v>0.20684159444756822</v>
      </c>
      <c r="AA36">
        <f t="shared" si="3"/>
        <v>4.04369169378408E-3</v>
      </c>
      <c r="AB36">
        <f t="shared" si="4"/>
        <v>1.2553229248518135E-3</v>
      </c>
    </row>
    <row r="37" spans="1:35" x14ac:dyDescent="0.25">
      <c r="B37">
        <f>'5% CO'!B14</f>
        <v>8</v>
      </c>
      <c r="C37" t="str">
        <f>'5% CO'!H14</f>
        <v>Aromatic</v>
      </c>
      <c r="D37" t="str">
        <f>'5% CO'!C14</f>
        <v>o-Xilene</v>
      </c>
      <c r="E37">
        <f>'5% CO'!G14</f>
        <v>0</v>
      </c>
      <c r="F37" t="s">
        <v>121</v>
      </c>
      <c r="N37">
        <v>7</v>
      </c>
      <c r="O37" t="s">
        <v>36</v>
      </c>
      <c r="P37" s="43">
        <v>6.0310830633780749E-3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2.631232685715016E-2</v>
      </c>
      <c r="X37">
        <f t="shared" si="0"/>
        <v>0.23681094171435144</v>
      </c>
      <c r="Y37">
        <f t="shared" si="1"/>
        <v>0.12020795999484518</v>
      </c>
      <c r="Z37">
        <f t="shared" si="2"/>
        <v>0.11660298171950625</v>
      </c>
      <c r="AA37">
        <f t="shared" si="3"/>
        <v>2.2795536357613283E-3</v>
      </c>
      <c r="AB37">
        <f t="shared" si="4"/>
        <v>7.0766422222527019E-4</v>
      </c>
    </row>
    <row r="38" spans="1:35" x14ac:dyDescent="0.25">
      <c r="B38">
        <f>'5% CO'!B11</f>
        <v>8</v>
      </c>
      <c r="C38" t="str">
        <f>'5% CO'!H11</f>
        <v>Aromatic</v>
      </c>
      <c r="D38" t="str">
        <f>'5% CO'!C11</f>
        <v>p-Xilene</v>
      </c>
      <c r="E38">
        <f>'5% CO'!G11</f>
        <v>2.7440081930822701E-7</v>
      </c>
      <c r="F38" t="s">
        <v>121</v>
      </c>
      <c r="O38" t="s">
        <v>28</v>
      </c>
      <c r="P38" s="43">
        <v>0.23071816490945538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9.6083936741219886E-2</v>
      </c>
      <c r="X38">
        <f t="shared" ref="X38:X69" si="5">+W38*S38</f>
        <v>0.86475543067097893</v>
      </c>
      <c r="Y38">
        <f t="shared" ref="Y38:Y69" si="6">X38*$Y$4</f>
        <v>0.43895981099053433</v>
      </c>
      <c r="Z38">
        <f t="shared" ref="Z38:Z73" si="7">+X38*$Z$4</f>
        <v>0.4257956196804446</v>
      </c>
      <c r="AA38">
        <f t="shared" ref="AA38:AA73" si="8">+Y38/$AA$3</f>
        <v>8.3241778093521238E-3</v>
      </c>
      <c r="AB38">
        <f t="shared" ref="AB38:AB73" si="9">+Z38/$AB$3</f>
        <v>2.5841562675723716E-3</v>
      </c>
    </row>
    <row r="39" spans="1:35" x14ac:dyDescent="0.25">
      <c r="B39">
        <f>'5% CO'!B8</f>
        <v>8</v>
      </c>
      <c r="C39" t="str">
        <f>'5% CO'!H8</f>
        <v>Olefin</v>
      </c>
      <c r="D39" t="str">
        <f>'5% CO'!C8</f>
        <v>Ottene</v>
      </c>
      <c r="E39">
        <f>'5% CO'!G8</f>
        <v>0</v>
      </c>
      <c r="F39" t="s">
        <v>121</v>
      </c>
      <c r="O39" t="s">
        <v>38</v>
      </c>
      <c r="P39" s="43">
        <v>2.4547269354730956E-2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5.4094226948684793E-2</v>
      </c>
      <c r="X39">
        <f t="shared" si="5"/>
        <v>0.54094226948684798</v>
      </c>
      <c r="Y39">
        <f t="shared" si="6"/>
        <v>0.27458852289195151</v>
      </c>
      <c r="Z39">
        <f t="shared" si="7"/>
        <v>0.26635374659489647</v>
      </c>
      <c r="AA39">
        <f t="shared" si="8"/>
        <v>5.2071365800028776E-3</v>
      </c>
      <c r="AB39">
        <f t="shared" si="9"/>
        <v>1.6165025468583896E-3</v>
      </c>
    </row>
    <row r="40" spans="1:35" x14ac:dyDescent="0.25">
      <c r="B40">
        <f>'5% CO'!B10</f>
        <v>9</v>
      </c>
      <c r="C40" t="str">
        <f>'5% CO'!H10</f>
        <v>Aromatic</v>
      </c>
      <c r="D40" t="str">
        <f>'5% CO'!C10</f>
        <v>Nonene</v>
      </c>
      <c r="E40">
        <f>'5% CO'!G10</f>
        <v>3.0331315405092388E-2</v>
      </c>
      <c r="F40" t="s">
        <v>121</v>
      </c>
      <c r="O40" t="s">
        <v>20</v>
      </c>
      <c r="P40" s="43">
        <v>0.16140389481812589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8.609871548541978E-2</v>
      </c>
      <c r="X40">
        <f t="shared" si="5"/>
        <v>0.86098715485419786</v>
      </c>
      <c r="Y40">
        <f t="shared" si="6"/>
        <v>0.43704699080851944</v>
      </c>
      <c r="Z40">
        <f t="shared" si="7"/>
        <v>0.42394016404567841</v>
      </c>
      <c r="AA40">
        <f t="shared" si="8"/>
        <v>8.2879042031728262E-3</v>
      </c>
      <c r="AB40">
        <f t="shared" si="9"/>
        <v>2.5728954957697356E-3</v>
      </c>
    </row>
    <row r="41" spans="1:35" x14ac:dyDescent="0.25">
      <c r="B41">
        <f>'5% CO'!B15</f>
        <v>9</v>
      </c>
      <c r="C41" t="str">
        <f>'5% CO'!H15</f>
        <v>Aromatic</v>
      </c>
      <c r="D41" t="str">
        <f>'5% CO'!C15</f>
        <v>Trimetilbenzene</v>
      </c>
      <c r="E41">
        <f>'5% CO'!G15</f>
        <v>0</v>
      </c>
      <c r="F41" t="s">
        <v>121</v>
      </c>
      <c r="O41" t="s">
        <v>14</v>
      </c>
      <c r="P41" s="43">
        <v>3.6542649360789502E-5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9.3934821032975041E-2</v>
      </c>
      <c r="X41">
        <f t="shared" si="5"/>
        <v>0.93934821032975035</v>
      </c>
      <c r="Y41">
        <f t="shared" si="6"/>
        <v>0.47682396459852822</v>
      </c>
      <c r="Z41">
        <f t="shared" si="7"/>
        <v>0.46252424573122214</v>
      </c>
      <c r="AA41">
        <f t="shared" si="8"/>
        <v>9.0422115321257997E-3</v>
      </c>
      <c r="AB41">
        <f t="shared" si="9"/>
        <v>2.8070625278097824E-3</v>
      </c>
    </row>
    <row r="42" spans="1:35" x14ac:dyDescent="0.25">
      <c r="B42">
        <f>'5% CO'!B16</f>
        <v>10</v>
      </c>
      <c r="C42" t="str">
        <f>'5% CO'!H16</f>
        <v>Olefin</v>
      </c>
      <c r="D42" t="str">
        <f>'5% CO'!C16</f>
        <v>Decene</v>
      </c>
      <c r="E42">
        <f>'5% CO'!G16</f>
        <v>4.9085231091620912E-7</v>
      </c>
      <c r="F42" t="s">
        <v>121</v>
      </c>
      <c r="N42">
        <v>8</v>
      </c>
      <c r="O42" t="s">
        <v>36</v>
      </c>
      <c r="P42" s="43">
        <v>9.2257204393543096E-2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5.464911263880029E-2</v>
      </c>
      <c r="X42">
        <f t="shared" si="5"/>
        <v>0.5464911263880029</v>
      </c>
      <c r="Y42">
        <f t="shared" si="6"/>
        <v>0.27740518652903856</v>
      </c>
      <c r="Z42">
        <f t="shared" si="7"/>
        <v>0.26908593985896434</v>
      </c>
      <c r="AA42">
        <f t="shared" si="8"/>
        <v>5.2605501462501857E-3</v>
      </c>
      <c r="AB42">
        <f t="shared" si="9"/>
        <v>1.6330842447933257E-3</v>
      </c>
    </row>
    <row r="43" spans="1:35" x14ac:dyDescent="0.25">
      <c r="B43">
        <f>'5% CO'!B17</f>
        <v>10</v>
      </c>
      <c r="C43" t="str">
        <f>'5% CO'!H17</f>
        <v>paraffin</v>
      </c>
      <c r="D43" t="str">
        <f>'5% CO'!C17</f>
        <v>Decano</v>
      </c>
      <c r="E43">
        <f>'5% CO'!G17</f>
        <v>4.3389939217189496E-3</v>
      </c>
      <c r="F43" t="s">
        <v>121</v>
      </c>
      <c r="O43" t="s">
        <v>28</v>
      </c>
      <c r="P43" s="43">
        <v>9.6330973754236549E-2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6.6897371090092667E-2</v>
      </c>
      <c r="X43">
        <f t="shared" si="5"/>
        <v>0.66897371090092661</v>
      </c>
      <c r="Y43">
        <f t="shared" si="6"/>
        <v>0.33957875635063306</v>
      </c>
      <c r="Z43">
        <f t="shared" si="7"/>
        <v>0.32939495455029355</v>
      </c>
      <c r="AA43">
        <f t="shared" si="8"/>
        <v>6.4395734583599182E-3</v>
      </c>
      <c r="AB43">
        <f t="shared" si="9"/>
        <v>1.999100030542073E-3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+'5% CO'!Z2</f>
        <v>1.988368291862655E-2</v>
      </c>
      <c r="F44" t="s">
        <v>243</v>
      </c>
      <c r="O44" t="s">
        <v>38</v>
      </c>
      <c r="P44" s="43">
        <v>4.324108922859568E-2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5.9630685257132596E-2</v>
      </c>
      <c r="X44">
        <f t="shared" si="5"/>
        <v>0.65593753782845854</v>
      </c>
      <c r="Y44">
        <f t="shared" si="6"/>
        <v>0.33296144483691359</v>
      </c>
      <c r="Z44">
        <f t="shared" si="7"/>
        <v>0.32297609299154495</v>
      </c>
      <c r="AA44">
        <f t="shared" si="8"/>
        <v>6.3140866227068436E-3</v>
      </c>
      <c r="AB44">
        <f t="shared" si="9"/>
        <v>1.9601439197672174E-3</v>
      </c>
    </row>
    <row r="45" spans="1:35" x14ac:dyDescent="0.25">
      <c r="B45">
        <f>+'5% CO'!T5</f>
        <v>4</v>
      </c>
      <c r="C45" t="str">
        <f>+'5% CO'!U5</f>
        <v>iso-paraffin</v>
      </c>
      <c r="D45" t="str">
        <f>+'5% CO'!R5</f>
        <v>i-Butane</v>
      </c>
      <c r="E45">
        <f>+'5% CO'!Z5</f>
        <v>6.9756425894330794E-3</v>
      </c>
      <c r="F45" t="s">
        <v>243</v>
      </c>
      <c r="O45" t="s">
        <v>20</v>
      </c>
      <c r="P45" s="43">
        <v>0.26445693023067784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8.9186156324316007E-2</v>
      </c>
      <c r="X45">
        <f t="shared" si="5"/>
        <v>0.98104771956747605</v>
      </c>
      <c r="Y45">
        <f t="shared" si="6"/>
        <v>0.4979911154994337</v>
      </c>
      <c r="Z45">
        <f t="shared" si="7"/>
        <v>0.48305660406804235</v>
      </c>
      <c r="AA45">
        <f t="shared" si="8"/>
        <v>9.4436130349625259E-3</v>
      </c>
      <c r="AB45">
        <f t="shared" si="9"/>
        <v>2.931673538425523E-3</v>
      </c>
    </row>
    <row r="46" spans="1:35" x14ac:dyDescent="0.25">
      <c r="B46">
        <f>+'5% CO'!T3</f>
        <v>4</v>
      </c>
      <c r="C46" t="str">
        <f>+'5% CO'!U3</f>
        <v>Olefin</v>
      </c>
      <c r="D46" t="str">
        <f>+'5% CO'!R3</f>
        <v>Butene-1</v>
      </c>
      <c r="E46">
        <f>+'5% CO'!Z3</f>
        <v>0.12502020712023554</v>
      </c>
      <c r="F46" t="s">
        <v>243</v>
      </c>
      <c r="O46" t="s">
        <v>14</v>
      </c>
      <c r="P46" s="43">
        <v>1.6684247271973093E-2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3.5749463375675833E-2</v>
      </c>
      <c r="X46">
        <f t="shared" si="5"/>
        <v>0.39324409713243413</v>
      </c>
      <c r="Y46">
        <f t="shared" si="6"/>
        <v>0.19961523042007265</v>
      </c>
      <c r="Z46">
        <f t="shared" si="7"/>
        <v>0.19362886671236149</v>
      </c>
      <c r="AA46">
        <f t="shared" si="8"/>
        <v>3.7853867936609598E-3</v>
      </c>
      <c r="AB46">
        <f t="shared" si="9"/>
        <v>1.1751347979418035E-3</v>
      </c>
    </row>
    <row r="47" spans="1:35" x14ac:dyDescent="0.25">
      <c r="B47">
        <f>+'5% CO'!T4</f>
        <v>4</v>
      </c>
      <c r="C47" t="str">
        <f>+'5% CO'!U4</f>
        <v>paraffin</v>
      </c>
      <c r="D47" t="str">
        <f>+'5% CO'!R4</f>
        <v>n-Butane</v>
      </c>
      <c r="E47">
        <f>+'5% CO'!Z4</f>
        <v>1.1946563319089717E-2</v>
      </c>
      <c r="F47" t="s">
        <v>243</v>
      </c>
      <c r="N47">
        <v>9</v>
      </c>
      <c r="O47" t="s">
        <v>36</v>
      </c>
      <c r="P47" s="43">
        <v>9.6083936741219886E-2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5.7420760442119918E-2</v>
      </c>
      <c r="X47">
        <f t="shared" si="5"/>
        <v>0.63162836486331908</v>
      </c>
      <c r="Y47">
        <f t="shared" si="6"/>
        <v>0.32062182881179746</v>
      </c>
      <c r="Z47">
        <f t="shared" si="7"/>
        <v>0.31100653605152162</v>
      </c>
      <c r="AA47">
        <f t="shared" si="8"/>
        <v>6.0800853421330908E-3</v>
      </c>
      <c r="AB47">
        <f t="shared" si="9"/>
        <v>1.8875006041552832E-3</v>
      </c>
    </row>
    <row r="48" spans="1:35" x14ac:dyDescent="0.25">
      <c r="B48">
        <f>+'5% CO'!T8</f>
        <v>5</v>
      </c>
      <c r="C48" t="str">
        <f>+'5% CO'!U8</f>
        <v>iso-paraffin</v>
      </c>
      <c r="D48" t="str">
        <f>+'5% CO'!R8</f>
        <v>(C5-IsoParaffin)</v>
      </c>
      <c r="E48">
        <f>+'5% CO'!Z8</f>
        <v>2.0128986437333372E-2</v>
      </c>
      <c r="F48" t="s">
        <v>243</v>
      </c>
      <c r="O48" t="s">
        <v>28</v>
      </c>
      <c r="P48" s="43">
        <v>0.25327729285513123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6.2865370725141437E-2</v>
      </c>
      <c r="X48">
        <f t="shared" si="5"/>
        <v>0.7543844487016973</v>
      </c>
      <c r="Y48">
        <f t="shared" si="6"/>
        <v>0.38293423003930105</v>
      </c>
      <c r="Z48">
        <f t="shared" si="7"/>
        <v>0.37145021866239625</v>
      </c>
      <c r="AA48">
        <f t="shared" si="8"/>
        <v>7.2617413720438024E-3</v>
      </c>
      <c r="AB48">
        <f t="shared" si="9"/>
        <v>2.2543336903464244E-3</v>
      </c>
    </row>
    <row r="49" spans="2:28" x14ac:dyDescent="0.25">
      <c r="B49">
        <f>+'5% CO'!T9</f>
        <v>5</v>
      </c>
      <c r="C49" t="str">
        <f>+'5% CO'!U9</f>
        <v>Naphthene</v>
      </c>
      <c r="D49" t="str">
        <f>+'5% CO'!R9</f>
        <v>Cyclopentane</v>
      </c>
      <c r="E49">
        <f>+'5% CO'!Z9</f>
        <v>8.4192678949261014E-3</v>
      </c>
      <c r="F49" t="s">
        <v>243</v>
      </c>
      <c r="O49" t="s">
        <v>38</v>
      </c>
      <c r="P49" s="43">
        <v>2.631232685715016E-2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6.6130373010524227E-2</v>
      </c>
      <c r="X49">
        <f t="shared" si="5"/>
        <v>0.79356447612629077</v>
      </c>
      <c r="Y49">
        <f t="shared" si="6"/>
        <v>0.40282246296957464</v>
      </c>
      <c r="Z49">
        <f t="shared" si="7"/>
        <v>0.39074201315671614</v>
      </c>
      <c r="AA49">
        <f t="shared" si="8"/>
        <v>7.6388902204812727E-3</v>
      </c>
      <c r="AB49">
        <f t="shared" si="9"/>
        <v>2.3714157112761582E-3</v>
      </c>
    </row>
    <row r="50" spans="2:28" x14ac:dyDescent="0.25">
      <c r="B50">
        <f>+'5% CO'!T6</f>
        <v>5</v>
      </c>
      <c r="C50" t="str">
        <f>+'5% CO'!U6</f>
        <v>Olefin</v>
      </c>
      <c r="D50" t="str">
        <f>+'5% CO'!R6</f>
        <v>1,4-Pentadiene</v>
      </c>
      <c r="E50">
        <f>+'5% CO'!Z6</f>
        <v>0.27042034335786092</v>
      </c>
      <c r="F50" t="s">
        <v>243</v>
      </c>
      <c r="O50" t="s">
        <v>20</v>
      </c>
      <c r="P50" s="43">
        <v>4.6675338490491186E-2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6.1748816777924195E-3</v>
      </c>
      <c r="X50">
        <f t="shared" si="5"/>
        <v>7.4098580133509034E-2</v>
      </c>
      <c r="Y50">
        <f t="shared" si="6"/>
        <v>3.7613292240135876E-2</v>
      </c>
      <c r="Z50">
        <f t="shared" si="7"/>
        <v>3.6485287893373158E-2</v>
      </c>
      <c r="AA50">
        <f t="shared" si="8"/>
        <v>7.1327653412163309E-4</v>
      </c>
      <c r="AB50">
        <f t="shared" si="9"/>
        <v>2.214294394446838E-4</v>
      </c>
    </row>
    <row r="51" spans="2:28" x14ac:dyDescent="0.25">
      <c r="B51">
        <f>+'5% CO'!T7</f>
        <v>5</v>
      </c>
      <c r="C51" t="str">
        <f>+'5% CO'!U7</f>
        <v>paraffin</v>
      </c>
      <c r="D51" t="str">
        <f>+'5% CO'!R7</f>
        <v>n-Pentane</v>
      </c>
      <c r="E51">
        <f>+'5% CO'!Z7</f>
        <v>2.3791621733886957E-2</v>
      </c>
      <c r="F51" t="s">
        <v>243</v>
      </c>
      <c r="O51" t="s">
        <v>14</v>
      </c>
      <c r="P51" s="43">
        <v>3.9737779222589018E-2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2.1764343228712183E-2</v>
      </c>
      <c r="X51">
        <f t="shared" si="5"/>
        <v>0.26117211874454621</v>
      </c>
      <c r="Y51">
        <f t="shared" si="6"/>
        <v>0.13257397388201314</v>
      </c>
      <c r="Z51">
        <f t="shared" si="7"/>
        <v>0.12859814486253307</v>
      </c>
      <c r="AA51">
        <f t="shared" si="8"/>
        <v>2.5140555099930984E-3</v>
      </c>
      <c r="AB51">
        <f t="shared" si="9"/>
        <v>7.8046294204270057E-4</v>
      </c>
    </row>
    <row r="52" spans="2:28" x14ac:dyDescent="0.25">
      <c r="B52">
        <f>+'5% CO'!T14</f>
        <v>6</v>
      </c>
      <c r="C52" t="str">
        <f>+'5% CO'!U14</f>
        <v>Aromatic</v>
      </c>
      <c r="D52" t="str">
        <f>+'5% CO'!R14</f>
        <v>Benzene</v>
      </c>
      <c r="E52">
        <f>+'5% CO'!Z14</f>
        <v>2.2556645398328469E-3</v>
      </c>
      <c r="F52" t="s">
        <v>243</v>
      </c>
      <c r="N52">
        <v>10</v>
      </c>
      <c r="O52" t="s">
        <v>36</v>
      </c>
      <c r="P52" s="43">
        <v>6.6897371090092667E-2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5.6560788336308641E-3</v>
      </c>
      <c r="X52">
        <f t="shared" si="5"/>
        <v>6.787294600357037E-2</v>
      </c>
      <c r="Y52">
        <f t="shared" si="6"/>
        <v>3.445308869119295E-2</v>
      </c>
      <c r="Z52">
        <f t="shared" si="7"/>
        <v>3.341985731237742E-2</v>
      </c>
      <c r="AA52">
        <f t="shared" si="8"/>
        <v>6.5334827737351412E-4</v>
      </c>
      <c r="AB52">
        <f t="shared" si="9"/>
        <v>2.0282532215800715E-4</v>
      </c>
    </row>
    <row r="53" spans="2:28" x14ac:dyDescent="0.25">
      <c r="B53">
        <f>+'5% CO'!T10</f>
        <v>6</v>
      </c>
      <c r="C53" t="str">
        <f>+'5% CO'!U10</f>
        <v>iso-paraffin</v>
      </c>
      <c r="D53" t="str">
        <f>+'5% CO'!R10</f>
        <v>3-Methylpentane</v>
      </c>
      <c r="E53">
        <f>+'5% CO'!Z10</f>
        <v>0.27053594616552729</v>
      </c>
      <c r="F53" t="s">
        <v>243</v>
      </c>
      <c r="O53" t="s">
        <v>28</v>
      </c>
      <c r="P53" s="43">
        <v>8.609871548541978E-2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2.2708902754767189E-2</v>
      </c>
      <c r="X53">
        <f t="shared" si="5"/>
        <v>0.29521573581197347</v>
      </c>
      <c r="Y53">
        <f t="shared" si="6"/>
        <v>0.14985490578868746</v>
      </c>
      <c r="Z53">
        <f t="shared" si="7"/>
        <v>0.14536083002328601</v>
      </c>
      <c r="AA53">
        <f t="shared" si="8"/>
        <v>2.8417610226637454E-3</v>
      </c>
      <c r="AB53">
        <f t="shared" si="9"/>
        <v>8.8219578267645675E-4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+'5% CO'!Z12</f>
        <v>2.7183577285660596E-2</v>
      </c>
      <c r="F54" t="s">
        <v>243</v>
      </c>
      <c r="O54" t="s">
        <v>38</v>
      </c>
      <c r="P54" s="43">
        <v>5.464911263880029E-2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1.9624281496545765E-3</v>
      </c>
      <c r="X54">
        <f t="shared" si="5"/>
        <v>2.5511565945509494E-2</v>
      </c>
      <c r="Y54">
        <f t="shared" si="6"/>
        <v>1.2949964542950885E-2</v>
      </c>
      <c r="Z54">
        <f t="shared" si="7"/>
        <v>1.2561601402558608E-2</v>
      </c>
      <c r="AA54">
        <f t="shared" si="8"/>
        <v>2.4557557384826995E-4</v>
      </c>
      <c r="AB54">
        <f t="shared" si="9"/>
        <v>7.6236437142142248E-5</v>
      </c>
    </row>
    <row r="55" spans="2:28" x14ac:dyDescent="0.25">
      <c r="B55">
        <f>+'5% CO'!T11</f>
        <v>6</v>
      </c>
      <c r="C55" t="str">
        <f>+'5% CO'!U11</f>
        <v>Olefin</v>
      </c>
      <c r="D55" t="str">
        <f>+'5% CO'!R11</f>
        <v>1t,4-Hexadiene</v>
      </c>
      <c r="E55">
        <f>+'5% CO'!Z11</f>
        <v>0.10973526028219321</v>
      </c>
      <c r="F55" t="s">
        <v>243</v>
      </c>
      <c r="O55" t="s">
        <v>20</v>
      </c>
      <c r="P55" s="43">
        <v>9.3934821032975041E-2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6.8649625315687066E-2</v>
      </c>
      <c r="X55">
        <f t="shared" si="5"/>
        <v>0.89244512910393181</v>
      </c>
      <c r="Y55">
        <f t="shared" si="6"/>
        <v>0.45301542065705341</v>
      </c>
      <c r="Z55">
        <f t="shared" si="7"/>
        <v>0.4394297084468784</v>
      </c>
      <c r="AA55">
        <f t="shared" si="8"/>
        <v>8.590720192398385E-3</v>
      </c>
      <c r="AB55">
        <f t="shared" si="9"/>
        <v>2.6669016372050129E-3</v>
      </c>
    </row>
    <row r="56" spans="2:28" x14ac:dyDescent="0.25">
      <c r="B56">
        <f>+'5% CO'!T13</f>
        <v>6</v>
      </c>
      <c r="C56" t="str">
        <f>+'5% CO'!U13</f>
        <v>paraffin</v>
      </c>
      <c r="D56" t="str">
        <f>+'5% CO'!R13</f>
        <v>n-Hexane</v>
      </c>
      <c r="E56">
        <f>+'5% CO'!Z13</f>
        <v>3.0733429355222545E-3</v>
      </c>
      <c r="F56" t="s">
        <v>243</v>
      </c>
      <c r="O56" t="s">
        <v>14</v>
      </c>
      <c r="P56" s="43">
        <v>5.4094226948684793E-2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5.1654717962172168E-3</v>
      </c>
      <c r="X56">
        <f t="shared" si="5"/>
        <v>7.2316605147041038E-2</v>
      </c>
      <c r="Y56">
        <f t="shared" si="6"/>
        <v>3.6708741224315229E-2</v>
      </c>
      <c r="Z56">
        <f t="shared" si="7"/>
        <v>3.5607863922725809E-2</v>
      </c>
      <c r="AA56">
        <f t="shared" si="8"/>
        <v>6.9612315628430873E-4</v>
      </c>
      <c r="AB56">
        <f t="shared" si="9"/>
        <v>2.1610434790248276E-4</v>
      </c>
    </row>
    <row r="57" spans="2:28" x14ac:dyDescent="0.25">
      <c r="B57">
        <f>+'5% CO'!T18</f>
        <v>7</v>
      </c>
      <c r="C57" t="str">
        <f>+'5% CO'!U18</f>
        <v>Aromatic</v>
      </c>
      <c r="D57" t="str">
        <f>+'5% CO'!R18</f>
        <v>Toluene</v>
      </c>
      <c r="E57">
        <f>+'5% CO'!Z18</f>
        <v>6.0310830633780749E-3</v>
      </c>
      <c r="F57" t="s">
        <v>243</v>
      </c>
      <c r="N57">
        <v>11</v>
      </c>
      <c r="O57" t="s">
        <v>36</v>
      </c>
      <c r="P57" s="43">
        <v>3.5749463375675833E-2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6.7389999163105632E-2</v>
      </c>
      <c r="X57">
        <f t="shared" si="5"/>
        <v>0.94345998828347888</v>
      </c>
      <c r="Y57">
        <f t="shared" si="6"/>
        <v>0.47891115041938309</v>
      </c>
      <c r="Z57">
        <f t="shared" si="7"/>
        <v>0.46454883786409579</v>
      </c>
      <c r="AA57">
        <f t="shared" si="8"/>
        <v>9.081791706572178E-3</v>
      </c>
      <c r="AB57">
        <f t="shared" si="9"/>
        <v>2.8193497900727655E-3</v>
      </c>
    </row>
    <row r="58" spans="2:28" x14ac:dyDescent="0.25">
      <c r="B58">
        <f>+'5% CO'!T15</f>
        <v>7</v>
      </c>
      <c r="C58" t="str">
        <f>+'5% CO'!U15</f>
        <v>iso-paraffin</v>
      </c>
      <c r="D58" t="str">
        <f>+'5% CO'!R15</f>
        <v>3-Ethylpentane</v>
      </c>
      <c r="E58">
        <f>+'5% CO'!Z15</f>
        <v>0.23070936913410356</v>
      </c>
      <c r="F58" t="s">
        <v>243</v>
      </c>
      <c r="O58" t="s">
        <v>28</v>
      </c>
      <c r="P58" s="43">
        <v>8.9186156324316007E-2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4.0742940750730806E-3</v>
      </c>
      <c r="X58">
        <f t="shared" si="5"/>
        <v>6.111441112609621E-2</v>
      </c>
      <c r="Y58">
        <f t="shared" si="6"/>
        <v>3.1022378588468232E-2</v>
      </c>
      <c r="Z58">
        <f t="shared" si="7"/>
        <v>3.0092032537627978E-2</v>
      </c>
      <c r="AA58">
        <f t="shared" si="8"/>
        <v>5.8829029212657531E-4</v>
      </c>
      <c r="AB58">
        <f t="shared" si="9"/>
        <v>1.8262873287532426E-4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+'5% CO'!Z17</f>
        <v>2.4547269354730956E-2</v>
      </c>
      <c r="F59" t="s">
        <v>243</v>
      </c>
      <c r="O59" t="s">
        <v>20</v>
      </c>
      <c r="P59" s="43">
        <v>5.7420760442119918E-2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5.9832242247617157E-2</v>
      </c>
      <c r="X59">
        <f t="shared" si="5"/>
        <v>0.89748363371425732</v>
      </c>
      <c r="Y59">
        <f t="shared" si="6"/>
        <v>0.45557302359654273</v>
      </c>
      <c r="Z59">
        <f t="shared" si="7"/>
        <v>0.4419106101177146</v>
      </c>
      <c r="AA59">
        <f t="shared" si="8"/>
        <v>8.639221082687153E-3</v>
      </c>
      <c r="AB59">
        <f t="shared" si="9"/>
        <v>2.6819582448956549E-3</v>
      </c>
    </row>
    <row r="60" spans="2:28" x14ac:dyDescent="0.25">
      <c r="B60">
        <f>+'5% CO'!T16</f>
        <v>7</v>
      </c>
      <c r="C60" t="str">
        <f>+'5% CO'!U16</f>
        <v>Olefin</v>
      </c>
      <c r="D60" t="str">
        <f>+'5% CO'!R16</f>
        <v>2,4-Dimethylpentene-1</v>
      </c>
      <c r="E60">
        <f>+'5% CO'!Z16</f>
        <v>0.16102907191799212</v>
      </c>
      <c r="F60" t="s">
        <v>243</v>
      </c>
      <c r="O60" t="s">
        <v>14</v>
      </c>
      <c r="P60" s="43">
        <v>5.9630685257132596E-2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1.0390154786605049E-2</v>
      </c>
      <c r="X60">
        <f t="shared" si="5"/>
        <v>0.16624247658568078</v>
      </c>
      <c r="Y60">
        <f t="shared" si="6"/>
        <v>8.4386594767062797E-2</v>
      </c>
      <c r="Z60">
        <f t="shared" si="7"/>
        <v>8.1855881818617984E-2</v>
      </c>
      <c r="AA60">
        <f t="shared" si="8"/>
        <v>1.6002581602667988E-3</v>
      </c>
      <c r="AB60">
        <f t="shared" si="9"/>
        <v>4.9678385653190832E-4</v>
      </c>
    </row>
    <row r="61" spans="2:28" x14ac:dyDescent="0.25">
      <c r="B61">
        <f>+'5% CO'!T20</f>
        <v>8</v>
      </c>
      <c r="C61" t="str">
        <f>+'5% CO'!U20</f>
        <v>Aromatic</v>
      </c>
      <c r="D61" t="str">
        <f>+'5% CO'!R20</f>
        <v>Ethylbenzene</v>
      </c>
      <c r="E61">
        <f>+'5% CO'!Z20</f>
        <v>4.9821990523557999E-2</v>
      </c>
      <c r="F61" t="s">
        <v>243</v>
      </c>
      <c r="N61">
        <v>12</v>
      </c>
      <c r="O61" t="s">
        <v>36</v>
      </c>
      <c r="P61" s="43">
        <v>2.1764343228712183E-2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4.849560687438445E-2</v>
      </c>
      <c r="X61">
        <f t="shared" si="5"/>
        <v>0.77592970999015121</v>
      </c>
      <c r="Y61">
        <f t="shared" si="6"/>
        <v>0.39387085268136202</v>
      </c>
      <c r="Z61">
        <f t="shared" si="7"/>
        <v>0.38205885730878919</v>
      </c>
      <c r="AA61">
        <f t="shared" si="8"/>
        <v>7.4691371044705804E-3</v>
      </c>
      <c r="AB61">
        <f t="shared" si="9"/>
        <v>2.3187175843589107E-3</v>
      </c>
    </row>
    <row r="62" spans="2:28" x14ac:dyDescent="0.25">
      <c r="B62">
        <f>+'5% CO'!T21</f>
        <v>8</v>
      </c>
      <c r="C62" t="str">
        <f>+'5% CO'!U21</f>
        <v>iso-paraffin</v>
      </c>
      <c r="D62" t="str">
        <f>+'5% CO'!R21</f>
        <v>2-Methyl-3-ethylpentane</v>
      </c>
      <c r="E62">
        <f>+'5% CO'!Z21</f>
        <v>9.6330973754236549E-2</v>
      </c>
      <c r="F62" t="s">
        <v>243</v>
      </c>
      <c r="O62" t="s">
        <v>28</v>
      </c>
      <c r="P62" s="43">
        <v>6.2865370725141437E-2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3.8487276210897952E-3</v>
      </c>
      <c r="X62">
        <f t="shared" si="5"/>
        <v>6.5428369558526517E-2</v>
      </c>
      <c r="Y62">
        <f t="shared" si="6"/>
        <v>3.3212193547654215E-2</v>
      </c>
      <c r="Z62">
        <f t="shared" si="7"/>
        <v>3.2216176010872302E-2</v>
      </c>
      <c r="AA62">
        <f t="shared" si="8"/>
        <v>6.2981666568845093E-4</v>
      </c>
      <c r="AB62">
        <f t="shared" si="9"/>
        <v>1.955201728429942E-4</v>
      </c>
    </row>
    <row r="63" spans="2:28" x14ac:dyDescent="0.25">
      <c r="B63">
        <f>+'5% CO'!T22</f>
        <v>8</v>
      </c>
      <c r="C63" t="str">
        <f>+'5% CO'!U22</f>
        <v>Naphthene</v>
      </c>
      <c r="D63" t="str">
        <f>+'5% CO'!R22</f>
        <v>1c,2t,3-Trimethylcyclopentane</v>
      </c>
      <c r="E63">
        <f>+'5% CO'!Z22</f>
        <v>4.324108922859568E-2</v>
      </c>
      <c r="F63" t="s">
        <v>243</v>
      </c>
      <c r="O63" t="s">
        <v>38</v>
      </c>
      <c r="P63" s="43">
        <v>5.6560788336308641E-3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4.219747611147729E-2</v>
      </c>
      <c r="X63">
        <f t="shared" si="5"/>
        <v>0.71735709389511393</v>
      </c>
      <c r="Y63">
        <f t="shared" si="6"/>
        <v>0.3641387185097974</v>
      </c>
      <c r="Z63">
        <f t="shared" si="7"/>
        <v>0.35321837538531653</v>
      </c>
      <c r="AA63">
        <f t="shared" si="8"/>
        <v>6.9053142548636147E-3</v>
      </c>
      <c r="AB63">
        <f t="shared" si="9"/>
        <v>2.1436845199551899E-3</v>
      </c>
    </row>
    <row r="64" spans="2:28" x14ac:dyDescent="0.25">
      <c r="B64">
        <f>+'5% CO'!T19</f>
        <v>8</v>
      </c>
      <c r="C64" t="str">
        <f>+'5% CO'!U19</f>
        <v>Olefin</v>
      </c>
      <c r="D64" t="str">
        <f>+'5% CO'!R19</f>
        <v>Octene-1</v>
      </c>
      <c r="E64">
        <f>+'5% CO'!Z19</f>
        <v>0.26445693023067784</v>
      </c>
      <c r="F64" t="s">
        <v>243</v>
      </c>
      <c r="O64" t="s">
        <v>20</v>
      </c>
      <c r="P64" s="43">
        <v>6.1748816777924195E-3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3.9048410730023846E-2</v>
      </c>
      <c r="X64">
        <f t="shared" si="5"/>
        <v>0.70287139314042923</v>
      </c>
      <c r="Y64">
        <f t="shared" si="6"/>
        <v>0.35678561005876624</v>
      </c>
      <c r="Z64">
        <f t="shared" si="7"/>
        <v>0.34608578308166299</v>
      </c>
      <c r="AA64">
        <f t="shared" si="8"/>
        <v>6.765874195283416E-3</v>
      </c>
      <c r="AB64">
        <f t="shared" si="9"/>
        <v>2.1003967728445982E-3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+'5% CO'!Z23</f>
        <v>9.3892036470542264E-4</v>
      </c>
      <c r="F65" t="s">
        <v>243</v>
      </c>
      <c r="O65" t="s">
        <v>14</v>
      </c>
      <c r="P65" s="43">
        <v>6.6130373010524227E-2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1.763476613613979E-2</v>
      </c>
      <c r="X65">
        <f t="shared" si="5"/>
        <v>0.33506055658665601</v>
      </c>
      <c r="Y65">
        <f t="shared" si="6"/>
        <v>0.1700805954760426</v>
      </c>
      <c r="Z65">
        <f t="shared" si="7"/>
        <v>0.16497996111061342</v>
      </c>
      <c r="AA65">
        <f t="shared" si="8"/>
        <v>3.2253092042032034E-3</v>
      </c>
      <c r="AB65">
        <f t="shared" si="9"/>
        <v>1.0012644114277109E-3</v>
      </c>
    </row>
    <row r="66" spans="2:28" x14ac:dyDescent="0.25">
      <c r="B66">
        <f>+'5% CO'!T26</f>
        <v>9</v>
      </c>
      <c r="C66" t="str">
        <f>+'5% CO'!U26</f>
        <v>Aromatic</v>
      </c>
      <c r="D66" t="str">
        <f>+'5% CO'!R26</f>
        <v>1,3-Methylethylbenzene</v>
      </c>
      <c r="E66">
        <f>+'5% CO'!Z26</f>
        <v>6.5752621336127498E-2</v>
      </c>
      <c r="F66" t="s">
        <v>243</v>
      </c>
      <c r="N66">
        <v>13</v>
      </c>
      <c r="O66" t="s">
        <v>28</v>
      </c>
      <c r="P66" s="43">
        <v>2.2708902754767189E-2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1.3855887678395551E-2</v>
      </c>
      <c r="X66">
        <f t="shared" si="5"/>
        <v>0.27711775356791102</v>
      </c>
      <c r="Y66">
        <f t="shared" si="6"/>
        <v>0.14066816167191493</v>
      </c>
      <c r="Z66">
        <f t="shared" si="7"/>
        <v>0.13644959189599609</v>
      </c>
      <c r="AA66">
        <f t="shared" si="8"/>
        <v>2.6675489658823485E-3</v>
      </c>
      <c r="AB66">
        <f t="shared" si="9"/>
        <v>8.2811342298532505E-4</v>
      </c>
    </row>
    <row r="67" spans="2:28" x14ac:dyDescent="0.25">
      <c r="B67">
        <f>+'5% CO'!T24</f>
        <v>9</v>
      </c>
      <c r="C67" t="str">
        <f>+'5% CO'!U24</f>
        <v>iso-paraffin</v>
      </c>
      <c r="D67" t="str">
        <f>+'5% CO'!R24</f>
        <v>I8 (C9)</v>
      </c>
      <c r="E67">
        <f>+'5% CO'!Z24</f>
        <v>0.25327729285513123</v>
      </c>
      <c r="F67" t="s">
        <v>243</v>
      </c>
      <c r="O67" t="s">
        <v>20</v>
      </c>
      <c r="P67" s="43">
        <v>1.9624281496545765E-3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1.2596261525814138E-2</v>
      </c>
      <c r="X67">
        <f t="shared" si="5"/>
        <v>0.26452149204209691</v>
      </c>
      <c r="Y67">
        <f t="shared" si="6"/>
        <v>0.13427415432319154</v>
      </c>
      <c r="Z67">
        <f t="shared" si="7"/>
        <v>0.13024733771890537</v>
      </c>
      <c r="AA67">
        <f t="shared" si="8"/>
        <v>2.5462967401604242E-3</v>
      </c>
      <c r="AB67">
        <f t="shared" si="9"/>
        <v>7.9047190375871939E-4</v>
      </c>
    </row>
    <row r="68" spans="2:28" x14ac:dyDescent="0.25">
      <c r="B68">
        <f>+'5% CO'!T28</f>
        <v>9</v>
      </c>
      <c r="C68" t="str">
        <f>+'5% CO'!U28</f>
        <v>Naphthene</v>
      </c>
      <c r="D68" t="str">
        <f>+'5% CO'!R28</f>
        <v>1,1,3-Trimethylcyclohexane</v>
      </c>
      <c r="E68">
        <f>+'5% CO'!Z28</f>
        <v>2.631232685715016E-2</v>
      </c>
      <c r="F68" t="s">
        <v>243</v>
      </c>
      <c r="O68" t="s">
        <v>14</v>
      </c>
      <c r="P68" s="43">
        <v>6.8649625315687066E-2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1.1336635373232725E-2</v>
      </c>
      <c r="X68">
        <f t="shared" si="5"/>
        <v>0.24940597821111996</v>
      </c>
      <c r="Y68">
        <f t="shared" si="6"/>
        <v>0.12660134550472346</v>
      </c>
      <c r="Z68">
        <f t="shared" si="7"/>
        <v>0.12280463270639649</v>
      </c>
      <c r="AA68">
        <f t="shared" si="8"/>
        <v>2.4007940692941142E-3</v>
      </c>
      <c r="AB68">
        <f t="shared" si="9"/>
        <v>7.4530208068679252E-4</v>
      </c>
    </row>
    <row r="69" spans="2:28" x14ac:dyDescent="0.25">
      <c r="B69">
        <f>+'5% CO'!T25</f>
        <v>9</v>
      </c>
      <c r="C69" t="str">
        <f>+'5% CO'!U25</f>
        <v>Olefin</v>
      </c>
      <c r="D69" t="str">
        <f>+'5% CO'!R25</f>
        <v>3,5,5-Trimethylhexene-1</v>
      </c>
      <c r="E69">
        <f>+'5% CO'!Z25</f>
        <v>4.6675338490491186E-2</v>
      </c>
      <c r="F69" t="s">
        <v>243</v>
      </c>
      <c r="N69">
        <v>14</v>
      </c>
      <c r="O69" t="s">
        <v>28</v>
      </c>
      <c r="P69" s="43">
        <v>5.1654717962172168E-3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1.0077009220651311E-2</v>
      </c>
      <c r="X69">
        <f t="shared" si="5"/>
        <v>0.23177121207498017</v>
      </c>
      <c r="Y69">
        <f t="shared" si="6"/>
        <v>0.11764973521651069</v>
      </c>
      <c r="Z69">
        <f t="shared" si="7"/>
        <v>0.11412147685846948</v>
      </c>
      <c r="AA69">
        <f t="shared" si="8"/>
        <v>2.2310409532834193E-3</v>
      </c>
      <c r="AB69">
        <f t="shared" si="9"/>
        <v>6.9260395376954465E-4</v>
      </c>
    </row>
    <row r="70" spans="2:28" x14ac:dyDescent="0.25">
      <c r="B70">
        <f>+'5% CO'!T27</f>
        <v>9</v>
      </c>
      <c r="C70" t="str">
        <f>+'5% CO'!U27</f>
        <v>paraffin</v>
      </c>
      <c r="D70" t="str">
        <f>+'5% CO'!R27</f>
        <v>n-Nonane</v>
      </c>
      <c r="E70">
        <f>+'5% CO'!Z27</f>
        <v>2.0213573857577098E-2</v>
      </c>
      <c r="F70" t="s">
        <v>243</v>
      </c>
      <c r="O70" t="s">
        <v>14</v>
      </c>
      <c r="P70" s="43">
        <v>6.7389999163105632E-2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9.4471961443606031E-3</v>
      </c>
      <c r="X70">
        <f t="shared" ref="X70:X101" si="10">+W70*S70</f>
        <v>0.22673270746465446</v>
      </c>
      <c r="Y70">
        <f t="shared" ref="Y70:Y101" si="11">X70*$Y$4</f>
        <v>0.11509213227702131</v>
      </c>
      <c r="Z70">
        <f t="shared" si="7"/>
        <v>0.11164057518763315</v>
      </c>
      <c r="AA70">
        <f t="shared" si="8"/>
        <v>2.1825400629946492E-3</v>
      </c>
      <c r="AB70">
        <f t="shared" si="9"/>
        <v>6.7754734607890221E-4</v>
      </c>
    </row>
    <row r="71" spans="2:28" x14ac:dyDescent="0.25">
      <c r="B71">
        <f>+'5% CO'!T31</f>
        <v>10</v>
      </c>
      <c r="C71" t="str">
        <f>+'5% CO'!U31</f>
        <v>Aromatic</v>
      </c>
      <c r="D71" t="str">
        <f>+'5% CO'!R31</f>
        <v>1,2-Methyl-n-propylbenzene</v>
      </c>
      <c r="E71">
        <f>+'5% CO'!Z31</f>
        <v>6.6897371090092667E-2</v>
      </c>
      <c r="F71" t="s">
        <v>243</v>
      </c>
      <c r="N71">
        <v>15</v>
      </c>
      <c r="O71" t="s">
        <v>28</v>
      </c>
      <c r="P71" s="43">
        <v>4.0742940750730806E-3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8.1875699917791887E-3</v>
      </c>
      <c r="X71">
        <f t="shared" si="10"/>
        <v>0.20468924979447972</v>
      </c>
      <c r="Y71">
        <f t="shared" si="11"/>
        <v>0.10390261941675534</v>
      </c>
      <c r="Z71">
        <f t="shared" si="7"/>
        <v>0.10078663037772438</v>
      </c>
      <c r="AA71">
        <f t="shared" si="8"/>
        <v>1.9703486679812803E-3</v>
      </c>
      <c r="AB71">
        <f t="shared" si="9"/>
        <v>6.1167468743234226E-4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+'5% CO'!Z30</f>
        <v>8.609871548541978E-2</v>
      </c>
      <c r="F72" t="s">
        <v>243</v>
      </c>
      <c r="O72" t="s">
        <v>14</v>
      </c>
      <c r="P72" s="43">
        <v>5.9832242247617157E-2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6.9279438391977761E-3</v>
      </c>
      <c r="X72">
        <f t="shared" si="10"/>
        <v>0.18012653981914217</v>
      </c>
      <c r="Y72">
        <f t="shared" si="11"/>
        <v>9.1434305086744716E-2</v>
      </c>
      <c r="Z72">
        <f t="shared" si="7"/>
        <v>8.8692234732397457E-2</v>
      </c>
      <c r="AA72">
        <f t="shared" si="8"/>
        <v>1.7339068278235269E-3</v>
      </c>
      <c r="AB72">
        <f t="shared" si="9"/>
        <v>5.382737249404612E-4</v>
      </c>
    </row>
    <row r="73" spans="2:28" x14ac:dyDescent="0.25">
      <c r="B73">
        <f>+'5% CO'!T32</f>
        <v>10</v>
      </c>
      <c r="C73" t="str">
        <f>+'5% CO'!U32</f>
        <v>Naphthene</v>
      </c>
      <c r="D73" t="str">
        <f>+'5% CO'!R32</f>
        <v>Sec-butylcyclohexane</v>
      </c>
      <c r="E73">
        <f>+'5% CO'!Z32</f>
        <v>5.464911263880029E-2</v>
      </c>
      <c r="F73" t="s">
        <v>243</v>
      </c>
      <c r="N73">
        <v>16</v>
      </c>
      <c r="O73" t="s">
        <v>28</v>
      </c>
      <c r="P73" s="43">
        <v>1.0390154786605049E-2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5.6683176866163627E-3</v>
      </c>
      <c r="X73">
        <f t="shared" si="10"/>
        <v>0.15304457753864179</v>
      </c>
      <c r="Y73">
        <f t="shared" si="11"/>
        <v>7.7687189286989394E-2</v>
      </c>
      <c r="Z73">
        <f t="shared" si="7"/>
        <v>7.5357388251652391E-2</v>
      </c>
      <c r="AA73">
        <f t="shared" si="8"/>
        <v>1.4732145425213883E-3</v>
      </c>
      <c r="AB73">
        <f t="shared" si="9"/>
        <v>4.5734445860325904E-4</v>
      </c>
    </row>
    <row r="74" spans="2:28" x14ac:dyDescent="0.25">
      <c r="B74">
        <f>+'5% CO'!T29</f>
        <v>10</v>
      </c>
      <c r="C74" t="str">
        <f>+'5% CO'!U29</f>
        <v>Olefin</v>
      </c>
      <c r="D74" t="str">
        <f>+'5% CO'!R29</f>
        <v>Decene-1</v>
      </c>
      <c r="E74">
        <f>+'5% CO'!Z29</f>
        <v>9.3934330180664119E-2</v>
      </c>
      <c r="F74" t="s">
        <v>243</v>
      </c>
      <c r="O74" t="s">
        <v>14</v>
      </c>
      <c r="P74" s="43">
        <v>4.849560687438445E-2</v>
      </c>
      <c r="S74" s="12"/>
    </row>
    <row r="75" spans="2:28" x14ac:dyDescent="0.25">
      <c r="B75">
        <f>+'5% CO'!T35</f>
        <v>11</v>
      </c>
      <c r="C75" t="str">
        <f>+'5% CO'!U35</f>
        <v>Aromatic</v>
      </c>
      <c r="D75" t="str">
        <f>+'5% CO'!R35</f>
        <v>1,2-Ethyl-i-propylbenzene</v>
      </c>
      <c r="E75">
        <f>+'5% CO'!Z35</f>
        <v>3.5749463375675833E-2</v>
      </c>
      <c r="F75" t="s">
        <v>243</v>
      </c>
      <c r="N75">
        <v>17</v>
      </c>
      <c r="O75" t="s">
        <v>28</v>
      </c>
      <c r="P75" s="43">
        <v>3.8487276210897952E-3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+'5% CO'!Z34</f>
        <v>8.9186156324316007E-2</v>
      </c>
      <c r="F76" t="s">
        <v>243</v>
      </c>
      <c r="O76" t="s">
        <v>14</v>
      </c>
      <c r="P76" s="43">
        <v>4.219747611147729E-2</v>
      </c>
      <c r="S76" s="12"/>
    </row>
    <row r="77" spans="2:28" x14ac:dyDescent="0.25">
      <c r="B77">
        <f>+'5% CO'!T33</f>
        <v>11</v>
      </c>
      <c r="C77" t="str">
        <f>+'5% CO'!U33</f>
        <v>Olefin</v>
      </c>
      <c r="D77" t="str">
        <f>+'5% CO'!R33</f>
        <v>Undecene-1</v>
      </c>
      <c r="E77">
        <f>+'5% CO'!Z33</f>
        <v>5.7420760442119918E-2</v>
      </c>
      <c r="F77" t="s">
        <v>243</v>
      </c>
      <c r="N77">
        <v>18</v>
      </c>
      <c r="O77" t="s">
        <v>14</v>
      </c>
      <c r="P77" s="43">
        <v>3.9048410730023846E-2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+'5% CO'!Z36</f>
        <v>2.3176953146782499E-3</v>
      </c>
      <c r="F78" t="s">
        <v>243</v>
      </c>
      <c r="N78">
        <v>19</v>
      </c>
      <c r="O78" t="s">
        <v>14</v>
      </c>
      <c r="P78" s="43">
        <v>1.763476613613979E-2</v>
      </c>
    </row>
    <row r="79" spans="2:28" x14ac:dyDescent="0.25">
      <c r="B79">
        <f>+'5% CO'!T40</f>
        <v>12</v>
      </c>
      <c r="C79" t="str">
        <f>+'5% CO'!U40</f>
        <v>Aromatic</v>
      </c>
      <c r="D79" t="str">
        <f>+'5% CO'!R40</f>
        <v>1,3-Di-i-propylbenzene</v>
      </c>
      <c r="E79">
        <f>+'5% CO'!Z40</f>
        <v>2.1764343228712183E-2</v>
      </c>
      <c r="F79" t="s">
        <v>243</v>
      </c>
      <c r="N79">
        <v>20</v>
      </c>
      <c r="O79" t="s">
        <v>14</v>
      </c>
      <c r="P79" s="43">
        <v>1.3855887678395551E-2</v>
      </c>
    </row>
    <row r="80" spans="2:28" x14ac:dyDescent="0.25">
      <c r="B80">
        <f>+'5% CO'!T37</f>
        <v>12</v>
      </c>
      <c r="C80" t="str">
        <f>+'5% CO'!U37</f>
        <v>iso-paraffin</v>
      </c>
      <c r="D80" t="str">
        <f>+'5% CO'!R37</f>
        <v>I47 (C12)</v>
      </c>
      <c r="E80">
        <f>+'5% CO'!Z37</f>
        <v>6.2865370725141437E-2</v>
      </c>
      <c r="F80" t="s">
        <v>243</v>
      </c>
      <c r="N80">
        <v>21</v>
      </c>
      <c r="O80" t="s">
        <v>14</v>
      </c>
      <c r="P80" s="43">
        <v>1.2596261525814138E-2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+'5% CO'!Z39</f>
        <v>5.6560788336308641E-3</v>
      </c>
      <c r="F81" t="s">
        <v>243</v>
      </c>
      <c r="N81">
        <v>22</v>
      </c>
      <c r="O81" t="s">
        <v>14</v>
      </c>
      <c r="P81" s="43">
        <v>1.1336635373232725E-2</v>
      </c>
    </row>
    <row r="82" spans="1:16" x14ac:dyDescent="0.25">
      <c r="B82">
        <f>+'5% CO'!T38</f>
        <v>12</v>
      </c>
      <c r="C82" t="str">
        <f>+'5% CO'!U38</f>
        <v>Olefin</v>
      </c>
      <c r="D82" t="str">
        <f>+'5% CO'!R38</f>
        <v>Dodecene-1</v>
      </c>
      <c r="E82">
        <f>+'5% CO'!Z38</f>
        <v>6.1748816777924195E-3</v>
      </c>
      <c r="F82" t="s">
        <v>243</v>
      </c>
      <c r="N82">
        <v>23</v>
      </c>
      <c r="O82" t="s">
        <v>14</v>
      </c>
      <c r="P82" s="43">
        <v>1.0077009220651311E-2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+'5% CO'!Z41</f>
        <v>2.2708902754767189E-2</v>
      </c>
      <c r="F83" t="s">
        <v>243</v>
      </c>
      <c r="N83">
        <v>24</v>
      </c>
      <c r="O83" t="s">
        <v>14</v>
      </c>
      <c r="P83" s="43">
        <v>9.4471961443606031E-3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+'5% CO'!Z42</f>
        <v>1.9624281496545765E-3</v>
      </c>
      <c r="F84" t="s">
        <v>243</v>
      </c>
      <c r="N84">
        <v>25</v>
      </c>
      <c r="O84" t="s">
        <v>14</v>
      </c>
      <c r="P84" s="43">
        <v>8.1875699917791887E-3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+'5% CO'!Z43</f>
        <v>5.1654717962172168E-3</v>
      </c>
      <c r="F85" t="s">
        <v>243</v>
      </c>
      <c r="N85">
        <v>26</v>
      </c>
      <c r="O85" t="s">
        <v>14</v>
      </c>
      <c r="P85" s="43">
        <v>6.9279438391977761E-3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+'5% CO'!Z44</f>
        <v>4.0742940750730806E-3</v>
      </c>
      <c r="F86" t="s">
        <v>243</v>
      </c>
      <c r="N86">
        <v>27</v>
      </c>
      <c r="O86" t="s">
        <v>14</v>
      </c>
      <c r="P86" s="43">
        <v>5.6683176866163627E-3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+'5% CO'!Z45</f>
        <v>1.0390154786605049E-2</v>
      </c>
      <c r="F87" t="s">
        <v>243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+'5% CO'!Z46</f>
        <v>3.8487276210897952E-3</v>
      </c>
      <c r="F88" t="s">
        <v>243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+'5%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+'5%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+'5%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+'5%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+'5%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+'5%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+'5%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+'5% CO'!AK11</f>
        <v>1.5745326907267671E-2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+'5% CO'!AK12</f>
        <v>1.9524205365011916E-2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+'5% CO'!AK13</f>
        <v>4.9755233026965842E-2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+'5% CO'!AK14</f>
        <v>5.7312989942454345E-2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+'5% CO'!AK15</f>
        <v>6.6130373010524227E-2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+'5% CO'!AK16</f>
        <v>6.8649625315687066E-2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+'5% CO'!AK17</f>
        <v>6.7389999163105632E-2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+'5% CO'!AK18</f>
        <v>5.9832242247617157E-2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+'5% CO'!AK19</f>
        <v>4.849560687438445E-2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+'5% CO'!AK20</f>
        <v>4.219747611147729E-2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+'5% CO'!AK21</f>
        <v>3.9048410730023846E-2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+'5% CO'!AK22</f>
        <v>1.763476613613979E-2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+'5% CO'!AK23</f>
        <v>1.3855887678395551E-2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+'5% CO'!AK24</f>
        <v>1.2596261525814138E-2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+'5% CO'!AK25</f>
        <v>1.1336635373232725E-2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+'5% CO'!AK26</f>
        <v>1.0077009220651311E-2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+'5% CO'!AK27</f>
        <v>9.4471961443606031E-3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+'5% CO'!AK28</f>
        <v>8.1875699917791887E-3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+'5% CO'!AK29</f>
        <v>6.9279438391977761E-3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+'5% CO'!AK30</f>
        <v>5.6683176866163627E-3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+'5%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+'5%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+'5%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+'5%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+'5%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+'5%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+'5%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+'5%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+'5%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+'5%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+'5%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+'5%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K54"/>
  <sheetViews>
    <sheetView topLeftCell="D1" workbookViewId="0">
      <selection activeCell="N15" sqref="N15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V1" s="23" t="s">
        <v>120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R2" s="5" t="s">
        <v>13</v>
      </c>
      <c r="S2" s="5">
        <v>0.70520000000000005</v>
      </c>
      <c r="T2" s="6">
        <v>3</v>
      </c>
      <c r="U2" s="6" t="s">
        <v>14</v>
      </c>
      <c r="V2" s="22">
        <v>1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6.5834287659616908E-2</v>
      </c>
      <c r="Z2">
        <f t="shared" ref="Z2:Z46" si="3">Y2/T2</f>
        <v>2.1944762553205637E-2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38.342030020217408</v>
      </c>
      <c r="N3" s="21">
        <v>27</v>
      </c>
      <c r="O3" s="21">
        <v>15.79</v>
      </c>
      <c r="P3" t="s">
        <v>18</v>
      </c>
      <c r="R3" s="3" t="s">
        <v>19</v>
      </c>
      <c r="S3" s="3">
        <v>4.4340000000000002</v>
      </c>
      <c r="T3" s="4">
        <v>4</v>
      </c>
      <c r="U3" s="4" t="s">
        <v>20</v>
      </c>
      <c r="V3" s="22">
        <v>2</v>
      </c>
      <c r="W3">
        <f t="shared" si="0"/>
        <v>17.736000000000001</v>
      </c>
      <c r="X3" s="8">
        <f t="shared" si="1"/>
        <v>2.281275214322951E-2</v>
      </c>
      <c r="Y3">
        <f t="shared" si="2"/>
        <v>0.55191762428198399</v>
      </c>
      <c r="Z3">
        <f t="shared" si="3"/>
        <v>0.137979406070496</v>
      </c>
    </row>
    <row r="4" spans="2:37" x14ac:dyDescent="0.25">
      <c r="N4" s="2">
        <f>+N3/(N3+O3)</f>
        <v>0.63098854872633792</v>
      </c>
      <c r="O4" s="2">
        <f>1-N4</f>
        <v>0.36901145127366208</v>
      </c>
      <c r="P4" t="s">
        <v>21</v>
      </c>
      <c r="R4" s="5" t="s">
        <v>22</v>
      </c>
      <c r="S4" s="5">
        <v>0.42370000000000002</v>
      </c>
      <c r="T4" s="6">
        <v>4</v>
      </c>
      <c r="U4" s="6" t="s">
        <v>14</v>
      </c>
      <c r="V4" s="22">
        <v>3</v>
      </c>
      <c r="W4">
        <f t="shared" si="0"/>
        <v>1.6948000000000001</v>
      </c>
      <c r="X4" s="8">
        <f t="shared" si="1"/>
        <v>2.1799195045300733E-3</v>
      </c>
      <c r="Y4">
        <f t="shared" si="2"/>
        <v>5.2739625035696132E-2</v>
      </c>
      <c r="Z4">
        <f t="shared" si="3"/>
        <v>1.3184906258924033E-2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208.88611802556395</v>
      </c>
      <c r="E5">
        <f>SUM(E6:E47)</f>
        <v>170.54408800534654</v>
      </c>
      <c r="G5" s="1" t="s">
        <v>24</v>
      </c>
      <c r="L5" t="s">
        <v>25</v>
      </c>
      <c r="N5">
        <f>+N4*L3</f>
        <v>24.193381877678664</v>
      </c>
      <c r="O5">
        <f>+O4*L3</f>
        <v>14.148648142538745</v>
      </c>
      <c r="P5" t="s">
        <v>26</v>
      </c>
      <c r="R5" s="5" t="s">
        <v>27</v>
      </c>
      <c r="S5" s="5">
        <v>0.24740000000000001</v>
      </c>
      <c r="T5" s="6">
        <v>4</v>
      </c>
      <c r="U5" s="6" t="s">
        <v>28</v>
      </c>
      <c r="V5" s="22">
        <v>4</v>
      </c>
      <c r="W5">
        <f t="shared" si="0"/>
        <v>0.98960000000000004</v>
      </c>
      <c r="X5" s="8">
        <f t="shared" si="1"/>
        <v>1.2728630762821338E-3</v>
      </c>
      <c r="Y5">
        <f t="shared" si="2"/>
        <v>3.0794862482490491E-2</v>
      </c>
      <c r="Z5">
        <f t="shared" si="3"/>
        <v>7.6987156206226228E-3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 s="21">
        <v>84.481827236355642</v>
      </c>
      <c r="E6">
        <v>8.8726193456611924</v>
      </c>
      <c r="F6" s="8">
        <f>+(D6-E6)/D6</f>
        <v>0.8949760009233918</v>
      </c>
      <c r="G6" s="8">
        <f>+(D6+D7-E7-E6)/(D6+D7)</f>
        <v>0.44385285982399469</v>
      </c>
      <c r="H6" s="2"/>
      <c r="I6" s="2"/>
      <c r="J6" s="25">
        <f t="shared" ref="J6:J47" si="8">+E6*$L$24</f>
        <v>8.1442641602538703</v>
      </c>
      <c r="L6">
        <f>+D7+D6-E6-E7</f>
        <v>92.714700863179033</v>
      </c>
      <c r="R6" s="5" t="s">
        <v>30</v>
      </c>
      <c r="S6" s="5">
        <v>9.5908000000000015</v>
      </c>
      <c r="T6" s="6">
        <v>5</v>
      </c>
      <c r="U6" s="6" t="s">
        <v>20</v>
      </c>
      <c r="V6" s="22">
        <v>5</v>
      </c>
      <c r="W6">
        <f t="shared" si="0"/>
        <v>47.954000000000008</v>
      </c>
      <c r="X6" s="8">
        <f t="shared" si="1"/>
        <v>6.1680351616848678E-2</v>
      </c>
      <c r="Y6">
        <f t="shared" si="2"/>
        <v>1.4922563010159147</v>
      </c>
      <c r="Z6">
        <f t="shared" si="3"/>
        <v>0.29845126020318291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 s="21">
        <v>124.4042907892083</v>
      </c>
      <c r="E7" s="21">
        <v>107.29879781672371</v>
      </c>
      <c r="F7" s="8">
        <f>+(D7-E7)/D7</f>
        <v>0.13749922019545363</v>
      </c>
      <c r="G7" s="2"/>
      <c r="H7" s="2"/>
      <c r="I7" s="2"/>
      <c r="J7" s="25">
        <f t="shared" si="8"/>
        <v>98.49061697033143</v>
      </c>
      <c r="R7" s="3" t="s">
        <v>32</v>
      </c>
      <c r="S7" s="3">
        <v>0.84379999999999999</v>
      </c>
      <c r="T7" s="4">
        <v>5</v>
      </c>
      <c r="U7" s="4" t="s">
        <v>14</v>
      </c>
      <c r="V7" s="22">
        <v>6</v>
      </c>
      <c r="W7">
        <f t="shared" si="0"/>
        <v>4.2190000000000003</v>
      </c>
      <c r="X7" s="8">
        <f t="shared" si="1"/>
        <v>5.4266464418293477E-3</v>
      </c>
      <c r="Y7">
        <f t="shared" si="2"/>
        <v>0.13128892968232356</v>
      </c>
      <c r="Z7">
        <f t="shared" si="3"/>
        <v>2.625778593646471E-2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 s="21">
        <v>0</v>
      </c>
      <c r="G8">
        <f t="shared" ref="G8:G47" si="9">+E8/B8</f>
        <v>0</v>
      </c>
      <c r="H8" t="s">
        <v>20</v>
      </c>
      <c r="I8">
        <v>1</v>
      </c>
      <c r="J8" s="25">
        <f t="shared" si="8"/>
        <v>0</v>
      </c>
      <c r="R8" s="3" t="s">
        <v>34</v>
      </c>
      <c r="S8" s="3">
        <v>0.71390000000000009</v>
      </c>
      <c r="T8" s="4">
        <v>5</v>
      </c>
      <c r="U8" s="4" t="s">
        <v>28</v>
      </c>
      <c r="V8" s="22">
        <v>7</v>
      </c>
      <c r="W8">
        <f t="shared" si="0"/>
        <v>3.5695000000000006</v>
      </c>
      <c r="X8" s="8">
        <f t="shared" si="1"/>
        <v>4.5912335800212985E-3</v>
      </c>
      <c r="Y8">
        <f t="shared" si="2"/>
        <v>0.11107746729107702</v>
      </c>
      <c r="Z8">
        <f t="shared" si="3"/>
        <v>2.2215493458215406E-2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 s="21">
        <v>0</v>
      </c>
      <c r="G9">
        <f t="shared" si="9"/>
        <v>0</v>
      </c>
      <c r="H9" t="s">
        <v>36</v>
      </c>
      <c r="I9">
        <v>2</v>
      </c>
      <c r="J9" s="25">
        <f t="shared" si="8"/>
        <v>0</v>
      </c>
      <c r="R9" s="3" t="s">
        <v>37</v>
      </c>
      <c r="S9" s="3">
        <v>0.29859999999999998</v>
      </c>
      <c r="T9" s="4">
        <v>5</v>
      </c>
      <c r="U9" s="4" t="s">
        <v>38</v>
      </c>
      <c r="V9" s="22">
        <v>8</v>
      </c>
      <c r="W9">
        <f t="shared" si="0"/>
        <v>1.4929999999999999</v>
      </c>
      <c r="X9" s="8">
        <f t="shared" si="1"/>
        <v>1.9203562781823216E-3</v>
      </c>
      <c r="Y9">
        <f t="shared" si="2"/>
        <v>4.6459912779262626E-2</v>
      </c>
      <c r="Z9">
        <f t="shared" si="3"/>
        <v>9.2919825558525244E-3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 s="21">
        <v>2.7987670243839959E-3</v>
      </c>
      <c r="G10">
        <f t="shared" si="9"/>
        <v>3.10974113820444E-4</v>
      </c>
      <c r="H10" t="s">
        <v>36</v>
      </c>
      <c r="I10">
        <v>3</v>
      </c>
      <c r="J10" s="25">
        <f t="shared" si="8"/>
        <v>2.5690156515885488E-3</v>
      </c>
      <c r="L10">
        <f>+L3/D5</f>
        <v>0.18355470618456812</v>
      </c>
      <c r="R10" s="3" t="s">
        <v>40</v>
      </c>
      <c r="S10" s="3">
        <v>9.5949000000000009</v>
      </c>
      <c r="T10" s="4">
        <v>6</v>
      </c>
      <c r="U10" s="4" t="s">
        <v>28</v>
      </c>
      <c r="V10" s="22">
        <v>9</v>
      </c>
      <c r="W10">
        <f t="shared" si="0"/>
        <v>57.569400000000002</v>
      </c>
      <c r="X10" s="8">
        <f t="shared" si="1"/>
        <v>7.4048063443529377E-2</v>
      </c>
      <c r="Y10">
        <f t="shared" si="2"/>
        <v>1.7914730761918836</v>
      </c>
      <c r="Z10">
        <f t="shared" si="3"/>
        <v>0.29857884603198059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 s="21">
        <v>0</v>
      </c>
      <c r="G11">
        <f t="shared" si="9"/>
        <v>0</v>
      </c>
      <c r="H11" t="s">
        <v>36</v>
      </c>
      <c r="I11">
        <v>4</v>
      </c>
      <c r="J11" s="25">
        <f t="shared" si="8"/>
        <v>0</v>
      </c>
      <c r="R11" s="5" t="s">
        <v>42</v>
      </c>
      <c r="S11" s="5">
        <v>3.8919000000000001</v>
      </c>
      <c r="T11" s="6">
        <v>6</v>
      </c>
      <c r="U11" s="6" t="s">
        <v>20</v>
      </c>
      <c r="V11" s="22">
        <v>10</v>
      </c>
      <c r="W11">
        <f t="shared" si="0"/>
        <v>23.351400000000002</v>
      </c>
      <c r="X11" s="8">
        <f t="shared" si="1"/>
        <v>3.0035504081946867E-2</v>
      </c>
      <c r="Y11">
        <f t="shared" si="2"/>
        <v>0.72666042014311694</v>
      </c>
      <c r="Z11">
        <f t="shared" si="3"/>
        <v>0.12111007002385282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0.19214569352262845</v>
      </c>
      <c r="AK11">
        <f t="shared" si="7"/>
        <v>2.4018211690328556E-2</v>
      </c>
    </row>
    <row r="12" spans="2:37" x14ac:dyDescent="0.25">
      <c r="B12">
        <v>8</v>
      </c>
      <c r="C12" t="s">
        <v>43</v>
      </c>
      <c r="E12" s="21">
        <v>0.28316948648382001</v>
      </c>
      <c r="G12">
        <f t="shared" si="9"/>
        <v>3.5396185810477501E-2</v>
      </c>
      <c r="H12" t="s">
        <v>36</v>
      </c>
      <c r="I12">
        <v>5</v>
      </c>
      <c r="J12" s="25">
        <f t="shared" si="8"/>
        <v>0.25992404387047535</v>
      </c>
      <c r="R12" s="3" t="s">
        <v>44</v>
      </c>
      <c r="S12" s="3">
        <v>0.96410000000000007</v>
      </c>
      <c r="T12" s="4">
        <v>6</v>
      </c>
      <c r="U12" s="4" t="s">
        <v>38</v>
      </c>
      <c r="V12" s="22">
        <v>11</v>
      </c>
      <c r="W12">
        <f t="shared" si="0"/>
        <v>5.7846000000000002</v>
      </c>
      <c r="X12" s="8">
        <f t="shared" si="1"/>
        <v>7.4403837419782046E-3</v>
      </c>
      <c r="Y12">
        <f t="shared" si="2"/>
        <v>0.18000804518615046</v>
      </c>
      <c r="Z12">
        <f t="shared" si="3"/>
        <v>3.0001340864358409E-2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0.26804324246406674</v>
      </c>
      <c r="AK12">
        <f t="shared" si="7"/>
        <v>2.9782582496007418E-2</v>
      </c>
    </row>
    <row r="13" spans="2:37" x14ac:dyDescent="0.25">
      <c r="B13">
        <v>8</v>
      </c>
      <c r="C13" t="s">
        <v>45</v>
      </c>
      <c r="E13" s="21">
        <v>0</v>
      </c>
      <c r="G13">
        <f t="shared" si="9"/>
        <v>0</v>
      </c>
      <c r="H13" t="s">
        <v>36</v>
      </c>
      <c r="I13">
        <v>6</v>
      </c>
      <c r="J13" s="25">
        <f t="shared" si="8"/>
        <v>0</v>
      </c>
      <c r="R13" s="5" t="s">
        <v>46</v>
      </c>
      <c r="S13" s="5">
        <v>0.109</v>
      </c>
      <c r="T13" s="6">
        <v>6</v>
      </c>
      <c r="U13" s="6" t="s">
        <v>14</v>
      </c>
      <c r="V13" s="22">
        <v>12</v>
      </c>
      <c r="W13">
        <f t="shared" si="0"/>
        <v>0.65400000000000003</v>
      </c>
      <c r="X13" s="8">
        <f t="shared" si="1"/>
        <v>8.4120094168200837E-4</v>
      </c>
      <c r="Y13">
        <f t="shared" si="2"/>
        <v>2.0351495617975727E-2</v>
      </c>
      <c r="Z13">
        <f t="shared" si="3"/>
        <v>3.3919159363292877E-3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0.75897548941438242</v>
      </c>
      <c r="AK13">
        <f t="shared" si="7"/>
        <v>7.5897548941438242E-2</v>
      </c>
    </row>
    <row r="14" spans="2:37" x14ac:dyDescent="0.25">
      <c r="B14">
        <v>8</v>
      </c>
      <c r="C14" t="s">
        <v>47</v>
      </c>
      <c r="E14" s="21">
        <v>0</v>
      </c>
      <c r="G14">
        <f t="shared" si="9"/>
        <v>0</v>
      </c>
      <c r="H14" t="s">
        <v>36</v>
      </c>
      <c r="I14">
        <v>7</v>
      </c>
      <c r="J14" s="25">
        <f t="shared" si="8"/>
        <v>0</v>
      </c>
      <c r="R14" s="3" t="s">
        <v>48</v>
      </c>
      <c r="S14" s="3">
        <v>0.08</v>
      </c>
      <c r="T14" s="4">
        <v>6</v>
      </c>
      <c r="U14" s="4" t="s">
        <v>36</v>
      </c>
      <c r="V14" s="22">
        <v>13</v>
      </c>
      <c r="W14">
        <f t="shared" si="0"/>
        <v>0.48</v>
      </c>
      <c r="X14" s="8">
        <f t="shared" si="1"/>
        <v>6.1739518655560242E-4</v>
      </c>
      <c r="Y14">
        <f t="shared" si="2"/>
        <v>1.4936877517780349E-2</v>
      </c>
      <c r="Z14">
        <f t="shared" si="3"/>
        <v>2.4894795862967249E-3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0.96168919608075565</v>
      </c>
      <c r="AK14">
        <f t="shared" si="7"/>
        <v>8.7426290552795966E-2</v>
      </c>
    </row>
    <row r="15" spans="2:37" x14ac:dyDescent="0.25">
      <c r="B15">
        <v>9</v>
      </c>
      <c r="C15" t="s">
        <v>49</v>
      </c>
      <c r="E15" s="21">
        <v>0</v>
      </c>
      <c r="G15">
        <f t="shared" si="9"/>
        <v>0</v>
      </c>
      <c r="H15" t="s">
        <v>36</v>
      </c>
      <c r="I15">
        <v>8</v>
      </c>
      <c r="J15" s="25">
        <f t="shared" si="8"/>
        <v>0</v>
      </c>
      <c r="R15" s="5" t="s">
        <v>50</v>
      </c>
      <c r="S15" s="5">
        <v>8.1823999999999995</v>
      </c>
      <c r="T15" s="6">
        <v>7</v>
      </c>
      <c r="U15" s="6" t="s">
        <v>28</v>
      </c>
      <c r="V15" s="22">
        <v>14</v>
      </c>
      <c r="W15">
        <f t="shared" si="0"/>
        <v>57.276799999999994</v>
      </c>
      <c r="X15" s="8">
        <f t="shared" si="1"/>
        <v>7.3671709627724846E-2</v>
      </c>
      <c r="Y15">
        <f t="shared" si="2"/>
        <v>1.7823678046050031</v>
      </c>
      <c r="Z15">
        <f t="shared" si="3"/>
        <v>0.25462397208642901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1.2105178691925593</v>
      </c>
      <c r="AK15">
        <f t="shared" si="7"/>
        <v>0.10087648909937995</v>
      </c>
    </row>
    <row r="16" spans="2:37" x14ac:dyDescent="0.25">
      <c r="B16">
        <v>10</v>
      </c>
      <c r="C16" t="s">
        <v>51</v>
      </c>
      <c r="E16" s="21">
        <v>0</v>
      </c>
      <c r="G16">
        <f t="shared" si="9"/>
        <v>0</v>
      </c>
      <c r="H16" t="s">
        <v>20</v>
      </c>
      <c r="I16">
        <v>9</v>
      </c>
      <c r="J16" s="25">
        <f t="shared" si="8"/>
        <v>0</v>
      </c>
      <c r="R16" s="3" t="s">
        <v>52</v>
      </c>
      <c r="S16" s="3">
        <v>5.7110999999999992</v>
      </c>
      <c r="T16" s="4">
        <v>7</v>
      </c>
      <c r="U16" s="4" t="s">
        <v>20</v>
      </c>
      <c r="V16" s="22">
        <v>15</v>
      </c>
      <c r="W16">
        <f t="shared" si="0"/>
        <v>39.977699999999992</v>
      </c>
      <c r="X16" s="8">
        <f t="shared" si="1"/>
        <v>5.1420915728258132E-2</v>
      </c>
      <c r="Y16">
        <f t="shared" si="2"/>
        <v>1.244045850713682</v>
      </c>
      <c r="Z16">
        <f t="shared" si="3"/>
        <v>0.17772083581624029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1.3613522386078227</v>
      </c>
      <c r="AK16">
        <f t="shared" si="7"/>
        <v>0.10471940296983252</v>
      </c>
    </row>
    <row r="17" spans="2:37" x14ac:dyDescent="0.25">
      <c r="B17">
        <v>10</v>
      </c>
      <c r="C17" t="s">
        <v>53</v>
      </c>
      <c r="E17" s="21">
        <v>2.0346410411596631E-2</v>
      </c>
      <c r="G17">
        <f t="shared" si="9"/>
        <v>2.0346410411596631E-3</v>
      </c>
      <c r="H17" t="s">
        <v>14</v>
      </c>
      <c r="I17">
        <v>10</v>
      </c>
      <c r="J17" s="25">
        <f t="shared" si="8"/>
        <v>1.8676169307997526E-2</v>
      </c>
      <c r="R17" s="3" t="s">
        <v>54</v>
      </c>
      <c r="S17" s="3">
        <v>0.87059999999999993</v>
      </c>
      <c r="T17" s="4">
        <v>7</v>
      </c>
      <c r="U17" s="4" t="s">
        <v>38</v>
      </c>
      <c r="V17" s="22">
        <v>16</v>
      </c>
      <c r="W17">
        <f t="shared" si="0"/>
        <v>6.0941999999999998</v>
      </c>
      <c r="X17" s="8">
        <f t="shared" si="1"/>
        <v>7.8386036373065682E-3</v>
      </c>
      <c r="Y17">
        <f t="shared" si="2"/>
        <v>0.18964233118511878</v>
      </c>
      <c r="Z17">
        <f t="shared" si="3"/>
        <v>2.709176159787411E-2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1.4391712444844869</v>
      </c>
      <c r="AK17">
        <f t="shared" si="7"/>
        <v>0.10279794603460621</v>
      </c>
    </row>
    <row r="18" spans="2:37" x14ac:dyDescent="0.25">
      <c r="B18">
        <v>1</v>
      </c>
      <c r="C18" t="s">
        <v>55</v>
      </c>
      <c r="E18" s="21">
        <v>12.78041501570276</v>
      </c>
      <c r="G18">
        <f t="shared" si="9"/>
        <v>12.78041501570276</v>
      </c>
      <c r="H18" t="s">
        <v>14</v>
      </c>
      <c r="I18">
        <v>11</v>
      </c>
      <c r="J18" s="25">
        <f t="shared" si="8"/>
        <v>11.731268063072955</v>
      </c>
      <c r="R18" s="3" t="s">
        <v>35</v>
      </c>
      <c r="S18" s="3">
        <v>0.21390000000000001</v>
      </c>
      <c r="T18" s="4">
        <v>7</v>
      </c>
      <c r="U18" s="4" t="s">
        <v>36</v>
      </c>
      <c r="V18" s="22">
        <v>17</v>
      </c>
      <c r="W18">
        <f t="shared" si="0"/>
        <v>1.4973000000000001</v>
      </c>
      <c r="X18" s="8">
        <f t="shared" si="1"/>
        <v>1.9258871100618826E-3</v>
      </c>
      <c r="Y18">
        <f t="shared" si="2"/>
        <v>4.6593722307026089E-2</v>
      </c>
      <c r="Z18">
        <f t="shared" si="3"/>
        <v>6.65624604386087E-3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1.3690380663487278</v>
      </c>
      <c r="AK18">
        <f t="shared" si="7"/>
        <v>9.1269204423248526E-2</v>
      </c>
    </row>
    <row r="19" spans="2:37" x14ac:dyDescent="0.25">
      <c r="B19">
        <v>2</v>
      </c>
      <c r="C19" t="s">
        <v>56</v>
      </c>
      <c r="E19" s="21">
        <v>7.4665520498094713</v>
      </c>
      <c r="G19">
        <f t="shared" si="9"/>
        <v>3.7332760249047356</v>
      </c>
      <c r="H19" t="s">
        <v>20</v>
      </c>
      <c r="I19">
        <v>12</v>
      </c>
      <c r="J19" s="25">
        <f t="shared" si="8"/>
        <v>6.853621224004149</v>
      </c>
      <c r="R19" s="3" t="s">
        <v>57</v>
      </c>
      <c r="S19" s="3">
        <v>9.3793000000000024</v>
      </c>
      <c r="T19" s="4">
        <v>8</v>
      </c>
      <c r="U19" s="4" t="s">
        <v>20</v>
      </c>
      <c r="V19" s="22">
        <v>18</v>
      </c>
      <c r="W19">
        <f t="shared" si="0"/>
        <v>75.034400000000019</v>
      </c>
      <c r="X19" s="8">
        <f t="shared" si="1"/>
        <v>9.6512244554349397E-2</v>
      </c>
      <c r="Y19">
        <f t="shared" si="2"/>
        <v>2.3349575883752882</v>
      </c>
      <c r="Z19">
        <f t="shared" si="3"/>
        <v>0.29186969854691103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1.1836174720993917</v>
      </c>
      <c r="AK19">
        <f t="shared" si="7"/>
        <v>7.3976092006211983E-2</v>
      </c>
    </row>
    <row r="20" spans="2:37" x14ac:dyDescent="0.25">
      <c r="B20">
        <v>2</v>
      </c>
      <c r="C20" t="s">
        <v>58</v>
      </c>
      <c r="E20" s="21">
        <v>0</v>
      </c>
      <c r="G20">
        <f t="shared" si="9"/>
        <v>0</v>
      </c>
      <c r="H20" t="s">
        <v>20</v>
      </c>
      <c r="I20">
        <v>13</v>
      </c>
      <c r="J20" s="25">
        <f t="shared" si="8"/>
        <v>0</v>
      </c>
      <c r="R20" s="5" t="s">
        <v>59</v>
      </c>
      <c r="S20" s="5">
        <v>1.7669999999999999</v>
      </c>
      <c r="T20" s="6">
        <v>8</v>
      </c>
      <c r="U20" s="6" t="s">
        <v>36</v>
      </c>
      <c r="V20" s="22">
        <v>19</v>
      </c>
      <c r="W20">
        <f t="shared" si="0"/>
        <v>14.135999999999999</v>
      </c>
      <c r="X20" s="8">
        <f t="shared" si="1"/>
        <v>1.818228824406249E-2</v>
      </c>
      <c r="Y20">
        <f t="shared" si="2"/>
        <v>0.43989104289863129</v>
      </c>
      <c r="Z20">
        <f t="shared" si="3"/>
        <v>5.4986380362328911E-2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1.0942697246113671</v>
      </c>
      <c r="AK20">
        <f t="shared" si="7"/>
        <v>6.4368807330080421E-2</v>
      </c>
    </row>
    <row r="21" spans="2:37" x14ac:dyDescent="0.25">
      <c r="B21">
        <v>2</v>
      </c>
      <c r="C21" t="s">
        <v>60</v>
      </c>
      <c r="E21" s="21">
        <v>1.7028995710661301</v>
      </c>
      <c r="G21">
        <f t="shared" si="9"/>
        <v>0.85144978553306505</v>
      </c>
      <c r="H21" t="s">
        <v>14</v>
      </c>
      <c r="I21">
        <v>14</v>
      </c>
      <c r="J21" s="25">
        <f t="shared" si="8"/>
        <v>1.563108187654596</v>
      </c>
      <c r="R21" s="3" t="s">
        <v>61</v>
      </c>
      <c r="S21" s="3">
        <v>3.416500000000001</v>
      </c>
      <c r="T21" s="4">
        <v>8</v>
      </c>
      <c r="U21" s="4" t="s">
        <v>28</v>
      </c>
      <c r="V21" s="22">
        <v>20</v>
      </c>
      <c r="W21">
        <f t="shared" si="0"/>
        <v>27.332000000000008</v>
      </c>
      <c r="X21" s="8">
        <f t="shared" si="1"/>
        <v>3.5155510914453604E-2</v>
      </c>
      <c r="Y21">
        <f t="shared" si="2"/>
        <v>0.8505307006582763</v>
      </c>
      <c r="Z21">
        <f t="shared" si="3"/>
        <v>0.10631633758228454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1.0721729698562672</v>
      </c>
      <c r="AK21">
        <f t="shared" si="7"/>
        <v>5.9565164992014842E-2</v>
      </c>
    </row>
    <row r="22" spans="2:37" x14ac:dyDescent="0.25">
      <c r="B22">
        <v>3</v>
      </c>
      <c r="C22" t="s">
        <v>62</v>
      </c>
      <c r="E22" s="21">
        <v>11.160258897359469</v>
      </c>
      <c r="G22">
        <f t="shared" si="9"/>
        <v>3.7200862991198229</v>
      </c>
      <c r="H22" t="s">
        <v>20</v>
      </c>
      <c r="I22">
        <v>15</v>
      </c>
      <c r="J22" s="25">
        <f t="shared" si="8"/>
        <v>10.244110900730384</v>
      </c>
      <c r="R22" s="5" t="s">
        <v>63</v>
      </c>
      <c r="S22" s="5">
        <v>1.5336000000000001</v>
      </c>
      <c r="T22" s="6">
        <v>8</v>
      </c>
      <c r="U22" s="6" t="s">
        <v>38</v>
      </c>
      <c r="V22" s="22">
        <v>21</v>
      </c>
      <c r="W22">
        <f t="shared" si="0"/>
        <v>12.268800000000001</v>
      </c>
      <c r="X22" s="8">
        <f t="shared" si="1"/>
        <v>1.5780620968361199E-2</v>
      </c>
      <c r="Y22">
        <f t="shared" si="2"/>
        <v>0.38178658935446574</v>
      </c>
      <c r="Z22">
        <f t="shared" si="3"/>
        <v>4.7723323669308218E-2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0.5111075447701916</v>
      </c>
      <c r="AK22">
        <f t="shared" si="7"/>
        <v>2.690039709316798E-2</v>
      </c>
    </row>
    <row r="23" spans="2:37" x14ac:dyDescent="0.25">
      <c r="B23">
        <v>3</v>
      </c>
      <c r="C23" t="s">
        <v>64</v>
      </c>
      <c r="E23" s="21">
        <v>1.104650018395414</v>
      </c>
      <c r="G23">
        <f t="shared" si="9"/>
        <v>0.36821667279847131</v>
      </c>
      <c r="H23" t="s">
        <v>14</v>
      </c>
      <c r="I23">
        <v>16</v>
      </c>
      <c r="J23" s="25">
        <f t="shared" si="8"/>
        <v>1.0139690663998751</v>
      </c>
      <c r="R23" s="5" t="s">
        <v>65</v>
      </c>
      <c r="S23" s="5">
        <v>3.3300000000000003E-2</v>
      </c>
      <c r="T23" s="6">
        <v>8</v>
      </c>
      <c r="U23" s="6" t="s">
        <v>14</v>
      </c>
      <c r="V23" s="22">
        <v>22</v>
      </c>
      <c r="W23">
        <f t="shared" si="0"/>
        <v>0.26640000000000003</v>
      </c>
      <c r="X23" s="8">
        <f t="shared" si="1"/>
        <v>3.426543285383594E-4</v>
      </c>
      <c r="Y23">
        <f t="shared" si="2"/>
        <v>8.2899670223680957E-3</v>
      </c>
      <c r="Z23">
        <f t="shared" si="3"/>
        <v>1.036245877796012E-3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0.42272052574978264</v>
      </c>
      <c r="AK23">
        <f t="shared" si="7"/>
        <v>2.1136026287489132E-2</v>
      </c>
    </row>
    <row r="24" spans="2:37" x14ac:dyDescent="0.25">
      <c r="B24">
        <v>2</v>
      </c>
      <c r="C24" t="s">
        <v>66</v>
      </c>
      <c r="E24" s="21">
        <v>2.7567701519595452E-3</v>
      </c>
      <c r="G24">
        <f t="shared" si="9"/>
        <v>1.3783850759797726E-3</v>
      </c>
      <c r="H24" t="s">
        <v>67</v>
      </c>
      <c r="I24">
        <v>17</v>
      </c>
      <c r="J24" s="25">
        <f t="shared" si="8"/>
        <v>2.5304663112411048E-3</v>
      </c>
      <c r="L24">
        <f>+(E5-14)/E5</f>
        <v>0.91790978999189288</v>
      </c>
      <c r="R24" s="3" t="s">
        <v>68</v>
      </c>
      <c r="S24" s="3">
        <v>8.9827999999999992</v>
      </c>
      <c r="T24" s="4">
        <v>9</v>
      </c>
      <c r="U24" s="4" t="s">
        <v>28</v>
      </c>
      <c r="V24" s="22">
        <v>23</v>
      </c>
      <c r="W24">
        <f t="shared" si="0"/>
        <v>80.845199999999991</v>
      </c>
      <c r="X24" s="8">
        <f t="shared" si="1"/>
        <v>0.10398632778359372</v>
      </c>
      <c r="Y24">
        <f t="shared" si="2"/>
        <v>2.5157809381259497</v>
      </c>
      <c r="Z24">
        <f t="shared" si="3"/>
        <v>0.27953121534732772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0.40350595639751979</v>
      </c>
      <c r="AK24">
        <f t="shared" si="7"/>
        <v>1.9214569352262848E-2</v>
      </c>
    </row>
    <row r="25" spans="2:37" x14ac:dyDescent="0.25">
      <c r="B25">
        <v>1</v>
      </c>
      <c r="C25" t="s">
        <v>69</v>
      </c>
      <c r="E25" s="21">
        <v>0.93023540589214981</v>
      </c>
      <c r="G25">
        <f t="shared" si="9"/>
        <v>0.93023540589214981</v>
      </c>
      <c r="H25" t="s">
        <v>67</v>
      </c>
      <c r="I25">
        <v>18</v>
      </c>
      <c r="J25" s="25">
        <f t="shared" si="8"/>
        <v>0.85387218606548643</v>
      </c>
      <c r="R25" s="5" t="s">
        <v>70</v>
      </c>
      <c r="S25" s="5">
        <v>1.6554</v>
      </c>
      <c r="T25" s="6">
        <v>9</v>
      </c>
      <c r="U25" s="6" t="s">
        <v>20</v>
      </c>
      <c r="V25" s="22">
        <v>24</v>
      </c>
      <c r="W25">
        <f t="shared" si="0"/>
        <v>14.8986</v>
      </c>
      <c r="X25" s="8">
        <f t="shared" si="1"/>
        <v>1.9163174846702706E-2</v>
      </c>
      <c r="Y25">
        <f t="shared" si="2"/>
        <v>0.46362200705500489</v>
      </c>
      <c r="Z25">
        <f t="shared" si="3"/>
        <v>5.1513556339444988E-2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0.3804484731748044</v>
      </c>
      <c r="AK25">
        <f t="shared" si="7"/>
        <v>1.7293112417036564E-2</v>
      </c>
    </row>
    <row r="26" spans="2:37" x14ac:dyDescent="0.25">
      <c r="B26">
        <v>4</v>
      </c>
      <c r="C26" t="s">
        <v>71</v>
      </c>
      <c r="E26" s="21">
        <v>0.1091761972628696</v>
      </c>
      <c r="G26">
        <f t="shared" si="9"/>
        <v>2.7294049315717401E-2</v>
      </c>
      <c r="H26" t="s">
        <v>20</v>
      </c>
      <c r="I26">
        <v>19</v>
      </c>
      <c r="J26" s="25">
        <f t="shared" si="8"/>
        <v>0.10021390030167411</v>
      </c>
      <c r="R26" s="3" t="s">
        <v>72</v>
      </c>
      <c r="S26" s="5">
        <v>2.3319999999999999</v>
      </c>
      <c r="T26" s="4">
        <v>9</v>
      </c>
      <c r="U26" s="4" t="s">
        <v>36</v>
      </c>
      <c r="V26" s="22">
        <v>25</v>
      </c>
      <c r="W26">
        <f t="shared" si="0"/>
        <v>20.988</v>
      </c>
      <c r="X26" s="8">
        <f t="shared" si="1"/>
        <v>2.6995604532143717E-2</v>
      </c>
      <c r="Y26">
        <f t="shared" si="2"/>
        <v>0.65311496946494585</v>
      </c>
      <c r="Z26">
        <f t="shared" si="3"/>
        <v>7.2568329940549542E-2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0.35354807608163641</v>
      </c>
      <c r="AK26">
        <f t="shared" si="7"/>
        <v>1.5371655481810279E-2</v>
      </c>
    </row>
    <row r="27" spans="2:37" x14ac:dyDescent="0.25">
      <c r="B27">
        <v>4</v>
      </c>
      <c r="C27" t="s">
        <v>73</v>
      </c>
      <c r="E27" s="21">
        <v>8.0319531465509115</v>
      </c>
      <c r="G27">
        <f t="shared" si="9"/>
        <v>2.0079882866377279</v>
      </c>
      <c r="H27" t="s">
        <v>20</v>
      </c>
      <c r="I27">
        <v>20</v>
      </c>
      <c r="J27" s="25">
        <f t="shared" si="8"/>
        <v>7.3726084259752707</v>
      </c>
      <c r="R27" s="5" t="s">
        <v>74</v>
      </c>
      <c r="S27" s="5">
        <v>0.71689999999999998</v>
      </c>
      <c r="T27" s="6">
        <v>9</v>
      </c>
      <c r="U27" s="6" t="s">
        <v>14</v>
      </c>
      <c r="V27" s="22">
        <v>26</v>
      </c>
      <c r="W27">
        <f t="shared" si="0"/>
        <v>6.4520999999999997</v>
      </c>
      <c r="X27" s="8">
        <f t="shared" si="1"/>
        <v>8.2989489232820884E-3</v>
      </c>
      <c r="Y27">
        <f t="shared" si="2"/>
        <v>0.20077964048431374</v>
      </c>
      <c r="Z27">
        <f t="shared" si="3"/>
        <v>2.2308848942701527E-2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0.34586224834073126</v>
      </c>
      <c r="AK27">
        <f t="shared" si="7"/>
        <v>1.4410927014197135E-2</v>
      </c>
    </row>
    <row r="28" spans="2:37" x14ac:dyDescent="0.25">
      <c r="B28">
        <v>4</v>
      </c>
      <c r="C28" t="s">
        <v>75</v>
      </c>
      <c r="E28" s="21">
        <v>1.0696398420040329</v>
      </c>
      <c r="G28">
        <f t="shared" si="9"/>
        <v>0.26740996050100824</v>
      </c>
      <c r="H28" t="s">
        <v>14</v>
      </c>
      <c r="I28">
        <v>21</v>
      </c>
      <c r="J28" s="25">
        <f t="shared" si="8"/>
        <v>0.98183288274088332</v>
      </c>
      <c r="R28" s="5" t="s">
        <v>76</v>
      </c>
      <c r="S28" s="5">
        <v>0.93319999999999992</v>
      </c>
      <c r="T28" s="6">
        <v>9</v>
      </c>
      <c r="U28" s="6" t="s">
        <v>38</v>
      </c>
      <c r="V28" s="22">
        <v>27</v>
      </c>
      <c r="W28">
        <f t="shared" si="0"/>
        <v>8.3987999999999996</v>
      </c>
      <c r="X28" s="8">
        <f t="shared" si="1"/>
        <v>1.0802872276756654E-2</v>
      </c>
      <c r="Y28">
        <f t="shared" si="2"/>
        <v>0.26135801436736167</v>
      </c>
      <c r="Z28">
        <f t="shared" si="3"/>
        <v>2.9039779374151295E-2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0.31223675197427125</v>
      </c>
      <c r="AK28">
        <f t="shared" si="7"/>
        <v>1.248947007897085E-2</v>
      </c>
    </row>
    <row r="29" spans="2:37" x14ac:dyDescent="0.25">
      <c r="B29">
        <v>4</v>
      </c>
      <c r="C29" t="s">
        <v>77</v>
      </c>
      <c r="E29" s="21">
        <v>0.14396900965465631</v>
      </c>
      <c r="G29">
        <f t="shared" si="9"/>
        <v>3.5992252413664078E-2</v>
      </c>
      <c r="H29" t="s">
        <v>20</v>
      </c>
      <c r="I29">
        <v>22</v>
      </c>
      <c r="J29" s="25">
        <f t="shared" si="8"/>
        <v>0.13215056341744638</v>
      </c>
      <c r="R29" s="5" t="s">
        <v>78</v>
      </c>
      <c r="S29" s="5">
        <v>3.3315000000000001</v>
      </c>
      <c r="T29" s="6">
        <v>10</v>
      </c>
      <c r="U29" s="6" t="s">
        <v>20</v>
      </c>
      <c r="V29" s="22">
        <v>28</v>
      </c>
      <c r="W29">
        <f t="shared" si="0"/>
        <v>33.314999999999998</v>
      </c>
      <c r="X29" s="8">
        <f t="shared" si="1"/>
        <v>4.2851084666874782E-2</v>
      </c>
      <c r="Y29">
        <f t="shared" si="2"/>
        <v>1.0367126552184425</v>
      </c>
      <c r="Z29">
        <f t="shared" si="3"/>
        <v>0.10367126552184425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0.2747683417373587</v>
      </c>
      <c r="AK29">
        <f t="shared" si="7"/>
        <v>1.0568013143744566E-2</v>
      </c>
    </row>
    <row r="30" spans="2:37" x14ac:dyDescent="0.25">
      <c r="B30">
        <v>5</v>
      </c>
      <c r="C30" t="s">
        <v>79</v>
      </c>
      <c r="E30" s="21">
        <v>8.972659902938368E-2</v>
      </c>
      <c r="G30">
        <f t="shared" si="9"/>
        <v>1.7945319805876735E-2</v>
      </c>
      <c r="H30" t="s">
        <v>20</v>
      </c>
      <c r="I30">
        <v>23</v>
      </c>
      <c r="J30" s="25">
        <f t="shared" si="8"/>
        <v>8.2360923671748354E-2</v>
      </c>
      <c r="R30" s="5" t="s">
        <v>80</v>
      </c>
      <c r="S30" s="5">
        <v>3.0535999999999999</v>
      </c>
      <c r="T30" s="6">
        <v>10</v>
      </c>
      <c r="U30" s="6" t="s">
        <v>28</v>
      </c>
      <c r="V30" s="22">
        <v>29</v>
      </c>
      <c r="W30">
        <f t="shared" si="0"/>
        <v>30.535999999999998</v>
      </c>
      <c r="X30" s="8">
        <f t="shared" si="1"/>
        <v>3.9276623784712243E-2</v>
      </c>
      <c r="Y30">
        <f t="shared" si="2"/>
        <v>0.95023435808946</v>
      </c>
      <c r="Z30">
        <f t="shared" si="3"/>
        <v>9.5023435808945997E-2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0.2334570176299936</v>
      </c>
      <c r="AK30">
        <f t="shared" si="7"/>
        <v>8.6465562085182822E-3</v>
      </c>
    </row>
    <row r="31" spans="2:37" x14ac:dyDescent="0.25">
      <c r="B31">
        <v>5</v>
      </c>
      <c r="C31" t="s">
        <v>81</v>
      </c>
      <c r="E31" s="21">
        <v>0.32813986424607472</v>
      </c>
      <c r="G31">
        <f t="shared" si="9"/>
        <v>6.5627972849214941E-2</v>
      </c>
      <c r="H31" t="s">
        <v>28</v>
      </c>
      <c r="I31">
        <v>24</v>
      </c>
      <c r="J31" s="25">
        <f t="shared" si="8"/>
        <v>0.30120279387808269</v>
      </c>
      <c r="R31" s="3" t="s">
        <v>82</v>
      </c>
      <c r="S31" s="3">
        <v>2.3725999999999998</v>
      </c>
      <c r="T31" s="4">
        <v>10</v>
      </c>
      <c r="U31" s="4" t="s">
        <v>36</v>
      </c>
      <c r="V31" s="22">
        <v>30</v>
      </c>
      <c r="W31">
        <f t="shared" si="0"/>
        <v>23.725999999999999</v>
      </c>
      <c r="X31" s="8">
        <f t="shared" si="1"/>
        <v>3.0517329575454631E-2</v>
      </c>
      <c r="Y31">
        <f t="shared" si="2"/>
        <v>0.73831740830595116</v>
      </c>
      <c r="Z31">
        <f t="shared" si="3"/>
        <v>7.3831740830595113E-2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 s="21">
        <v>0.73605269850226485</v>
      </c>
      <c r="G32">
        <f t="shared" si="9"/>
        <v>0.14721053970045297</v>
      </c>
      <c r="H32" t="s">
        <v>20</v>
      </c>
      <c r="I32">
        <v>25</v>
      </c>
      <c r="J32" s="25">
        <f t="shared" si="8"/>
        <v>0.67562997790517998</v>
      </c>
      <c r="R32" s="5" t="s">
        <v>84</v>
      </c>
      <c r="S32" s="5">
        <v>1.9381999999999999</v>
      </c>
      <c r="T32" s="6">
        <v>10</v>
      </c>
      <c r="U32" s="6" t="s">
        <v>38</v>
      </c>
      <c r="V32" s="22">
        <v>31</v>
      </c>
      <c r="W32">
        <f t="shared" si="0"/>
        <v>19.381999999999998</v>
      </c>
      <c r="X32" s="8">
        <f t="shared" si="1"/>
        <v>2.4929903137126428E-2</v>
      </c>
      <c r="Y32">
        <f t="shared" si="2"/>
        <v>0.60313866677003902</v>
      </c>
      <c r="Z32">
        <f t="shared" si="3"/>
        <v>6.0313866677003905E-2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 s="21">
        <v>4.9157129528950714</v>
      </c>
      <c r="G33">
        <f t="shared" si="9"/>
        <v>0.98314259057901432</v>
      </c>
      <c r="H33" t="s">
        <v>20</v>
      </c>
      <c r="I33">
        <v>26</v>
      </c>
      <c r="J33" s="25">
        <f t="shared" si="8"/>
        <v>4.5121810442523422</v>
      </c>
      <c r="R33" s="5" t="s">
        <v>86</v>
      </c>
      <c r="S33" s="5">
        <v>2.0365000000000002</v>
      </c>
      <c r="T33" s="6">
        <v>11</v>
      </c>
      <c r="U33" s="6" t="s">
        <v>20</v>
      </c>
      <c r="V33" s="22">
        <v>32</v>
      </c>
      <c r="W33">
        <f t="shared" si="0"/>
        <v>22.401500000000002</v>
      </c>
      <c r="X33" s="8">
        <f t="shared" si="1"/>
        <v>2.8813704732552771E-2</v>
      </c>
      <c r="Y33">
        <f t="shared" si="2"/>
        <v>0.69710096190532622</v>
      </c>
      <c r="Z33">
        <f t="shared" si="3"/>
        <v>6.3372814718666015E-2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 s="21">
        <v>7.6394073139720922E-2</v>
      </c>
      <c r="G34">
        <f t="shared" si="9"/>
        <v>1.5278814627944184E-2</v>
      </c>
      <c r="H34" t="s">
        <v>20</v>
      </c>
      <c r="I34">
        <v>27</v>
      </c>
      <c r="J34" s="25">
        <f t="shared" si="8"/>
        <v>7.0122867632306532E-2</v>
      </c>
      <c r="R34" s="5" t="s">
        <v>88</v>
      </c>
      <c r="S34" s="5">
        <v>3.1631000000000009</v>
      </c>
      <c r="T34" s="6">
        <v>11</v>
      </c>
      <c r="U34" s="6" t="s">
        <v>28</v>
      </c>
      <c r="V34" s="22">
        <v>33</v>
      </c>
      <c r="W34">
        <f t="shared" si="0"/>
        <v>34.794100000000007</v>
      </c>
      <c r="X34" s="8">
        <f t="shared" si="1"/>
        <v>4.4753562209446443E-2</v>
      </c>
      <c r="Y34">
        <f t="shared" si="2"/>
        <v>1.0827400209195863</v>
      </c>
      <c r="Z34">
        <f t="shared" si="3"/>
        <v>9.8430910992689663E-2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 s="21">
        <v>0</v>
      </c>
      <c r="G35">
        <f t="shared" si="9"/>
        <v>0</v>
      </c>
      <c r="H35" t="s">
        <v>14</v>
      </c>
      <c r="I35">
        <v>28</v>
      </c>
      <c r="J35" s="25">
        <f t="shared" si="8"/>
        <v>0</v>
      </c>
      <c r="R35" s="5" t="s">
        <v>90</v>
      </c>
      <c r="S35" s="5">
        <v>1.2679</v>
      </c>
      <c r="T35" s="6">
        <v>11</v>
      </c>
      <c r="U35" s="6" t="s">
        <v>36</v>
      </c>
      <c r="V35" s="22">
        <v>34</v>
      </c>
      <c r="W35">
        <f t="shared" si="0"/>
        <v>13.946899999999999</v>
      </c>
      <c r="X35" s="8">
        <f t="shared" si="1"/>
        <v>1.7939060265359023E-2</v>
      </c>
      <c r="Y35">
        <f t="shared" si="2"/>
        <v>0.43400653552652241</v>
      </c>
      <c r="Z35">
        <f t="shared" si="3"/>
        <v>3.945513959332022E-2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 s="21">
        <v>6.4126281962945831E-3</v>
      </c>
      <c r="G36">
        <f t="shared" si="9"/>
        <v>1.0687713660490971E-3</v>
      </c>
      <c r="H36" t="s">
        <v>20</v>
      </c>
      <c r="I36">
        <v>29</v>
      </c>
      <c r="J36" s="25">
        <f t="shared" si="8"/>
        <v>5.8862142009568517E-3</v>
      </c>
      <c r="R36" s="3" t="s">
        <v>92</v>
      </c>
      <c r="S36" s="3">
        <v>8.2199999999999995E-2</v>
      </c>
      <c r="T36" s="4">
        <v>11</v>
      </c>
      <c r="U36" s="4" t="s">
        <v>14</v>
      </c>
      <c r="V36" s="22">
        <v>35</v>
      </c>
      <c r="W36">
        <f t="shared" si="0"/>
        <v>0.90419999999999989</v>
      </c>
      <c r="X36" s="8">
        <f t="shared" si="1"/>
        <v>1.1630181826741159E-3</v>
      </c>
      <c r="Y36">
        <f t="shared" si="2"/>
        <v>2.813734302411873E-2</v>
      </c>
      <c r="Z36">
        <f t="shared" si="3"/>
        <v>2.5579402749198845E-3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 s="21">
        <v>0.27350955498811491</v>
      </c>
      <c r="G37">
        <f t="shared" si="9"/>
        <v>4.5584925831352485E-2</v>
      </c>
      <c r="H37" t="s">
        <v>28</v>
      </c>
      <c r="I37">
        <v>30</v>
      </c>
      <c r="J37" s="25">
        <f t="shared" si="8"/>
        <v>0.25105709817991662</v>
      </c>
      <c r="R37" s="5" t="s">
        <v>94</v>
      </c>
      <c r="S37" s="5">
        <v>2.2296</v>
      </c>
      <c r="T37" s="6">
        <v>12</v>
      </c>
      <c r="U37" s="6" t="s">
        <v>28</v>
      </c>
      <c r="V37" s="22">
        <v>36</v>
      </c>
      <c r="W37">
        <f t="shared" si="0"/>
        <v>26.755200000000002</v>
      </c>
      <c r="X37" s="8">
        <f t="shared" si="1"/>
        <v>3.441360769860928E-2</v>
      </c>
      <c r="Y37">
        <f t="shared" si="2"/>
        <v>0.83258155284107671</v>
      </c>
      <c r="Z37">
        <f t="shared" si="3"/>
        <v>6.9381796070089721E-2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 s="21">
        <v>0.56867594857222059</v>
      </c>
      <c r="G38">
        <f t="shared" si="9"/>
        <v>9.4779324762036765E-2</v>
      </c>
      <c r="H38" t="s">
        <v>20</v>
      </c>
      <c r="I38">
        <v>31</v>
      </c>
      <c r="J38" s="25">
        <f t="shared" si="8"/>
        <v>0.52199322052736752</v>
      </c>
      <c r="R38" s="5" t="s">
        <v>96</v>
      </c>
      <c r="S38" s="5">
        <v>0.219</v>
      </c>
      <c r="T38" s="6">
        <v>12</v>
      </c>
      <c r="U38" s="6" t="s">
        <v>20</v>
      </c>
      <c r="V38" s="22">
        <v>37</v>
      </c>
      <c r="W38">
        <f t="shared" si="0"/>
        <v>2.6280000000000001</v>
      </c>
      <c r="X38" s="8">
        <f t="shared" si="1"/>
        <v>3.3802386463919237E-3</v>
      </c>
      <c r="Y38">
        <f t="shared" si="2"/>
        <v>8.1779404409847434E-2</v>
      </c>
      <c r="Z38">
        <f t="shared" si="3"/>
        <v>6.8149503674872864E-3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 s="21">
        <v>2.2593518898758171</v>
      </c>
      <c r="G39">
        <f t="shared" si="9"/>
        <v>0.37655864831263619</v>
      </c>
      <c r="H39" t="s">
        <v>20</v>
      </c>
      <c r="I39">
        <v>32</v>
      </c>
      <c r="J39" s="25">
        <f t="shared" si="8"/>
        <v>2.0738812187536975</v>
      </c>
      <c r="R39" s="3" t="s">
        <v>98</v>
      </c>
      <c r="S39" s="3">
        <v>0.2006</v>
      </c>
      <c r="T39" s="4">
        <v>12</v>
      </c>
      <c r="U39" s="4" t="s">
        <v>38</v>
      </c>
      <c r="V39" s="22">
        <v>38</v>
      </c>
      <c r="W39">
        <f t="shared" si="0"/>
        <v>2.4072</v>
      </c>
      <c r="X39" s="8">
        <f t="shared" si="1"/>
        <v>3.0962368605763463E-3</v>
      </c>
      <c r="Y39">
        <f t="shared" si="2"/>
        <v>7.4908440751668456E-2</v>
      </c>
      <c r="Z39">
        <f t="shared" si="3"/>
        <v>6.2423700626390377E-3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 s="21">
        <v>0.20367829201524951</v>
      </c>
      <c r="G40">
        <f t="shared" si="9"/>
        <v>3.3946382002541582E-2</v>
      </c>
      <c r="H40" t="s">
        <v>20</v>
      </c>
      <c r="I40">
        <v>33</v>
      </c>
      <c r="J40" s="25">
        <f t="shared" si="8"/>
        <v>0.18695829824962509</v>
      </c>
      <c r="R40" s="5" t="s">
        <v>100</v>
      </c>
      <c r="S40" s="5">
        <v>0.77190000000000003</v>
      </c>
      <c r="T40" s="6">
        <v>12</v>
      </c>
      <c r="U40" s="6" t="s">
        <v>36</v>
      </c>
      <c r="V40" s="22">
        <v>39</v>
      </c>
      <c r="W40">
        <f t="shared" si="0"/>
        <v>9.2628000000000004</v>
      </c>
      <c r="X40" s="8">
        <f t="shared" si="1"/>
        <v>1.191418361255674E-2</v>
      </c>
      <c r="Y40">
        <f t="shared" si="2"/>
        <v>0.28824439389936635</v>
      </c>
      <c r="Z40">
        <f t="shared" si="3"/>
        <v>2.4020366158280529E-2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 s="21">
        <v>9.1183489894627566E-3</v>
      </c>
      <c r="G41">
        <f t="shared" si="9"/>
        <v>1.519724831577126E-3</v>
      </c>
      <c r="H41" t="s">
        <v>14</v>
      </c>
      <c r="I41">
        <v>34</v>
      </c>
      <c r="J41" s="25">
        <f t="shared" si="8"/>
        <v>8.3698218059905481E-3</v>
      </c>
      <c r="R41" s="3" t="s">
        <v>102</v>
      </c>
      <c r="S41" s="3">
        <v>0.80540000000000012</v>
      </c>
      <c r="T41" s="4">
        <v>13</v>
      </c>
      <c r="U41" s="4" t="s">
        <v>28</v>
      </c>
      <c r="V41" s="22">
        <v>40</v>
      </c>
      <c r="W41">
        <f t="shared" si="0"/>
        <v>10.470200000000002</v>
      </c>
      <c r="X41" s="8">
        <f t="shared" si="1"/>
        <v>1.3467189754738479E-2</v>
      </c>
      <c r="Y41">
        <f t="shared" si="2"/>
        <v>0.3258168645555497</v>
      </c>
      <c r="Z41">
        <f t="shared" si="3"/>
        <v>2.5062835735042286E-2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 s="21">
        <v>1.8520617828300199E-2</v>
      </c>
      <c r="G42">
        <f t="shared" si="9"/>
        <v>3.086769638050033E-3</v>
      </c>
      <c r="H42" t="s">
        <v>20</v>
      </c>
      <c r="I42">
        <v>35</v>
      </c>
      <c r="J42" s="25">
        <f t="shared" si="8"/>
        <v>1.7000256421295143E-2</v>
      </c>
      <c r="R42" s="5" t="s">
        <v>104</v>
      </c>
      <c r="S42" s="5">
        <v>6.9599999999999995E-2</v>
      </c>
      <c r="T42" s="6">
        <v>13</v>
      </c>
      <c r="U42" s="6" t="s">
        <v>20</v>
      </c>
      <c r="V42" s="22">
        <v>41</v>
      </c>
      <c r="W42">
        <f t="shared" si="0"/>
        <v>0.90479999999999994</v>
      </c>
      <c r="X42" s="8">
        <f t="shared" si="1"/>
        <v>1.1637899266573105E-3</v>
      </c>
      <c r="Y42">
        <f t="shared" si="2"/>
        <v>2.8156014121015958E-2</v>
      </c>
      <c r="Z42">
        <f t="shared" si="3"/>
        <v>2.1658472400781508E-3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 s="21">
        <v>3.8738257035135109E-3</v>
      </c>
      <c r="G43">
        <f t="shared" si="9"/>
        <v>5.5340367193050153E-4</v>
      </c>
      <c r="H43" t="s">
        <v>28</v>
      </c>
      <c r="I43">
        <v>36</v>
      </c>
      <c r="J43" s="25">
        <f t="shared" si="8"/>
        <v>3.5558225379772835E-3</v>
      </c>
      <c r="R43" s="3" t="s">
        <v>106</v>
      </c>
      <c r="S43" s="3">
        <v>0.18319999999999989</v>
      </c>
      <c r="T43" s="4">
        <v>14</v>
      </c>
      <c r="U43" s="4" t="s">
        <v>28</v>
      </c>
      <c r="V43" s="22">
        <v>42</v>
      </c>
      <c r="W43">
        <f t="shared" si="0"/>
        <v>2.5647999999999986</v>
      </c>
      <c r="X43" s="8">
        <f t="shared" si="1"/>
        <v>3.2989482801621009E-3</v>
      </c>
      <c r="Y43">
        <f t="shared" si="2"/>
        <v>7.9812715536672962E-2</v>
      </c>
      <c r="Z43">
        <f t="shared" si="3"/>
        <v>5.7009082526194976E-3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 s="21">
        <v>3.5118396655027631E-4</v>
      </c>
      <c r="G44">
        <f t="shared" si="9"/>
        <v>5.0169138078610903E-5</v>
      </c>
      <c r="H44" t="s">
        <v>20</v>
      </c>
      <c r="I44">
        <v>37</v>
      </c>
      <c r="J44" s="25">
        <f t="shared" si="8"/>
        <v>3.2235520098468405E-4</v>
      </c>
      <c r="R44" s="5" t="s">
        <v>108</v>
      </c>
      <c r="S44" s="5">
        <v>0.14449999999999999</v>
      </c>
      <c r="T44" s="6">
        <v>15</v>
      </c>
      <c r="U44" s="6" t="s">
        <v>28</v>
      </c>
      <c r="V44" s="22">
        <v>43</v>
      </c>
      <c r="W44">
        <f t="shared" si="0"/>
        <v>2.1675</v>
      </c>
      <c r="X44" s="8">
        <f t="shared" si="1"/>
        <v>2.7879251392901425E-3</v>
      </c>
      <c r="Y44">
        <f t="shared" si="2"/>
        <v>6.7449337541226895E-2</v>
      </c>
      <c r="Z44">
        <f t="shared" si="3"/>
        <v>4.4966225027484596E-3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 s="21">
        <v>3.720347835125563E-3</v>
      </c>
      <c r="G45">
        <f t="shared" si="9"/>
        <v>5.3147826216079475E-4</v>
      </c>
      <c r="H45" t="s">
        <v>20</v>
      </c>
      <c r="I45">
        <v>38</v>
      </c>
      <c r="J45" s="25">
        <f t="shared" si="8"/>
        <v>3.4149437000368988E-3</v>
      </c>
      <c r="R45" s="5" t="s">
        <v>110</v>
      </c>
      <c r="S45" s="5">
        <v>0.36849999999999988</v>
      </c>
      <c r="T45" s="6">
        <v>16</v>
      </c>
      <c r="U45" s="6" t="s">
        <v>28</v>
      </c>
      <c r="V45" s="22">
        <v>44</v>
      </c>
      <c r="W45">
        <f t="shared" si="0"/>
        <v>5.8959999999999981</v>
      </c>
      <c r="X45" s="8">
        <f t="shared" si="1"/>
        <v>7.583670874857981E-3</v>
      </c>
      <c r="Y45">
        <f t="shared" si="2"/>
        <v>0.18347464551006859</v>
      </c>
      <c r="Z45">
        <f t="shared" si="3"/>
        <v>1.1467165344379287E-2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 s="21">
        <v>1.0748489830752241E-4</v>
      </c>
      <c r="G46">
        <f t="shared" si="9"/>
        <v>1.5354985472503201E-5</v>
      </c>
      <c r="H46" t="s">
        <v>14</v>
      </c>
      <c r="I46">
        <v>39</v>
      </c>
      <c r="J46" s="25">
        <f t="shared" si="8"/>
        <v>9.8661440432757847E-5</v>
      </c>
      <c r="R46" s="5" t="s">
        <v>112</v>
      </c>
      <c r="S46" s="5">
        <v>0.13650000000000001</v>
      </c>
      <c r="T46" s="6">
        <v>17</v>
      </c>
      <c r="U46" s="6" t="s">
        <v>28</v>
      </c>
      <c r="V46" s="22">
        <v>45</v>
      </c>
      <c r="W46">
        <f t="shared" si="0"/>
        <v>2.3205</v>
      </c>
      <c r="X46" s="8">
        <f t="shared" si="1"/>
        <v>2.9847198550047404E-3</v>
      </c>
      <c r="Y46">
        <f t="shared" si="2"/>
        <v>7.2210467250019381E-2</v>
      </c>
      <c r="Z46">
        <f t="shared" si="3"/>
        <v>4.2476745441187872E-3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 s="21">
        <v>7.050394451052068E-2</v>
      </c>
      <c r="G47">
        <f t="shared" si="9"/>
        <v>1.0071992072931525E-2</v>
      </c>
      <c r="H47" t="s">
        <v>20</v>
      </c>
      <c r="I47">
        <v>40</v>
      </c>
      <c r="J47" s="25">
        <f t="shared" si="8"/>
        <v>6.4716260899252101E-2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54.372670842961611</v>
      </c>
      <c r="G54">
        <f>SUM(G4:G51)</f>
        <v>27.002308981121871</v>
      </c>
      <c r="K54">
        <f>+D5-E5</f>
        <v>38.342030020217408</v>
      </c>
      <c r="Y54">
        <f>+SUM(Y1:Y49)</f>
        <v>24.193381877678661</v>
      </c>
      <c r="Z54">
        <f>+SUM(Z1:Z49)</f>
        <v>3.1118401473224591</v>
      </c>
      <c r="AH54">
        <f>SUM(AH4:AH51)</f>
        <v>1472.6999999999998</v>
      </c>
      <c r="AJ54">
        <f>SUM(AJ4:AJ51)</f>
        <v>14.148648142538745</v>
      </c>
      <c r="AK54">
        <f>SUM(AK4:AK51)</f>
        <v>0.96072846761314212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I127"/>
  <sheetViews>
    <sheetView topLeftCell="S1" zoomScale="85" workbookViewId="0">
      <selection activeCell="AI15" sqref="AI15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375" bestFit="1" customWidth="1"/>
    <col min="16" max="16" width="13.25" bestFit="1" customWidth="1"/>
    <col min="17" max="17" width="13" bestFit="1" customWidth="1"/>
    <col min="18" max="19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2.75" bestFit="1" customWidth="1"/>
    <col min="35" max="35" width="16.25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G3" t="s">
        <v>123</v>
      </c>
      <c r="Y3" s="21">
        <f>'10% CO'!D6-'10% CO'!E6</f>
        <v>75.609207890694449</v>
      </c>
      <c r="Z3" s="21">
        <f>+'10% CO'!D7-'10% CO'!E7</f>
        <v>17.105492972484598</v>
      </c>
      <c r="AA3" s="21">
        <f>+'10% CO'!D6</f>
        <v>84.481827236355642</v>
      </c>
      <c r="AB3" s="21">
        <f>+'10% CO'!D7</f>
        <v>124.4042907892083</v>
      </c>
    </row>
    <row r="4" spans="2:35" x14ac:dyDescent="0.25">
      <c r="B4">
        <f>'5% CO'!B8</f>
        <v>8</v>
      </c>
      <c r="C4" t="str">
        <f>'5% CO'!H8</f>
        <v>Olefin</v>
      </c>
      <c r="D4" t="str">
        <f>'5% CO'!C8</f>
        <v>Ottene</v>
      </c>
      <c r="E4">
        <f>+'10% CO'!G8</f>
        <v>0</v>
      </c>
      <c r="F4" t="s">
        <v>121</v>
      </c>
      <c r="G4">
        <f>VLOOKUP(Tabella10[[#This Row],[Name]],'10% CO'!$C$8:$I$47,7,FALSE)</f>
        <v>1</v>
      </c>
      <c r="Y4">
        <f>Y3/(Y3+Z3)</f>
        <v>0.8155039835837089</v>
      </c>
      <c r="Z4">
        <f>1-Y4</f>
        <v>0.1844960164162911</v>
      </c>
    </row>
    <row r="5" spans="2:35" x14ac:dyDescent="0.25">
      <c r="B5">
        <f>'5% CO'!B9</f>
        <v>7</v>
      </c>
      <c r="C5" t="str">
        <f>'5% CO'!H9</f>
        <v>Aromatic</v>
      </c>
      <c r="D5" t="str">
        <f>'5% CO'!C9</f>
        <v>Toluene</v>
      </c>
      <c r="E5">
        <f>+'10% CO'!G9</f>
        <v>0</v>
      </c>
      <c r="F5" t="s">
        <v>121</v>
      </c>
      <c r="G5">
        <f>VLOOKUP(Tabella10[[#This Row],[Name]],'10% CO'!$C$8:$I$47,7,FALSE)</f>
        <v>2</v>
      </c>
      <c r="R5" t="s">
        <v>120</v>
      </c>
      <c r="S5" t="s">
        <v>123</v>
      </c>
      <c r="T5" t="s">
        <v>124</v>
      </c>
      <c r="U5" t="s">
        <v>125</v>
      </c>
      <c r="V5" t="s">
        <v>126</v>
      </c>
      <c r="W5" t="s">
        <v>24</v>
      </c>
      <c r="X5" t="s">
        <v>6</v>
      </c>
      <c r="Y5" t="s">
        <v>127</v>
      </c>
      <c r="Z5" t="s">
        <v>346</v>
      </c>
      <c r="AA5" t="s">
        <v>128</v>
      </c>
      <c r="AB5" t="s">
        <v>129</v>
      </c>
    </row>
    <row r="6" spans="2:35" x14ac:dyDescent="0.25">
      <c r="B6">
        <f>'5% CO'!B10</f>
        <v>9</v>
      </c>
      <c r="C6" t="str">
        <f>'5% CO'!H10</f>
        <v>Aromatic</v>
      </c>
      <c r="D6" t="str">
        <f>'5% CO'!C10</f>
        <v>Nonene</v>
      </c>
      <c r="E6">
        <f>+'10% CO'!G10</f>
        <v>3.10974113820444E-4</v>
      </c>
      <c r="F6" t="s">
        <v>121</v>
      </c>
      <c r="G6">
        <f>VLOOKUP(Tabella10[[#This Row],[Name]],'10% CO'!$C$8:$I$47,7,FALSE)</f>
        <v>3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12.78041501570276</v>
      </c>
      <c r="X6">
        <f t="shared" ref="X6:X37" si="0">+W6*S6</f>
        <v>12.78041501570276</v>
      </c>
      <c r="Y6">
        <f t="shared" ref="Y6:Y37" si="1">X6*$Y$4</f>
        <v>10.42247935715865</v>
      </c>
      <c r="Z6">
        <f t="shared" ref="Z6:Z37" si="2">+X6*$Z$4</f>
        <v>2.3579356585441098</v>
      </c>
      <c r="AA6">
        <f t="shared" ref="AA6:AA37" si="3">+Y6/$AA$3</f>
        <v>0.12336948309604594</v>
      </c>
      <c r="AB6">
        <f t="shared" ref="AB6:AB37" si="4">+Z6/$AB$3</f>
        <v>1.8953812956013037E-2</v>
      </c>
    </row>
    <row r="7" spans="2:35" x14ac:dyDescent="0.25">
      <c r="B7">
        <f>'5% CO'!B11</f>
        <v>8</v>
      </c>
      <c r="C7" t="str">
        <f>'5% CO'!H11</f>
        <v>Aromatic</v>
      </c>
      <c r="D7" t="str">
        <f>'5% CO'!C11</f>
        <v>p-Xilene</v>
      </c>
      <c r="E7">
        <f>+'10% CO'!G11</f>
        <v>0</v>
      </c>
      <c r="F7" t="s">
        <v>121</v>
      </c>
      <c r="G7">
        <f>VLOOKUP(Tabella10[[#This Row],[Name]],'10% CO'!$C$8:$I$47,7,FALSE)</f>
        <v>4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0.93023540589214981</v>
      </c>
      <c r="X7">
        <f t="shared" si="0"/>
        <v>0.93023540589214981</v>
      </c>
      <c r="Y7">
        <f t="shared" si="1"/>
        <v>0.7586106791756565</v>
      </c>
      <c r="Z7">
        <f t="shared" si="2"/>
        <v>0.17162472671649329</v>
      </c>
      <c r="AA7">
        <f t="shared" si="3"/>
        <v>8.9795723410821121E-3</v>
      </c>
      <c r="AB7">
        <f t="shared" si="4"/>
        <v>1.3795724056439155E-3</v>
      </c>
      <c r="AH7" s="14" t="s">
        <v>130</v>
      </c>
      <c r="AI7" t="s">
        <v>131</v>
      </c>
    </row>
    <row r="8" spans="2:35" x14ac:dyDescent="0.25">
      <c r="B8">
        <f>'5% CO'!B12</f>
        <v>8</v>
      </c>
      <c r="C8" t="str">
        <f>'5% CO'!H12</f>
        <v>Aromatic</v>
      </c>
      <c r="D8" t="str">
        <f>'5% CO'!C12</f>
        <v>m-Xilene</v>
      </c>
      <c r="E8">
        <f>+'10% CO'!G12</f>
        <v>3.5396185810477501E-2</v>
      </c>
      <c r="F8" t="s">
        <v>121</v>
      </c>
      <c r="G8">
        <f>VLOOKUP(Tabella10[[#This Row],[Name]],'10% CO'!$C$8:$I$47,7,FALSE)</f>
        <v>5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0.85144978553306505</v>
      </c>
      <c r="X8">
        <f t="shared" si="0"/>
        <v>1.7028995710661301</v>
      </c>
      <c r="Y8">
        <f t="shared" si="1"/>
        <v>1.3887213838474184</v>
      </c>
      <c r="Z8">
        <f t="shared" si="2"/>
        <v>0.31417818721871182</v>
      </c>
      <c r="AA8">
        <f t="shared" si="3"/>
        <v>1.6438107807045636E-2</v>
      </c>
      <c r="AB8">
        <f t="shared" si="4"/>
        <v>2.525461020882777E-3</v>
      </c>
      <c r="AH8" s="15">
        <v>1</v>
      </c>
      <c r="AI8" s="43">
        <v>13.710650421594909</v>
      </c>
    </row>
    <row r="9" spans="2:35" x14ac:dyDescent="0.25">
      <c r="B9">
        <f>'5% CO'!B13</f>
        <v>8</v>
      </c>
      <c r="C9" t="str">
        <f>'5% CO'!H13</f>
        <v>Aromatic</v>
      </c>
      <c r="D9" t="str">
        <f>'5% CO'!C13</f>
        <v>Etilbenzene</v>
      </c>
      <c r="E9">
        <f>+'10% CO'!G13</f>
        <v>0</v>
      </c>
      <c r="F9" t="s">
        <v>121</v>
      </c>
      <c r="G9">
        <f>VLOOKUP(Tabella10[[#This Row],[Name]],'10% CO'!$C$8:$I$47,7,FALSE)</f>
        <v>6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3.7332760249047356</v>
      </c>
      <c r="X9">
        <f t="shared" si="0"/>
        <v>7.4665520498094713</v>
      </c>
      <c r="Y9">
        <f t="shared" si="1"/>
        <v>6.0890029402547308</v>
      </c>
      <c r="Z9">
        <f t="shared" si="2"/>
        <v>1.3775491095547401</v>
      </c>
      <c r="AA9">
        <f t="shared" si="3"/>
        <v>7.207470694519269E-2</v>
      </c>
      <c r="AB9">
        <f t="shared" si="4"/>
        <v>1.1073163962558743E-2</v>
      </c>
      <c r="AH9" s="15">
        <v>2</v>
      </c>
      <c r="AI9" s="43">
        <v>9.1694516208756021</v>
      </c>
    </row>
    <row r="10" spans="2:35" x14ac:dyDescent="0.25">
      <c r="B10">
        <f>'5% CO'!B14</f>
        <v>8</v>
      </c>
      <c r="C10" t="str">
        <f>'5% CO'!H14</f>
        <v>Aromatic</v>
      </c>
      <c r="D10" t="str">
        <f>'5% CO'!C14</f>
        <v>o-Xilene</v>
      </c>
      <c r="E10">
        <f>+'10% CO'!G14</f>
        <v>0</v>
      </c>
      <c r="F10" t="s">
        <v>121</v>
      </c>
      <c r="G10">
        <f>VLOOKUP(Tabella10[[#This Row],[Name]],'10% CO'!$C$8:$I$47,7,FALSE)</f>
        <v>7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0.39016143535167697</v>
      </c>
      <c r="X10">
        <f t="shared" si="0"/>
        <v>1.170484306055031</v>
      </c>
      <c r="Y10">
        <f t="shared" si="1"/>
        <v>0.9545346143100909</v>
      </c>
      <c r="Z10">
        <f t="shared" si="2"/>
        <v>0.21594969174494008</v>
      </c>
      <c r="AA10">
        <f t="shared" si="3"/>
        <v>1.1298697548758977E-2</v>
      </c>
      <c r="AB10">
        <f t="shared" si="4"/>
        <v>1.7358701245349093E-3</v>
      </c>
      <c r="AH10" s="15">
        <v>3</v>
      </c>
      <c r="AI10" s="43">
        <v>12.330743203414499</v>
      </c>
    </row>
    <row r="11" spans="2:35" x14ac:dyDescent="0.25">
      <c r="B11">
        <f>'5% CO'!B15</f>
        <v>9</v>
      </c>
      <c r="C11" t="str">
        <f>'5% CO'!H15</f>
        <v>Aromatic</v>
      </c>
      <c r="D11" t="str">
        <f>'5% CO'!C15</f>
        <v>Trimetilbenzene</v>
      </c>
      <c r="E11">
        <f>+'10% CO'!G15</f>
        <v>0</v>
      </c>
      <c r="F11" t="s">
        <v>121</v>
      </c>
      <c r="G11">
        <f>VLOOKUP(Tabella10[[#This Row],[Name]],'10% CO'!$C$8:$I$47,7,FALSE)</f>
        <v>8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3.7200862991198229</v>
      </c>
      <c r="X11">
        <f t="shared" si="0"/>
        <v>11.160258897359469</v>
      </c>
      <c r="Y11">
        <f t="shared" si="1"/>
        <v>9.1012355886221776</v>
      </c>
      <c r="Z11">
        <f t="shared" si="2"/>
        <v>2.0590233087372916</v>
      </c>
      <c r="AA11">
        <f t="shared" si="3"/>
        <v>0.10773009872477736</v>
      </c>
      <c r="AB11">
        <f t="shared" si="4"/>
        <v>1.6551063437402799E-2</v>
      </c>
      <c r="AH11" s="15">
        <v>4</v>
      </c>
      <c r="AI11" s="43">
        <v>9.9901903072726395</v>
      </c>
    </row>
    <row r="12" spans="2:35" x14ac:dyDescent="0.25">
      <c r="B12">
        <f>'5% CO'!B16</f>
        <v>10</v>
      </c>
      <c r="C12" t="str">
        <f>'5% CO'!H16</f>
        <v>Olefin</v>
      </c>
      <c r="D12" t="str">
        <f>'5% CO'!C16</f>
        <v>Decene</v>
      </c>
      <c r="E12">
        <f>+'10% CO'!G16</f>
        <v>0</v>
      </c>
      <c r="F12" t="s">
        <v>121</v>
      </c>
      <c r="G12">
        <f>VLOOKUP(Tabella10[[#This Row],[Name]],'10% CO'!$C$8:$I$47,7,FALSE)</f>
        <v>9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0.28059486675993228</v>
      </c>
      <c r="X12">
        <f t="shared" si="0"/>
        <v>1.1223794670397291</v>
      </c>
      <c r="Y12">
        <f t="shared" si="1"/>
        <v>0.91530492646345918</v>
      </c>
      <c r="Z12">
        <f t="shared" si="2"/>
        <v>0.20707454057626992</v>
      </c>
      <c r="AA12">
        <f t="shared" si="3"/>
        <v>1.0834341022273365E-2</v>
      </c>
      <c r="AB12">
        <f t="shared" si="4"/>
        <v>1.6645289263144372E-3</v>
      </c>
      <c r="AH12" s="15">
        <v>5</v>
      </c>
      <c r="AI12" s="43">
        <v>7.9271087985810933</v>
      </c>
    </row>
    <row r="13" spans="2:35" x14ac:dyDescent="0.25">
      <c r="B13">
        <f>'5% CO'!B17</f>
        <v>10</v>
      </c>
      <c r="C13" t="str">
        <f>'5% CO'!H17</f>
        <v>paraffin</v>
      </c>
      <c r="D13" t="str">
        <f>'5% CO'!C17</f>
        <v>Decano</v>
      </c>
      <c r="E13">
        <f>+'10% CO'!G17</f>
        <v>2.0346410411596631E-3</v>
      </c>
      <c r="F13" t="s">
        <v>121</v>
      </c>
      <c r="G13">
        <f>VLOOKUP(Tabella10[[#This Row],[Name]],'10% CO'!$C$8:$I$47,7,FALSE)</f>
        <v>10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7.6987156206226228E-3</v>
      </c>
      <c r="X13">
        <f t="shared" si="0"/>
        <v>3.0794862482490491E-2</v>
      </c>
      <c r="Y13">
        <f t="shared" si="1"/>
        <v>2.5113333028383499E-2</v>
      </c>
      <c r="Z13">
        <f t="shared" si="2"/>
        <v>5.6815294541069927E-3</v>
      </c>
      <c r="AA13">
        <f t="shared" si="3"/>
        <v>2.9726313752807072E-4</v>
      </c>
      <c r="AB13">
        <f t="shared" si="4"/>
        <v>4.5669883394406589E-5</v>
      </c>
      <c r="AH13" s="15">
        <v>6</v>
      </c>
      <c r="AI13" s="43">
        <v>6.0726971951223678</v>
      </c>
    </row>
    <row r="14" spans="2:35" x14ac:dyDescent="0.25">
      <c r="B14">
        <f>'5% CO'!B18</f>
        <v>1</v>
      </c>
      <c r="C14" t="str">
        <f>'5% CO'!H18</f>
        <v>paraffin</v>
      </c>
      <c r="D14" t="str">
        <f>'5% CO'!C18</f>
        <v>*CH4</v>
      </c>
      <c r="E14">
        <f>+'10% CO'!G18</f>
        <v>12.78041501570276</v>
      </c>
      <c r="F14" t="s">
        <v>121</v>
      </c>
      <c r="G14">
        <f>VLOOKUP(Tabella10[[#This Row],[Name]],'10% CO'!$C$8:$I$47,7,FALSE)</f>
        <v>11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2.2092539944376051</v>
      </c>
      <c r="X14">
        <f t="shared" si="0"/>
        <v>8.8370159777504202</v>
      </c>
      <c r="Y14">
        <f t="shared" si="1"/>
        <v>7.2066217328483519</v>
      </c>
      <c r="Z14">
        <f t="shared" si="2"/>
        <v>1.6303942449020683</v>
      </c>
      <c r="AA14">
        <f t="shared" si="3"/>
        <v>8.5303809926912624E-2</v>
      </c>
      <c r="AB14">
        <f t="shared" si="4"/>
        <v>1.3105611024820859E-2</v>
      </c>
      <c r="AH14" s="15">
        <v>7</v>
      </c>
      <c r="AI14" s="43">
        <v>3.341206495724848</v>
      </c>
    </row>
    <row r="15" spans="2:35" x14ac:dyDescent="0.25">
      <c r="B15">
        <f>'5% CO'!B19</f>
        <v>2</v>
      </c>
      <c r="C15" t="str">
        <f>'5% CO'!H19</f>
        <v>Olefin</v>
      </c>
      <c r="D15" t="str">
        <f>'5% CO'!C19</f>
        <v>*Etilene</v>
      </c>
      <c r="E15">
        <f>+'10% CO'!G19</f>
        <v>3.7332760249047356</v>
      </c>
      <c r="F15" t="s">
        <v>121</v>
      </c>
      <c r="G15">
        <f>VLOOKUP(Tabella10[[#This Row],[Name]],'10% CO'!$C$8:$I$47,7,FALSE)</f>
        <v>12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2.625778593646471E-2</v>
      </c>
      <c r="X15">
        <f t="shared" si="0"/>
        <v>0.13128892968232356</v>
      </c>
      <c r="Y15">
        <f t="shared" si="1"/>
        <v>0.1070666451563763</v>
      </c>
      <c r="Z15">
        <f t="shared" si="2"/>
        <v>2.4222284525947255E-2</v>
      </c>
      <c r="AA15">
        <f t="shared" si="3"/>
        <v>1.2673334450595498E-3</v>
      </c>
      <c r="AB15">
        <f t="shared" si="4"/>
        <v>1.9470618233730942E-4</v>
      </c>
      <c r="AH15" s="15">
        <v>8</v>
      </c>
      <c r="AI15" s="43">
        <v>4.4907710683154773</v>
      </c>
    </row>
    <row r="16" spans="2:35" x14ac:dyDescent="0.25">
      <c r="B16">
        <f>'5% CO'!B20</f>
        <v>2</v>
      </c>
      <c r="C16" t="str">
        <f>'5% CO'!H20</f>
        <v>Olefin</v>
      </c>
      <c r="D16" t="str">
        <f>'5% CO'!C20</f>
        <v>*Acetilene</v>
      </c>
      <c r="E16">
        <f>+'10% CO'!G20</f>
        <v>0</v>
      </c>
      <c r="F16" t="s">
        <v>121</v>
      </c>
      <c r="G16">
        <f>VLOOKUP(Tabella10[[#This Row],[Name]],'10% CO'!$C$8:$I$47,7,FALSE)</f>
        <v>13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8.784346630743034E-2</v>
      </c>
      <c r="X16">
        <f t="shared" si="0"/>
        <v>0.4392173315371517</v>
      </c>
      <c r="Y16">
        <f t="shared" si="1"/>
        <v>0.3581834835275538</v>
      </c>
      <c r="Z16">
        <f t="shared" si="2"/>
        <v>8.1033848009597911E-2</v>
      </c>
      <c r="AA16">
        <f t="shared" si="3"/>
        <v>4.2397696077934059E-3</v>
      </c>
      <c r="AB16">
        <f t="shared" si="4"/>
        <v>6.5137502489284998E-4</v>
      </c>
      <c r="AH16" s="15">
        <v>9</v>
      </c>
      <c r="AI16" s="43">
        <v>4.3654975789860266</v>
      </c>
    </row>
    <row r="17" spans="2:35" x14ac:dyDescent="0.25">
      <c r="B17">
        <f>'5% CO'!B21</f>
        <v>2</v>
      </c>
      <c r="C17" t="str">
        <f>'5% CO'!H21</f>
        <v>paraffin</v>
      </c>
      <c r="D17" t="str">
        <f>'5% CO'!C21</f>
        <v>*Etano</v>
      </c>
      <c r="E17">
        <f>+'10% CO'!G21</f>
        <v>0.85144978553306505</v>
      </c>
      <c r="F17" t="s">
        <v>121</v>
      </c>
      <c r="G17">
        <f>VLOOKUP(Tabella10[[#This Row],[Name]],'10% CO'!$C$8:$I$47,7,FALSE)</f>
        <v>14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1.4620285249164713</v>
      </c>
      <c r="X17">
        <f t="shared" si="0"/>
        <v>7.3101426245823564</v>
      </c>
      <c r="Y17">
        <f t="shared" si="1"/>
        <v>5.9614504309119809</v>
      </c>
      <c r="Z17">
        <f t="shared" si="2"/>
        <v>1.3486921936703757</v>
      </c>
      <c r="AA17">
        <f t="shared" si="3"/>
        <v>7.056488508745877E-2</v>
      </c>
      <c r="AB17">
        <f t="shared" si="4"/>
        <v>1.0841203186115271E-2</v>
      </c>
      <c r="AH17" s="15">
        <v>10</v>
      </c>
      <c r="AI17" s="43">
        <v>4.1077249882098705</v>
      </c>
    </row>
    <row r="18" spans="2:35" x14ac:dyDescent="0.25">
      <c r="B18">
        <f>'5% CO'!B22</f>
        <v>3</v>
      </c>
      <c r="C18" t="str">
        <f>'5% CO'!H22</f>
        <v>Olefin</v>
      </c>
      <c r="D18" t="str">
        <f>'5% CO'!C22</f>
        <v>*Propilene</v>
      </c>
      <c r="E18">
        <f>+'10% CO'!G22</f>
        <v>3.7200862991198229</v>
      </c>
      <c r="F18" t="s">
        <v>121</v>
      </c>
      <c r="G18">
        <f>VLOOKUP(Tabella10[[#This Row],[Name]],'10% CO'!$C$8:$I$47,7,FALSE)</f>
        <v>15</v>
      </c>
      <c r="N18">
        <v>1</v>
      </c>
      <c r="O18" t="s">
        <v>67</v>
      </c>
      <c r="P18" s="43">
        <v>0.93023540589214981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9.2919825558525244E-3</v>
      </c>
      <c r="X18">
        <f t="shared" si="0"/>
        <v>4.6459912779262619E-2</v>
      </c>
      <c r="Y18">
        <f t="shared" si="1"/>
        <v>3.7888243948440328E-2</v>
      </c>
      <c r="Z18">
        <f t="shared" si="2"/>
        <v>8.5716688308222887E-3</v>
      </c>
      <c r="AA18">
        <f t="shared" si="3"/>
        <v>4.4847803590279851E-4</v>
      </c>
      <c r="AB18">
        <f t="shared" si="4"/>
        <v>6.8901713730647741E-5</v>
      </c>
      <c r="AH18" s="15">
        <v>11</v>
      </c>
      <c r="AI18" s="43">
        <v>3.2036740574563094</v>
      </c>
    </row>
    <row r="19" spans="2:35" x14ac:dyDescent="0.25">
      <c r="B19">
        <f>'5% CO'!B23</f>
        <v>3</v>
      </c>
      <c r="C19" t="str">
        <f>'5% CO'!H23</f>
        <v>paraffin</v>
      </c>
      <c r="D19" t="str">
        <f>'5% CO'!C23</f>
        <v>*Propano</v>
      </c>
      <c r="E19">
        <f>+'10% CO'!G23</f>
        <v>0.36821667279847131</v>
      </c>
      <c r="F19" t="s">
        <v>121</v>
      </c>
      <c r="G19">
        <f>VLOOKUP(Tabella10[[#This Row],[Name]],'10% CO'!$C$8:$I$47,7,FALSE)</f>
        <v>16</v>
      </c>
      <c r="O19" t="s">
        <v>14</v>
      </c>
      <c r="P19" s="43">
        <v>12.78041501570276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0.34416377186333308</v>
      </c>
      <c r="X19">
        <f t="shared" si="0"/>
        <v>2.0649826311799986</v>
      </c>
      <c r="Y19">
        <f t="shared" si="1"/>
        <v>1.6840015617584576</v>
      </c>
      <c r="Z19">
        <f t="shared" si="2"/>
        <v>0.38098106942154103</v>
      </c>
      <c r="AA19">
        <f t="shared" si="3"/>
        <v>1.9933299466252191E-2</v>
      </c>
      <c r="AB19">
        <f t="shared" si="4"/>
        <v>3.0624431601565787E-3</v>
      </c>
      <c r="AH19" s="15">
        <v>12</v>
      </c>
      <c r="AI19" s="43">
        <v>2.4880316610945172</v>
      </c>
    </row>
    <row r="20" spans="2:35" x14ac:dyDescent="0.25">
      <c r="B20">
        <f>'5% CO'!B24</f>
        <v>2</v>
      </c>
      <c r="C20" t="str">
        <f>'5% CO'!H24</f>
        <v>oxygenated</v>
      </c>
      <c r="D20" t="str">
        <f>'5% CO'!C24</f>
        <v>*DME</v>
      </c>
      <c r="E20">
        <f>+'10% CO'!G24</f>
        <v>1.3783850759797726E-3</v>
      </c>
      <c r="F20" t="s">
        <v>121</v>
      </c>
      <c r="G20">
        <f>VLOOKUP(Tabella10[[#This Row],[Name]],'10% CO'!$C$8:$I$47,7,FALSE)</f>
        <v>17</v>
      </c>
      <c r="N20">
        <v>2</v>
      </c>
      <c r="O20" t="s">
        <v>20</v>
      </c>
      <c r="P20" s="43">
        <v>3.7332760249047356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4.9116407679064139E-3</v>
      </c>
      <c r="X20">
        <f t="shared" si="0"/>
        <v>2.9469844607438483E-2</v>
      </c>
      <c r="Y20">
        <f t="shared" si="1"/>
        <v>2.4032775672958966E-2</v>
      </c>
      <c r="Z20">
        <f t="shared" si="2"/>
        <v>5.4370689344795178E-3</v>
      </c>
      <c r="AA20">
        <f t="shared" si="3"/>
        <v>2.8447272578186822E-4</v>
      </c>
      <c r="AB20">
        <f t="shared" si="4"/>
        <v>4.3704834455365646E-5</v>
      </c>
      <c r="AH20" s="15">
        <v>13</v>
      </c>
      <c r="AI20" s="43">
        <v>1.7153251172843882</v>
      </c>
    </row>
    <row r="21" spans="2:35" x14ac:dyDescent="0.25">
      <c r="B21">
        <f>'5% CO'!B25</f>
        <v>1</v>
      </c>
      <c r="C21" t="str">
        <f>'5% CO'!H25</f>
        <v>oxygenated</v>
      </c>
      <c r="D21" t="str">
        <f>'5% CO'!C25</f>
        <v>Metanolo</v>
      </c>
      <c r="E21">
        <f>+'10% CO'!G25</f>
        <v>0.93023540589214981</v>
      </c>
      <c r="F21" t="s">
        <v>121</v>
      </c>
      <c r="G21">
        <f>VLOOKUP(Tabella10[[#This Row],[Name]],'10% CO'!$C$8:$I$47,7,FALSE)</f>
        <v>18</v>
      </c>
      <c r="O21" t="s">
        <v>67</v>
      </c>
      <c r="P21" s="43">
        <v>1.3783850759797726E-3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0.63054996610516656</v>
      </c>
      <c r="X21">
        <f t="shared" si="0"/>
        <v>3.7832997966309994</v>
      </c>
      <c r="Y21">
        <f t="shared" si="1"/>
        <v>3.0852960552440156</v>
      </c>
      <c r="Z21">
        <f t="shared" si="2"/>
        <v>0.69800374138698362</v>
      </c>
      <c r="AA21">
        <f t="shared" si="3"/>
        <v>3.6520233477103335E-2</v>
      </c>
      <c r="AB21">
        <f t="shared" si="4"/>
        <v>5.6107690254003145E-3</v>
      </c>
      <c r="AH21" s="15">
        <v>14</v>
      </c>
      <c r="AI21" s="43">
        <v>1.5189839600211597</v>
      </c>
    </row>
    <row r="22" spans="2:35" x14ac:dyDescent="0.25">
      <c r="B22">
        <f>'5% CO'!B26</f>
        <v>4</v>
      </c>
      <c r="C22" t="str">
        <f>'5% CO'!H26</f>
        <v>Olefin</v>
      </c>
      <c r="D22" t="str">
        <f>'5% CO'!C26</f>
        <v>2-Metilpropene</v>
      </c>
      <c r="E22">
        <f>+'10% CO'!G26</f>
        <v>2.7294049315717401E-2</v>
      </c>
      <c r="F22" t="s">
        <v>121</v>
      </c>
      <c r="G22">
        <f>VLOOKUP(Tabella10[[#This Row],[Name]],'10% CO'!$C$8:$I$47,7,FALSE)</f>
        <v>19</v>
      </c>
      <c r="O22" t="s">
        <v>14</v>
      </c>
      <c r="P22" s="43">
        <v>0.85144978553306505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2.4894795862967249E-3</v>
      </c>
      <c r="X22">
        <f t="shared" si="0"/>
        <v>1.4936877517780349E-2</v>
      </c>
      <c r="Y22">
        <f t="shared" si="1"/>
        <v>1.2181083118051817E-2</v>
      </c>
      <c r="Z22">
        <f t="shared" si="2"/>
        <v>2.7557943997285326E-3</v>
      </c>
      <c r="AA22">
        <f t="shared" si="3"/>
        <v>1.4418583873633179E-4</v>
      </c>
      <c r="AB22">
        <f t="shared" si="4"/>
        <v>2.2151924039324127E-5</v>
      </c>
      <c r="AH22" s="15">
        <v>15</v>
      </c>
      <c r="AI22" s="43">
        <v>1.4364874038899547</v>
      </c>
    </row>
    <row r="23" spans="2:35" x14ac:dyDescent="0.25">
      <c r="B23">
        <f>'5% CO'!B27</f>
        <v>4</v>
      </c>
      <c r="C23" t="str">
        <f>'5% CO'!H27</f>
        <v>Olefin</v>
      </c>
      <c r="D23" t="str">
        <f>'5% CO'!C27</f>
        <v>*1-Butene</v>
      </c>
      <c r="E23">
        <f>+'10% CO'!G27</f>
        <v>2.0079882866377279</v>
      </c>
      <c r="F23" t="s">
        <v>121</v>
      </c>
      <c r="G23">
        <f>VLOOKUP(Tabella10[[#This Row],[Name]],'10% CO'!$C$8:$I$47,7,FALSE)</f>
        <v>20</v>
      </c>
      <c r="N23">
        <v>3</v>
      </c>
      <c r="O23" t="s">
        <v>20</v>
      </c>
      <c r="P23" s="43">
        <v>3.7200862991198229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3.0001340864358409E-2</v>
      </c>
      <c r="X23">
        <f t="shared" si="0"/>
        <v>0.18000804518615046</v>
      </c>
      <c r="Y23">
        <f t="shared" si="1"/>
        <v>0.14679727792642197</v>
      </c>
      <c r="Z23">
        <f t="shared" si="2"/>
        <v>3.3210767259728484E-2</v>
      </c>
      <c r="AA23">
        <f t="shared" si="3"/>
        <v>1.7376195890712186E-3</v>
      </c>
      <c r="AB23">
        <f t="shared" si="4"/>
        <v>2.6695837457890492E-4</v>
      </c>
      <c r="AH23" s="15">
        <v>16</v>
      </c>
      <c r="AI23" s="43">
        <v>1.3670921176094604</v>
      </c>
    </row>
    <row r="24" spans="2:35" x14ac:dyDescent="0.25">
      <c r="B24">
        <f>'5% CO'!B28</f>
        <v>4</v>
      </c>
      <c r="C24" t="str">
        <f>'5% CO'!H28</f>
        <v>paraffin</v>
      </c>
      <c r="D24" t="str">
        <f>'5% CO'!C28</f>
        <v>*N-Butano</v>
      </c>
      <c r="E24">
        <f>+'10% CO'!G28</f>
        <v>0.26740996050100824</v>
      </c>
      <c r="F24" t="s">
        <v>121</v>
      </c>
      <c r="G24">
        <f>VLOOKUP(Tabella10[[#This Row],[Name]],'10% CO'!$C$8:$I$47,7,FALSE)</f>
        <v>21</v>
      </c>
      <c r="O24" t="s">
        <v>14</v>
      </c>
      <c r="P24" s="43">
        <v>0.39016143535167697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1.5354985472503201E-5</v>
      </c>
      <c r="X24">
        <f t="shared" si="0"/>
        <v>1.0748489830752241E-4</v>
      </c>
      <c r="Y24">
        <f t="shared" si="1"/>
        <v>8.7654362744874379E-5</v>
      </c>
      <c r="Z24">
        <f t="shared" si="2"/>
        <v>1.9830535562648034E-5</v>
      </c>
      <c r="AA24">
        <f t="shared" si="3"/>
        <v>1.0375528751247638E-6</v>
      </c>
      <c r="AB24">
        <f t="shared" si="4"/>
        <v>1.5940395171939096E-7</v>
      </c>
      <c r="AH24" s="15">
        <v>17</v>
      </c>
      <c r="AI24" s="43">
        <v>1.1664801918613865</v>
      </c>
    </row>
    <row r="25" spans="2:35" x14ac:dyDescent="0.25">
      <c r="B25">
        <f>'5% CO'!B29</f>
        <v>4</v>
      </c>
      <c r="C25" t="str">
        <f>'5% CO'!H29</f>
        <v>Olefin</v>
      </c>
      <c r="D25" t="str">
        <f>'5% CO'!C29</f>
        <v>2-Butene</v>
      </c>
      <c r="E25">
        <f>+'10% CO'!G29</f>
        <v>3.5992252413664078E-2</v>
      </c>
      <c r="F25" t="s">
        <v>121</v>
      </c>
      <c r="G25">
        <f>VLOOKUP(Tabella10[[#This Row],[Name]],'10% CO'!$C$8:$I$47,7,FALSE)</f>
        <v>22</v>
      </c>
      <c r="N25">
        <v>4</v>
      </c>
      <c r="O25" t="s">
        <v>28</v>
      </c>
      <c r="P25" s="43">
        <v>7.6987156206226228E-3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0.25517737575835953</v>
      </c>
      <c r="X25">
        <f t="shared" si="0"/>
        <v>1.7862416303085167</v>
      </c>
      <c r="Y25">
        <f t="shared" si="1"/>
        <v>1.456687165159654</v>
      </c>
      <c r="Z25">
        <f t="shared" si="2"/>
        <v>0.32955446514886266</v>
      </c>
      <c r="AA25">
        <f t="shared" si="3"/>
        <v>1.7242609597970294E-2</v>
      </c>
      <c r="AB25">
        <f t="shared" si="4"/>
        <v>2.6490602780515227E-3</v>
      </c>
      <c r="AH25" s="15">
        <v>18</v>
      </c>
      <c r="AI25" s="43">
        <v>1.0721729698562672</v>
      </c>
    </row>
    <row r="26" spans="2:35" x14ac:dyDescent="0.25">
      <c r="B26">
        <f>'5% CO'!B30</f>
        <v>5</v>
      </c>
      <c r="C26" t="str">
        <f>'5% CO'!H30</f>
        <v>Olefin</v>
      </c>
      <c r="D26" t="str">
        <f>'5% CO'!C30</f>
        <v>3-Metilbut-1-ene</v>
      </c>
      <c r="E26">
        <f>+'10% CO'!G30</f>
        <v>1.7945319805876735E-2</v>
      </c>
      <c r="F26" t="s">
        <v>121</v>
      </c>
      <c r="G26">
        <f>VLOOKUP(Tabella10[[#This Row],[Name]],'10% CO'!$C$8:$I$47,7,FALSE)</f>
        <v>23</v>
      </c>
      <c r="O26" t="s">
        <v>20</v>
      </c>
      <c r="P26" s="43">
        <v>2.2092539944376051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0.18837447528941123</v>
      </c>
      <c r="X26">
        <f t="shared" si="0"/>
        <v>1.3186213270258786</v>
      </c>
      <c r="Y26">
        <f t="shared" si="1"/>
        <v>1.0753409450280407</v>
      </c>
      <c r="Z26">
        <f t="shared" si="2"/>
        <v>0.24328038199783805</v>
      </c>
      <c r="AA26">
        <f t="shared" si="3"/>
        <v>1.2728665799563599E-2</v>
      </c>
      <c r="AB26">
        <f t="shared" si="4"/>
        <v>1.9555626293473625E-3</v>
      </c>
      <c r="AH26" s="15">
        <v>19</v>
      </c>
      <c r="AI26" s="43">
        <v>0.5111075447701916</v>
      </c>
    </row>
    <row r="27" spans="2:35" x14ac:dyDescent="0.25">
      <c r="B27">
        <f>'5% CO'!B31</f>
        <v>5</v>
      </c>
      <c r="C27" t="str">
        <f>'5% CO'!H31</f>
        <v>iso-paraffin</v>
      </c>
      <c r="D27" t="str">
        <f>'5% CO'!C31</f>
        <v>2-Metilbutano</v>
      </c>
      <c r="E27">
        <f>+'10% CO'!G31</f>
        <v>6.5627972849214941E-2</v>
      </c>
      <c r="F27" t="s">
        <v>121</v>
      </c>
      <c r="G27">
        <f>VLOOKUP(Tabella10[[#This Row],[Name]],'10% CO'!$C$8:$I$47,7,FALSE)</f>
        <v>24</v>
      </c>
      <c r="O27" t="s">
        <v>14</v>
      </c>
      <c r="P27" s="43">
        <v>0.28059486675993228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6.65624604386087E-3</v>
      </c>
      <c r="X27">
        <f t="shared" si="0"/>
        <v>4.6593722307026089E-2</v>
      </c>
      <c r="Y27">
        <f t="shared" si="1"/>
        <v>3.7997366151372898E-2</v>
      </c>
      <c r="Z27">
        <f t="shared" si="2"/>
        <v>8.5963561556531946E-3</v>
      </c>
      <c r="AA27">
        <f t="shared" si="3"/>
        <v>4.4976970070814508E-4</v>
      </c>
      <c r="AB27">
        <f t="shared" si="4"/>
        <v>6.910015805016673E-5</v>
      </c>
      <c r="AH27" s="15">
        <v>20</v>
      </c>
      <c r="AI27" s="43">
        <v>0.42272052574978258</v>
      </c>
    </row>
    <row r="28" spans="2:35" x14ac:dyDescent="0.25">
      <c r="B28">
        <f>'5% CO'!B32</f>
        <v>5</v>
      </c>
      <c r="C28" t="str">
        <f>'5% CO'!H32</f>
        <v>Olefin</v>
      </c>
      <c r="D28" t="str">
        <f>'5% CO'!C32</f>
        <v>2-Metilbut-1-ene</v>
      </c>
      <c r="E28">
        <f>+'10% CO'!G32</f>
        <v>0.14721053970045297</v>
      </c>
      <c r="F28" t="s">
        <v>121</v>
      </c>
      <c r="G28">
        <f>VLOOKUP(Tabella10[[#This Row],[Name]],'10% CO'!$C$8:$I$47,7,FALSE)</f>
        <v>25</v>
      </c>
      <c r="N28">
        <v>5</v>
      </c>
      <c r="O28" t="s">
        <v>28</v>
      </c>
      <c r="P28" s="43">
        <v>8.784346630743034E-2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2.709176159787411E-2</v>
      </c>
      <c r="X28">
        <f t="shared" si="0"/>
        <v>0.18964233118511878</v>
      </c>
      <c r="Y28">
        <f t="shared" si="1"/>
        <v>0.15465407653756538</v>
      </c>
      <c r="Z28">
        <f t="shared" si="2"/>
        <v>3.4988254647553389E-2</v>
      </c>
      <c r="AA28">
        <f t="shared" si="3"/>
        <v>1.8306194550561524E-3</v>
      </c>
      <c r="AB28">
        <f t="shared" si="4"/>
        <v>2.8124636558426899E-4</v>
      </c>
      <c r="AH28" s="15">
        <v>21</v>
      </c>
      <c r="AI28" s="43">
        <v>0.4035059563975199</v>
      </c>
    </row>
    <row r="29" spans="2:35" x14ac:dyDescent="0.25">
      <c r="B29">
        <f>'5% CO'!B33</f>
        <v>5</v>
      </c>
      <c r="C29" t="str">
        <f>'5% CO'!H33</f>
        <v>Olefin</v>
      </c>
      <c r="D29" t="str">
        <f>'5% CO'!C33</f>
        <v>*1-Pentene</v>
      </c>
      <c r="E29">
        <f>+'10% CO'!G33</f>
        <v>0.98314259057901432</v>
      </c>
      <c r="F29" t="s">
        <v>121</v>
      </c>
      <c r="G29">
        <f>VLOOKUP(Tabella10[[#This Row],[Name]],'10% CO'!$C$8:$I$47,7,FALSE)</f>
        <v>26</v>
      </c>
      <c r="O29" t="s">
        <v>38</v>
      </c>
      <c r="P29" s="43">
        <v>9.2919825558525244E-3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2.5054457568124567E-2</v>
      </c>
      <c r="X29">
        <f t="shared" si="0"/>
        <v>0.20043566054499654</v>
      </c>
      <c r="Y29">
        <f t="shared" si="1"/>
        <v>0.16345607962667671</v>
      </c>
      <c r="Z29">
        <f t="shared" si="2"/>
        <v>3.6979580918319828E-2</v>
      </c>
      <c r="AA29">
        <f t="shared" si="3"/>
        <v>1.9348075790237588E-3</v>
      </c>
      <c r="AB29">
        <f t="shared" si="4"/>
        <v>2.9725325938297694E-4</v>
      </c>
      <c r="AH29" s="15">
        <v>22</v>
      </c>
      <c r="AI29" s="43">
        <v>0.38044847317480435</v>
      </c>
    </row>
    <row r="30" spans="2:35" x14ac:dyDescent="0.25">
      <c r="B30">
        <f>'5% CO'!B34</f>
        <v>5</v>
      </c>
      <c r="C30" t="str">
        <f>'5% CO'!H34</f>
        <v>Olefin</v>
      </c>
      <c r="D30" t="str">
        <f>'5% CO'!C34</f>
        <v>2-Pentene</v>
      </c>
      <c r="E30">
        <f>+'10% CO'!G34</f>
        <v>1.5278814627944184E-2</v>
      </c>
      <c r="F30" t="s">
        <v>121</v>
      </c>
      <c r="G30">
        <f>VLOOKUP(Tabella10[[#This Row],[Name]],'10% CO'!$C$8:$I$47,7,FALSE)</f>
        <v>27</v>
      </c>
      <c r="O30" t="s">
        <v>20</v>
      </c>
      <c r="P30" s="43">
        <v>1.4620285249164713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0.10631633758228454</v>
      </c>
      <c r="X30">
        <f t="shared" si="0"/>
        <v>0.8505307006582763</v>
      </c>
      <c r="Y30">
        <f t="shared" si="1"/>
        <v>0.69361117454706733</v>
      </c>
      <c r="Z30">
        <f t="shared" si="2"/>
        <v>0.15691952611120891</v>
      </c>
      <c r="AA30">
        <f t="shared" si="3"/>
        <v>8.2101819673779611E-3</v>
      </c>
      <c r="AB30">
        <f t="shared" si="4"/>
        <v>1.2613674746725151E-3</v>
      </c>
      <c r="AH30" s="15">
        <v>23</v>
      </c>
      <c r="AI30" s="43">
        <v>0.35354807608163646</v>
      </c>
    </row>
    <row r="31" spans="2:35" x14ac:dyDescent="0.25">
      <c r="B31">
        <f>'5% CO'!B35</f>
        <v>5</v>
      </c>
      <c r="C31" t="str">
        <f>'5% CO'!H35</f>
        <v>paraffin</v>
      </c>
      <c r="D31" t="str">
        <f>'5% CO'!C35</f>
        <v>*Pentano</v>
      </c>
      <c r="E31">
        <f>+'10% CO'!G35</f>
        <v>0</v>
      </c>
      <c r="F31" t="s">
        <v>121</v>
      </c>
      <c r="G31">
        <f>VLOOKUP(Tabella10[[#This Row],[Name]],'10% CO'!$C$8:$I$47,7,FALSE)</f>
        <v>28</v>
      </c>
      <c r="O31" t="s">
        <v>14</v>
      </c>
      <c r="P31" s="43">
        <v>2.625778593646471E-2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0.29186969854691103</v>
      </c>
      <c r="X31">
        <f t="shared" si="0"/>
        <v>2.3349575883752882</v>
      </c>
      <c r="Y31">
        <f t="shared" si="1"/>
        <v>1.9041672148190576</v>
      </c>
      <c r="Z31">
        <f t="shared" si="2"/>
        <v>0.43079037355623062</v>
      </c>
      <c r="AA31">
        <f t="shared" si="3"/>
        <v>2.2539370620994623E-2</v>
      </c>
      <c r="AB31">
        <f t="shared" si="4"/>
        <v>3.4628256857005481E-3</v>
      </c>
      <c r="AH31" s="15">
        <v>24</v>
      </c>
      <c r="AI31" s="43">
        <v>0.34586224834073137</v>
      </c>
    </row>
    <row r="32" spans="2:35" x14ac:dyDescent="0.25">
      <c r="B32">
        <f>'5% CO'!B36</f>
        <v>6</v>
      </c>
      <c r="C32" t="str">
        <f>'5% CO'!H36</f>
        <v>Olefin</v>
      </c>
      <c r="D32" t="str">
        <f>'5% CO'!C36</f>
        <v>2-Metilbut-2-ene</v>
      </c>
      <c r="E32">
        <f>+'10% CO'!G36</f>
        <v>1.0687713660490971E-3</v>
      </c>
      <c r="F32" t="s">
        <v>121</v>
      </c>
      <c r="G32">
        <f>VLOOKUP(Tabella10[[#This Row],[Name]],'10% CO'!$C$8:$I$47,7,FALSE)</f>
        <v>29</v>
      </c>
      <c r="N32">
        <v>6</v>
      </c>
      <c r="O32" t="s">
        <v>36</v>
      </c>
      <c r="P32" s="43">
        <v>2.4894795862967249E-3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4.7723323669308218E-2</v>
      </c>
      <c r="X32">
        <f t="shared" si="0"/>
        <v>0.38178658935446574</v>
      </c>
      <c r="Y32">
        <f t="shared" si="1"/>
        <v>0.31134848449740443</v>
      </c>
      <c r="Z32">
        <f t="shared" si="2"/>
        <v>7.0438104857061298E-2</v>
      </c>
      <c r="AA32">
        <f t="shared" si="3"/>
        <v>3.6853900381006405E-3</v>
      </c>
      <c r="AB32">
        <f t="shared" si="4"/>
        <v>5.6620317844512471E-4</v>
      </c>
      <c r="AH32" s="15">
        <v>25</v>
      </c>
      <c r="AI32" s="43">
        <v>0.31223675197427125</v>
      </c>
    </row>
    <row r="33" spans="1:35" x14ac:dyDescent="0.25">
      <c r="B33">
        <f>'5% CO'!B37</f>
        <v>6</v>
      </c>
      <c r="C33" t="str">
        <f>'5% CO'!H37</f>
        <v>iso-paraffin</v>
      </c>
      <c r="D33" t="str">
        <f>'5% CO'!C37</f>
        <v>2,2-Dimetilbutano</v>
      </c>
      <c r="E33">
        <f>+'10% CO'!G37</f>
        <v>4.5584925831352485E-2</v>
      </c>
      <c r="F33" t="s">
        <v>121</v>
      </c>
      <c r="G33">
        <f>VLOOKUP(Tabella10[[#This Row],[Name]],'10% CO'!$C$8:$I$47,7,FALSE)</f>
        <v>30</v>
      </c>
      <c r="O33" t="s">
        <v>28</v>
      </c>
      <c r="P33" s="43">
        <v>0.34416377186333308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9.0382566172806406E-2</v>
      </c>
      <c r="X33">
        <f t="shared" si="0"/>
        <v>0.72306052938245124</v>
      </c>
      <c r="Y33">
        <f t="shared" si="1"/>
        <v>0.58965874208353442</v>
      </c>
      <c r="Z33">
        <f t="shared" si="2"/>
        <v>0.13340178729891686</v>
      </c>
      <c r="AA33">
        <f t="shared" si="3"/>
        <v>6.9797110381365256E-3</v>
      </c>
      <c r="AB33">
        <f t="shared" si="4"/>
        <v>1.0723246477483159E-3</v>
      </c>
      <c r="AH33" s="15">
        <v>26</v>
      </c>
      <c r="AI33" s="43">
        <v>0.27476834173735881</v>
      </c>
    </row>
    <row r="34" spans="1:35" x14ac:dyDescent="0.25">
      <c r="B34">
        <f>'5% CO'!B38</f>
        <v>6</v>
      </c>
      <c r="C34" t="str">
        <f>'5% CO'!H38</f>
        <v>Olefin</v>
      </c>
      <c r="D34" t="str">
        <f>'5% CO'!C38</f>
        <v>3-Metilpent-1-ene</v>
      </c>
      <c r="E34">
        <f>+'10% CO'!G38</f>
        <v>9.4779324762036765E-2</v>
      </c>
      <c r="F34" t="s">
        <v>121</v>
      </c>
      <c r="G34">
        <f>VLOOKUP(Tabella10[[#This Row],[Name]],'10% CO'!$C$8:$I$47,7,FALSE)</f>
        <v>31</v>
      </c>
      <c r="O34" t="s">
        <v>38</v>
      </c>
      <c r="P34" s="43">
        <v>3.0001340864358409E-2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5.2091431438708945E-2</v>
      </c>
      <c r="X34">
        <f t="shared" si="0"/>
        <v>0.46882288294838048</v>
      </c>
      <c r="Y34">
        <f t="shared" si="1"/>
        <v>0.38232692863960316</v>
      </c>
      <c r="Z34">
        <f t="shared" si="2"/>
        <v>8.6495954308777323E-2</v>
      </c>
      <c r="AA34">
        <f t="shared" si="3"/>
        <v>4.5255523128064374E-3</v>
      </c>
      <c r="AB34">
        <f t="shared" si="4"/>
        <v>6.9528111739599729E-4</v>
      </c>
      <c r="AH34" s="15">
        <v>27</v>
      </c>
      <c r="AI34" s="43">
        <v>0.23345701762999363</v>
      </c>
    </row>
    <row r="35" spans="1:35" x14ac:dyDescent="0.25">
      <c r="B35">
        <f>'5% CO'!B39</f>
        <v>6</v>
      </c>
      <c r="C35" t="str">
        <f>'5% CO'!H39</f>
        <v>Olefin</v>
      </c>
      <c r="D35" t="str">
        <f>'5% CO'!C39</f>
        <v>4-Metilpent-2-ene</v>
      </c>
      <c r="E35">
        <f>+'10% CO'!G39</f>
        <v>0.37655864831263619</v>
      </c>
      <c r="F35" t="s">
        <v>121</v>
      </c>
      <c r="G35">
        <f>VLOOKUP(Tabella10[[#This Row],[Name]],'10% CO'!$C$8:$I$47,7,FALSE)</f>
        <v>32</v>
      </c>
      <c r="O35" t="s">
        <v>20</v>
      </c>
      <c r="P35" s="43">
        <v>0.63054996610516656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0.27953121534732772</v>
      </c>
      <c r="X35">
        <f t="shared" si="0"/>
        <v>2.5157809381259497</v>
      </c>
      <c r="Y35">
        <f t="shared" si="1"/>
        <v>2.0516293768656721</v>
      </c>
      <c r="Z35">
        <f t="shared" si="2"/>
        <v>0.46415156126027746</v>
      </c>
      <c r="AA35">
        <f t="shared" si="3"/>
        <v>2.428486035376352E-2</v>
      </c>
      <c r="AB35">
        <f t="shared" si="4"/>
        <v>3.7309931861332648E-3</v>
      </c>
      <c r="AH35" s="15" t="s">
        <v>211</v>
      </c>
      <c r="AI35" s="43">
        <v>92.711944093027086</v>
      </c>
    </row>
    <row r="36" spans="1:35" x14ac:dyDescent="0.25">
      <c r="B36">
        <f>'5% CO'!B40</f>
        <v>6</v>
      </c>
      <c r="C36" t="str">
        <f>'5% CO'!H40</f>
        <v>Olefin</v>
      </c>
      <c r="D36" t="str">
        <f>'5% CO'!C40</f>
        <v>1-Esene</v>
      </c>
      <c r="E36">
        <f>+'10% CO'!G40</f>
        <v>3.3946382002541582E-2</v>
      </c>
      <c r="F36" t="s">
        <v>121</v>
      </c>
      <c r="G36">
        <f>VLOOKUP(Tabella10[[#This Row],[Name]],'10% CO'!$C$8:$I$47,7,FALSE)</f>
        <v>33</v>
      </c>
      <c r="O36" t="s">
        <v>14</v>
      </c>
      <c r="P36" s="43">
        <v>4.9116407679064139E-3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5.1513556339444988E-2</v>
      </c>
      <c r="X36">
        <f t="shared" si="0"/>
        <v>0.46362200705500489</v>
      </c>
      <c r="Y36">
        <f t="shared" si="1"/>
        <v>0.37808559363043087</v>
      </c>
      <c r="Z36">
        <f t="shared" si="2"/>
        <v>8.5536413424574007E-2</v>
      </c>
      <c r="AA36">
        <f t="shared" si="3"/>
        <v>4.4753482020773189E-3</v>
      </c>
      <c r="AB36">
        <f t="shared" si="4"/>
        <v>6.8756803227557192E-4</v>
      </c>
    </row>
    <row r="37" spans="1:35" x14ac:dyDescent="0.25">
      <c r="B37">
        <f>'5% CO'!B41</f>
        <v>6</v>
      </c>
      <c r="C37" t="str">
        <f>'5% CO'!H41</f>
        <v>paraffin</v>
      </c>
      <c r="D37" t="str">
        <f>'5% CO'!C41</f>
        <v>Esano</v>
      </c>
      <c r="E37">
        <f>+'10% CO'!G41</f>
        <v>1.519724831577126E-3</v>
      </c>
      <c r="F37" t="s">
        <v>121</v>
      </c>
      <c r="G37">
        <f>VLOOKUP(Tabella10[[#This Row],[Name]],'10% CO'!$C$8:$I$47,7,FALSE)</f>
        <v>34</v>
      </c>
      <c r="N37">
        <v>7</v>
      </c>
      <c r="O37" t="s">
        <v>36</v>
      </c>
      <c r="P37" s="43">
        <v>6.65624604386087E-3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2.9039779374151295E-2</v>
      </c>
      <c r="X37">
        <f t="shared" si="0"/>
        <v>0.26135801436736167</v>
      </c>
      <c r="Y37">
        <f t="shared" si="1"/>
        <v>0.21313850185811167</v>
      </c>
      <c r="Z37">
        <f t="shared" si="2"/>
        <v>4.8219512509250002E-2</v>
      </c>
      <c r="AA37">
        <f t="shared" si="3"/>
        <v>2.5228917132889654E-3</v>
      </c>
      <c r="AB37">
        <f t="shared" si="4"/>
        <v>3.8760329087807394E-4</v>
      </c>
    </row>
    <row r="38" spans="1:35" x14ac:dyDescent="0.25">
      <c r="B38">
        <f>'5% CO'!B42</f>
        <v>6</v>
      </c>
      <c r="C38" t="str">
        <f>'5% CO'!H42</f>
        <v>Olefin</v>
      </c>
      <c r="D38" t="str">
        <f>'5% CO'!C42</f>
        <v>2,3-Dimetilbut-2-ene</v>
      </c>
      <c r="E38">
        <f>+'10% CO'!G42</f>
        <v>3.086769638050033E-3</v>
      </c>
      <c r="F38" t="s">
        <v>121</v>
      </c>
      <c r="G38">
        <f>VLOOKUP(Tabella10[[#This Row],[Name]],'10% CO'!$C$8:$I$47,7,FALSE)</f>
        <v>35</v>
      </c>
      <c r="O38" t="s">
        <v>28</v>
      </c>
      <c r="P38" s="43">
        <v>0.25517737575835953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7.2879304054369987E-2</v>
      </c>
      <c r="X38">
        <f t="shared" ref="X38:X69" si="5">+W38*S38</f>
        <v>0.65591373648932993</v>
      </c>
      <c r="Y38">
        <f t="shared" ref="Y38:Y69" si="6">X38*$Y$4</f>
        <v>0.53490026499432364</v>
      </c>
      <c r="Z38">
        <f t="shared" ref="Z38:Z73" si="7">+X38*$Z$4</f>
        <v>0.12101347149500626</v>
      </c>
      <c r="AA38">
        <f t="shared" ref="AA38:AA73" si="8">+Y38/$AA$3</f>
        <v>6.3315423268228786E-3</v>
      </c>
      <c r="AB38">
        <f t="shared" ref="AB38:AB73" si="9">+Z38/$AB$3</f>
        <v>9.7274355030127155E-4</v>
      </c>
    </row>
    <row r="39" spans="1:35" x14ac:dyDescent="0.25">
      <c r="B39">
        <f>'5% CO'!B43</f>
        <v>7</v>
      </c>
      <c r="C39" t="str">
        <f>'5% CO'!H43</f>
        <v>iso-paraffin</v>
      </c>
      <c r="D39" t="str">
        <f>'5% CO'!C43</f>
        <v>2,2-Dimetilpentano</v>
      </c>
      <c r="E39">
        <f>+'10% CO'!G43</f>
        <v>5.5340367193050153E-4</v>
      </c>
      <c r="F39" t="s">
        <v>121</v>
      </c>
      <c r="G39">
        <f>VLOOKUP(Tabella10[[#This Row],[Name]],'10% CO'!$C$8:$I$47,7,FALSE)</f>
        <v>36</v>
      </c>
      <c r="O39" t="s">
        <v>38</v>
      </c>
      <c r="P39" s="43">
        <v>2.709176159787411E-2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7.7932189982597905E-2</v>
      </c>
      <c r="X39">
        <f t="shared" si="5"/>
        <v>0.77932189982597899</v>
      </c>
      <c r="Y39">
        <f t="shared" si="6"/>
        <v>0.63554011380210995</v>
      </c>
      <c r="Z39">
        <f t="shared" si="7"/>
        <v>0.14378178602386898</v>
      </c>
      <c r="AA39">
        <f t="shared" si="8"/>
        <v>7.5228026499007073E-3</v>
      </c>
      <c r="AB39">
        <f t="shared" si="9"/>
        <v>1.1557622740480398E-3</v>
      </c>
    </row>
    <row r="40" spans="1:35" x14ac:dyDescent="0.25">
      <c r="B40">
        <f>'5% CO'!B44</f>
        <v>7</v>
      </c>
      <c r="C40" t="str">
        <f>'5% CO'!H44</f>
        <v>Olefin</v>
      </c>
      <c r="D40" t="str">
        <f>'5% CO'!C44</f>
        <v>2-Metiles-1-ene</v>
      </c>
      <c r="E40">
        <f>+'10% CO'!G44</f>
        <v>5.0169138078610903E-5</v>
      </c>
      <c r="F40" t="s">
        <v>121</v>
      </c>
      <c r="G40">
        <f>VLOOKUP(Tabella10[[#This Row],[Name]],'10% CO'!$C$8:$I$47,7,FALSE)</f>
        <v>37</v>
      </c>
      <c r="O40" t="s">
        <v>20</v>
      </c>
      <c r="P40" s="43">
        <v>0.18837447528941123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9.5023435808945997E-2</v>
      </c>
      <c r="X40">
        <f t="shared" si="5"/>
        <v>0.95023435808946</v>
      </c>
      <c r="Y40">
        <f t="shared" si="6"/>
        <v>0.77491990436006319</v>
      </c>
      <c r="Z40">
        <f t="shared" si="7"/>
        <v>0.17531445372939686</v>
      </c>
      <c r="AA40">
        <f t="shared" si="8"/>
        <v>9.1726224409429749E-3</v>
      </c>
      <c r="AB40">
        <f t="shared" si="9"/>
        <v>1.4092315676350036E-3</v>
      </c>
    </row>
    <row r="41" spans="1:35" x14ac:dyDescent="0.25">
      <c r="B41">
        <f>'5% CO'!B45</f>
        <v>7</v>
      </c>
      <c r="C41" t="str">
        <f>'5% CO'!H45</f>
        <v>Olefin</v>
      </c>
      <c r="D41" t="str">
        <f>'5% CO'!C45</f>
        <v>1-eptene</v>
      </c>
      <c r="E41">
        <f>+'10% CO'!G45</f>
        <v>5.3147826216079475E-4</v>
      </c>
      <c r="F41" t="s">
        <v>121</v>
      </c>
      <c r="G41">
        <f>VLOOKUP(Tabella10[[#This Row],[Name]],'10% CO'!$C$8:$I$47,7,FALSE)</f>
        <v>38</v>
      </c>
      <c r="O41" t="s">
        <v>14</v>
      </c>
      <c r="P41" s="43">
        <v>1.5354985472503201E-5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0.10367126552184425</v>
      </c>
      <c r="X41">
        <f t="shared" si="5"/>
        <v>1.0367126552184425</v>
      </c>
      <c r="Y41">
        <f t="shared" si="6"/>
        <v>0.84544330016228397</v>
      </c>
      <c r="Z41">
        <f t="shared" si="7"/>
        <v>0.1912693550561585</v>
      </c>
      <c r="AA41">
        <f t="shared" si="8"/>
        <v>1.0007398369793528E-2</v>
      </c>
      <c r="AB41">
        <f t="shared" si="9"/>
        <v>1.5374819778543405E-3</v>
      </c>
    </row>
    <row r="42" spans="1:35" x14ac:dyDescent="0.25">
      <c r="B42">
        <f>'5% CO'!B46</f>
        <v>7</v>
      </c>
      <c r="C42" t="str">
        <f>'5% CO'!H46</f>
        <v>paraffin</v>
      </c>
      <c r="D42" t="str">
        <f>'5% CO'!C46</f>
        <v>Eptano</v>
      </c>
      <c r="E42">
        <f>+'10% CO'!G46</f>
        <v>1.5354985472503201E-5</v>
      </c>
      <c r="F42" t="s">
        <v>121</v>
      </c>
      <c r="G42">
        <f>VLOOKUP(Tabella10[[#This Row],[Name]],'10% CO'!$C$8:$I$47,7,FALSE)</f>
        <v>39</v>
      </c>
      <c r="N42">
        <v>8</v>
      </c>
      <c r="O42" t="s">
        <v>36</v>
      </c>
      <c r="P42" s="43">
        <v>9.0382566172806406E-2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6.0313866677003905E-2</v>
      </c>
      <c r="X42">
        <f t="shared" si="5"/>
        <v>0.60313866677003902</v>
      </c>
      <c r="Y42">
        <f t="shared" si="6"/>
        <v>0.49186198540433396</v>
      </c>
      <c r="Z42">
        <f t="shared" si="7"/>
        <v>0.11127668136570505</v>
      </c>
      <c r="AA42">
        <f t="shared" si="8"/>
        <v>5.8221040133074635E-3</v>
      </c>
      <c r="AB42">
        <f t="shared" si="9"/>
        <v>8.9447623277120894E-4</v>
      </c>
    </row>
    <row r="43" spans="1:35" x14ac:dyDescent="0.25">
      <c r="B43">
        <f>'5% CO'!B47</f>
        <v>7</v>
      </c>
      <c r="C43" t="str">
        <f>'5% CO'!H47</f>
        <v>Olefin</v>
      </c>
      <c r="D43" t="str">
        <f>'5% CO'!C47</f>
        <v>2-Eptene</v>
      </c>
      <c r="E43">
        <f>+'10% CO'!G47</f>
        <v>1.0071992072931525E-2</v>
      </c>
      <c r="F43" t="s">
        <v>121</v>
      </c>
      <c r="G43">
        <f>VLOOKUP(Tabella10[[#This Row],[Name]],'10% CO'!$C$8:$I$47,7,FALSE)</f>
        <v>40</v>
      </c>
      <c r="O43" t="s">
        <v>28</v>
      </c>
      <c r="P43" s="43">
        <v>0.10631633758228454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7.3831740830595113E-2</v>
      </c>
      <c r="X43">
        <f t="shared" si="5"/>
        <v>0.73831740830595116</v>
      </c>
      <c r="Y43">
        <f t="shared" si="6"/>
        <v>0.60210078762270292</v>
      </c>
      <c r="Z43">
        <f t="shared" si="7"/>
        <v>0.13621662068324827</v>
      </c>
      <c r="AA43">
        <f t="shared" si="8"/>
        <v>7.126985853871266E-3</v>
      </c>
      <c r="AB43">
        <f t="shared" si="9"/>
        <v>1.0949511453270924E-3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+'10% CO'!Z2</f>
        <v>2.1944762553205637E-2</v>
      </c>
      <c r="F44" t="s">
        <v>243</v>
      </c>
      <c r="G44">
        <f>VLOOKUP(Tabella10[[#This Row],[Name]],Tabella278[],5,FALSE)</f>
        <v>1</v>
      </c>
      <c r="O44" t="s">
        <v>38</v>
      </c>
      <c r="P44" s="43">
        <v>4.7723323669308218E-2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8.9984230827715853E-2</v>
      </c>
      <c r="X44">
        <f t="shared" si="5"/>
        <v>0.98982653910487439</v>
      </c>
      <c r="Y44">
        <f t="shared" si="6"/>
        <v>0.80720748569690093</v>
      </c>
      <c r="Z44">
        <f t="shared" si="7"/>
        <v>0.18261905340797352</v>
      </c>
      <c r="AA44">
        <f t="shared" si="8"/>
        <v>9.5548061885376671E-3</v>
      </c>
      <c r="AB44">
        <f t="shared" si="9"/>
        <v>1.4679481893225437E-3</v>
      </c>
    </row>
    <row r="45" spans="1:35" x14ac:dyDescent="0.25">
      <c r="B45">
        <f>+'5% CO'!T3</f>
        <v>4</v>
      </c>
      <c r="C45" t="str">
        <f>+'5% CO'!U3</f>
        <v>Olefin</v>
      </c>
      <c r="D45" t="str">
        <f>+'5% CO'!R3</f>
        <v>Butene-1</v>
      </c>
      <c r="E45">
        <f>+'10% CO'!Z3</f>
        <v>0.137979406070496</v>
      </c>
      <c r="F45" t="s">
        <v>243</v>
      </c>
      <c r="G45">
        <f>VLOOKUP(Tabella10[[#This Row],[Name]],Tabella278[],5,FALSE)</f>
        <v>2</v>
      </c>
      <c r="O45" t="s">
        <v>20</v>
      </c>
      <c r="P45" s="43">
        <v>0.29186969854691103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9.8430910992689663E-2</v>
      </c>
      <c r="X45">
        <f t="shared" si="5"/>
        <v>1.0827400209195863</v>
      </c>
      <c r="Y45">
        <f t="shared" si="6"/>
        <v>0.88297880024543096</v>
      </c>
      <c r="Z45">
        <f t="shared" si="7"/>
        <v>0.19976122067415536</v>
      </c>
      <c r="AA45">
        <f t="shared" si="8"/>
        <v>1.0451701024116257E-2</v>
      </c>
      <c r="AB45">
        <f t="shared" si="9"/>
        <v>1.6057422087846832E-3</v>
      </c>
    </row>
    <row r="46" spans="1:35" x14ac:dyDescent="0.25">
      <c r="B46">
        <f>+'5% CO'!T4</f>
        <v>4</v>
      </c>
      <c r="C46" t="str">
        <f>+'5% CO'!U4</f>
        <v>paraffin</v>
      </c>
      <c r="D46" t="str">
        <f>+'5% CO'!R4</f>
        <v>n-Butane</v>
      </c>
      <c r="E46">
        <f>+'10% CO'!Z4</f>
        <v>1.3184906258924033E-2</v>
      </c>
      <c r="F46" t="s">
        <v>243</v>
      </c>
      <c r="G46">
        <f>VLOOKUP(Tabella10[[#This Row],[Name]],Tabella278[],5,FALSE)</f>
        <v>3</v>
      </c>
      <c r="O46" t="s">
        <v>14</v>
      </c>
      <c r="P46" s="43">
        <v>2.5054457568124567E-2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3.945513959332022E-2</v>
      </c>
      <c r="X46">
        <f t="shared" si="5"/>
        <v>0.43400653552652241</v>
      </c>
      <c r="Y46">
        <f t="shared" si="6"/>
        <v>0.35393405862324351</v>
      </c>
      <c r="Z46">
        <f t="shared" si="7"/>
        <v>8.00724769032789E-2</v>
      </c>
      <c r="AA46">
        <f t="shared" si="8"/>
        <v>4.1894697380661372E-3</v>
      </c>
      <c r="AB46">
        <f t="shared" si="9"/>
        <v>6.4364722788343685E-4</v>
      </c>
    </row>
    <row r="47" spans="1:35" x14ac:dyDescent="0.25">
      <c r="B47">
        <f>+'5% CO'!T5</f>
        <v>4</v>
      </c>
      <c r="C47" t="str">
        <f>+'5% CO'!U5</f>
        <v>iso-paraffin</v>
      </c>
      <c r="D47" t="str">
        <f>+'5% CO'!R5</f>
        <v>i-Butane</v>
      </c>
      <c r="E47">
        <f>+'10% CO'!Z5</f>
        <v>7.6987156206226228E-3</v>
      </c>
      <c r="F47" t="s">
        <v>243</v>
      </c>
      <c r="G47">
        <f>VLOOKUP(Tabella10[[#This Row],[Name]],Tabella278[],5,FALSE)</f>
        <v>4</v>
      </c>
      <c r="N47">
        <v>9</v>
      </c>
      <c r="O47" t="s">
        <v>36</v>
      </c>
      <c r="P47" s="43">
        <v>7.2879304054369987E-2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6.3372814718666015E-2</v>
      </c>
      <c r="X47">
        <f t="shared" si="5"/>
        <v>0.69710096190532611</v>
      </c>
      <c r="Y47">
        <f t="shared" si="6"/>
        <v>0.56848861139382878</v>
      </c>
      <c r="Z47">
        <f t="shared" si="7"/>
        <v>0.12861235051149736</v>
      </c>
      <c r="AA47">
        <f t="shared" si="8"/>
        <v>6.7291230551082019E-3</v>
      </c>
      <c r="AB47">
        <f t="shared" si="9"/>
        <v>1.0338256799310823E-3</v>
      </c>
    </row>
    <row r="48" spans="1:35" x14ac:dyDescent="0.25">
      <c r="B48">
        <f>+'5% CO'!T6</f>
        <v>5</v>
      </c>
      <c r="C48" t="str">
        <f>+'5% CO'!U6</f>
        <v>Olefin</v>
      </c>
      <c r="D48" t="str">
        <f>+'5% CO'!R6</f>
        <v>1,4-Pentadiene</v>
      </c>
      <c r="E48">
        <f>+'10% CO'!Z6</f>
        <v>0.29845126020318291</v>
      </c>
      <c r="F48" t="s">
        <v>243</v>
      </c>
      <c r="G48">
        <f>VLOOKUP(Tabella10[[#This Row],[Name]],Tabella278[],5,FALSE)</f>
        <v>5</v>
      </c>
      <c r="O48" t="s">
        <v>28</v>
      </c>
      <c r="P48" s="43">
        <v>0.27953121534732772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6.9381796070089721E-2</v>
      </c>
      <c r="X48">
        <f t="shared" si="5"/>
        <v>0.83258155284107671</v>
      </c>
      <c r="Y48">
        <f t="shared" si="6"/>
        <v>0.67897357300020833</v>
      </c>
      <c r="Z48">
        <f t="shared" si="7"/>
        <v>0.15360797984086844</v>
      </c>
      <c r="AA48">
        <f t="shared" si="8"/>
        <v>8.0369186511631344E-3</v>
      </c>
      <c r="AB48">
        <f t="shared" si="9"/>
        <v>1.2347482459519271E-3</v>
      </c>
    </row>
    <row r="49" spans="2:28" x14ac:dyDescent="0.25">
      <c r="B49">
        <f>+'5% CO'!T7</f>
        <v>5</v>
      </c>
      <c r="C49" t="str">
        <f>+'5% CO'!U7</f>
        <v>paraffin</v>
      </c>
      <c r="D49" t="str">
        <f>+'5% CO'!R7</f>
        <v>n-Pentane</v>
      </c>
      <c r="E49">
        <f>+'10% CO'!Z7</f>
        <v>2.625778593646471E-2</v>
      </c>
      <c r="F49" t="s">
        <v>243</v>
      </c>
      <c r="G49">
        <f>VLOOKUP(Tabella10[[#This Row],[Name]],Tabella278[],5,FALSE)</f>
        <v>6</v>
      </c>
      <c r="O49" t="s">
        <v>38</v>
      </c>
      <c r="P49" s="43">
        <v>2.9039779374151295E-2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0.10087648909937995</v>
      </c>
      <c r="X49">
        <f t="shared" si="5"/>
        <v>1.2105178691925593</v>
      </c>
      <c r="Y49">
        <f t="shared" si="6"/>
        <v>0.98718214452579522</v>
      </c>
      <c r="Z49">
        <f t="shared" si="7"/>
        <v>0.22333572466676416</v>
      </c>
      <c r="AA49">
        <f t="shared" si="8"/>
        <v>1.1685141962708099E-2</v>
      </c>
      <c r="AB49">
        <f t="shared" si="9"/>
        <v>1.7952413317092585E-3</v>
      </c>
    </row>
    <row r="50" spans="2:28" x14ac:dyDescent="0.25">
      <c r="B50">
        <f>+'5% CO'!T8</f>
        <v>5</v>
      </c>
      <c r="C50" t="str">
        <f>+'5% CO'!U8</f>
        <v>iso-paraffin</v>
      </c>
      <c r="D50" t="str">
        <f>+'5% CO'!R8</f>
        <v>(C5-IsoParaffin)</v>
      </c>
      <c r="E50">
        <f>+'10% CO'!Z8</f>
        <v>2.2215493458215406E-2</v>
      </c>
      <c r="F50" t="s">
        <v>243</v>
      </c>
      <c r="G50">
        <f>VLOOKUP(Tabella10[[#This Row],[Name]],Tabella278[],5,FALSE)</f>
        <v>7</v>
      </c>
      <c r="O50" t="s">
        <v>20</v>
      </c>
      <c r="P50" s="43">
        <v>5.1513556339444988E-2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6.8149503674872864E-3</v>
      </c>
      <c r="X50">
        <f t="shared" si="5"/>
        <v>8.1779404409847434E-2</v>
      </c>
      <c r="Y50">
        <f t="shared" si="6"/>
        <v>6.6691430071333713E-2</v>
      </c>
      <c r="Z50">
        <f t="shared" si="7"/>
        <v>1.5087974338513721E-2</v>
      </c>
      <c r="AA50">
        <f t="shared" si="8"/>
        <v>7.8941746708141667E-4</v>
      </c>
      <c r="AB50">
        <f t="shared" si="9"/>
        <v>1.2128178411529965E-4</v>
      </c>
    </row>
    <row r="51" spans="2:28" x14ac:dyDescent="0.25">
      <c r="B51">
        <f>+'5% CO'!T9</f>
        <v>5</v>
      </c>
      <c r="C51" t="str">
        <f>+'5% CO'!U9</f>
        <v>Naphthene</v>
      </c>
      <c r="D51" t="str">
        <f>+'5% CO'!R9</f>
        <v>Cyclopentane</v>
      </c>
      <c r="E51">
        <f>+'10% CO'!Z9</f>
        <v>9.2919825558525244E-3</v>
      </c>
      <c r="F51" t="s">
        <v>243</v>
      </c>
      <c r="G51">
        <f>VLOOKUP(Tabella10[[#This Row],[Name]],Tabella278[],5,FALSE)</f>
        <v>8</v>
      </c>
      <c r="O51" t="s">
        <v>14</v>
      </c>
      <c r="P51" s="43">
        <v>5.2091431438708945E-2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2.4020366158280529E-2</v>
      </c>
      <c r="X51">
        <f t="shared" si="5"/>
        <v>0.28824439389936635</v>
      </c>
      <c r="Y51">
        <f t="shared" si="6"/>
        <v>0.23506445147060498</v>
      </c>
      <c r="Z51">
        <f t="shared" si="7"/>
        <v>5.3179942428761368E-2</v>
      </c>
      <c r="AA51">
        <f t="shared" si="8"/>
        <v>2.7824262230143632E-3</v>
      </c>
      <c r="AB51">
        <f t="shared" si="9"/>
        <v>4.2747675414885744E-4</v>
      </c>
    </row>
    <row r="52" spans="2:28" x14ac:dyDescent="0.25">
      <c r="B52">
        <f>+'5% CO'!T10</f>
        <v>6</v>
      </c>
      <c r="C52" t="str">
        <f>+'5% CO'!U10</f>
        <v>iso-paraffin</v>
      </c>
      <c r="D52" t="str">
        <f>+'5% CO'!R10</f>
        <v>3-Methylpentane</v>
      </c>
      <c r="E52">
        <f>+'10% CO'!Z10</f>
        <v>0.29857884603198059</v>
      </c>
      <c r="F52" t="s">
        <v>243</v>
      </c>
      <c r="G52">
        <f>VLOOKUP(Tabella10[[#This Row],[Name]],Tabella278[],5,FALSE)</f>
        <v>9</v>
      </c>
      <c r="N52">
        <v>10</v>
      </c>
      <c r="O52" t="s">
        <v>36</v>
      </c>
      <c r="P52" s="43">
        <v>7.3831740830595113E-2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6.2423700626390377E-3</v>
      </c>
      <c r="X52">
        <f t="shared" si="5"/>
        <v>7.4908440751668456E-2</v>
      </c>
      <c r="Y52">
        <f t="shared" si="6"/>
        <v>6.1088131837029866E-2</v>
      </c>
      <c r="Z52">
        <f t="shared" si="7"/>
        <v>1.3820308914638592E-2</v>
      </c>
      <c r="AA52">
        <f t="shared" si="8"/>
        <v>7.2309198126270394E-4</v>
      </c>
      <c r="AB52">
        <f t="shared" si="9"/>
        <v>1.1109189905721051E-4</v>
      </c>
    </row>
    <row r="53" spans="2:28" x14ac:dyDescent="0.25">
      <c r="B53">
        <f>+'5% CO'!T11</f>
        <v>6</v>
      </c>
      <c r="C53" t="str">
        <f>+'5% CO'!U11</f>
        <v>Olefin</v>
      </c>
      <c r="D53" t="str">
        <f>+'5% CO'!R11</f>
        <v>1t,4-Hexadiene</v>
      </c>
      <c r="E53">
        <f>+'10% CO'!Z11</f>
        <v>0.12111007002385282</v>
      </c>
      <c r="F53" t="s">
        <v>243</v>
      </c>
      <c r="G53">
        <f>VLOOKUP(Tabella10[[#This Row],[Name]],Tabella278[],5,FALSE)</f>
        <v>10</v>
      </c>
      <c r="O53" t="s">
        <v>28</v>
      </c>
      <c r="P53" s="43">
        <v>9.5023435808945997E-2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2.5062835735042286E-2</v>
      </c>
      <c r="X53">
        <f t="shared" si="5"/>
        <v>0.3258168645555497</v>
      </c>
      <c r="Y53">
        <f t="shared" si="6"/>
        <v>0.26570495096380453</v>
      </c>
      <c r="Z53">
        <f t="shared" si="7"/>
        <v>6.011191359174519E-2</v>
      </c>
      <c r="AA53">
        <f t="shared" si="8"/>
        <v>3.1451136848690449E-3</v>
      </c>
      <c r="AB53">
        <f t="shared" si="9"/>
        <v>4.831980730761074E-4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+'10% CO'!Z12</f>
        <v>3.0001340864358409E-2</v>
      </c>
      <c r="F54" t="s">
        <v>243</v>
      </c>
      <c r="G54">
        <f>VLOOKUP(Tabella10[[#This Row],[Name]],Tabella278[],5,FALSE)</f>
        <v>11</v>
      </c>
      <c r="O54" t="s">
        <v>38</v>
      </c>
      <c r="P54" s="43">
        <v>6.0313866677003905E-2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2.1658472400781508E-3</v>
      </c>
      <c r="X54">
        <f t="shared" si="5"/>
        <v>2.8156014121015961E-2</v>
      </c>
      <c r="Y54">
        <f t="shared" si="6"/>
        <v>2.2961341677527676E-2</v>
      </c>
      <c r="Z54">
        <f t="shared" si="7"/>
        <v>5.1946724434882852E-3</v>
      </c>
      <c r="AA54">
        <f t="shared" si="8"/>
        <v>2.7179030601798542E-4</v>
      </c>
      <c r="AB54">
        <f t="shared" si="9"/>
        <v>4.1756376814125988E-5</v>
      </c>
    </row>
    <row r="55" spans="2:28" x14ac:dyDescent="0.25">
      <c r="B55">
        <f>+'5% CO'!T13</f>
        <v>6</v>
      </c>
      <c r="C55" t="str">
        <f>+'5% CO'!U13</f>
        <v>paraffin</v>
      </c>
      <c r="D55" t="str">
        <f>+'5% CO'!R13</f>
        <v>n-Hexane</v>
      </c>
      <c r="E55">
        <f>+'10% CO'!Z13</f>
        <v>3.3919159363292877E-3</v>
      </c>
      <c r="F55" t="s">
        <v>243</v>
      </c>
      <c r="G55">
        <f>VLOOKUP(Tabella10[[#This Row],[Name]],Tabella278[],5,FALSE)</f>
        <v>12</v>
      </c>
      <c r="O55" t="s">
        <v>20</v>
      </c>
      <c r="P55" s="43">
        <v>0.10367126552184425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0.10471940296983252</v>
      </c>
      <c r="X55">
        <f t="shared" si="5"/>
        <v>1.3613522386078227</v>
      </c>
      <c r="Y55">
        <f t="shared" si="6"/>
        <v>1.1101881736452792</v>
      </c>
      <c r="Z55">
        <f t="shared" si="7"/>
        <v>0.25116406496254351</v>
      </c>
      <c r="AA55">
        <f t="shared" si="8"/>
        <v>1.3141147746950297E-2</v>
      </c>
      <c r="AB55">
        <f t="shared" si="9"/>
        <v>2.0189341008190632E-3</v>
      </c>
    </row>
    <row r="56" spans="2:28" x14ac:dyDescent="0.25">
      <c r="B56">
        <f>+'5% CO'!T14</f>
        <v>6</v>
      </c>
      <c r="C56" t="str">
        <f>+'5% CO'!U14</f>
        <v>Aromatic</v>
      </c>
      <c r="D56" t="str">
        <f>+'5% CO'!R14</f>
        <v>Benzene</v>
      </c>
      <c r="E56">
        <f>+'10% CO'!Z14</f>
        <v>2.4894795862967249E-3</v>
      </c>
      <c r="F56" t="s">
        <v>243</v>
      </c>
      <c r="G56">
        <f>VLOOKUP(Tabella10[[#This Row],[Name]],Tabella278[],5,FALSE)</f>
        <v>13</v>
      </c>
      <c r="O56" t="s">
        <v>14</v>
      </c>
      <c r="P56" s="43">
        <v>7.7932189982597905E-2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5.7009082526194976E-3</v>
      </c>
      <c r="X56">
        <f t="shared" si="5"/>
        <v>7.9812715536672962E-2</v>
      </c>
      <c r="Y56">
        <f t="shared" si="6"/>
        <v>6.5087587460790172E-2</v>
      </c>
      <c r="Z56">
        <f t="shared" si="7"/>
        <v>1.4725128075882787E-2</v>
      </c>
      <c r="AA56">
        <f t="shared" si="8"/>
        <v>7.7043299831446575E-4</v>
      </c>
      <c r="AB56">
        <f t="shared" si="9"/>
        <v>1.1836511411678854E-4</v>
      </c>
    </row>
    <row r="57" spans="2:28" x14ac:dyDescent="0.25">
      <c r="B57">
        <f>+'5% CO'!T15</f>
        <v>7</v>
      </c>
      <c r="C57" t="str">
        <f>+'5% CO'!U15</f>
        <v>iso-paraffin</v>
      </c>
      <c r="D57" t="str">
        <f>+'5% CO'!R15</f>
        <v>3-Ethylpentane</v>
      </c>
      <c r="E57">
        <f>+'10% CO'!Z15</f>
        <v>0.25462397208642901</v>
      </c>
      <c r="F57" t="s">
        <v>243</v>
      </c>
      <c r="G57">
        <f>VLOOKUP(Tabella10[[#This Row],[Name]],Tabella278[],5,FALSE)</f>
        <v>14</v>
      </c>
      <c r="N57">
        <v>11</v>
      </c>
      <c r="O57" t="s">
        <v>36</v>
      </c>
      <c r="P57" s="43">
        <v>3.945513959332022E-2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0.10279794603460621</v>
      </c>
      <c r="X57">
        <f t="shared" si="5"/>
        <v>1.4391712444844869</v>
      </c>
      <c r="Y57">
        <f t="shared" si="6"/>
        <v>1.173649882936223</v>
      </c>
      <c r="Z57">
        <f t="shared" si="7"/>
        <v>0.265521361548264</v>
      </c>
      <c r="AA57">
        <f t="shared" si="8"/>
        <v>1.3892335444552957E-2</v>
      </c>
      <c r="AB57">
        <f t="shared" si="9"/>
        <v>2.134342472143229E-3</v>
      </c>
    </row>
    <row r="58" spans="2:28" x14ac:dyDescent="0.25">
      <c r="B58">
        <f>+'5% CO'!T16</f>
        <v>7</v>
      </c>
      <c r="C58" t="str">
        <f>+'5% CO'!U16</f>
        <v>Olefin</v>
      </c>
      <c r="D58" t="str">
        <f>+'5% CO'!R16</f>
        <v>2,4-Dimethylpentene-1</v>
      </c>
      <c r="E58">
        <f>+'10% CO'!Z16</f>
        <v>0.17772083581624029</v>
      </c>
      <c r="F58" t="s">
        <v>243</v>
      </c>
      <c r="G58">
        <f>VLOOKUP(Tabella10[[#This Row],[Name]],Tabella278[],5,FALSE)</f>
        <v>15</v>
      </c>
      <c r="O58" t="s">
        <v>28</v>
      </c>
      <c r="P58" s="43">
        <v>9.8430910992689663E-2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4.4966225027484596E-3</v>
      </c>
      <c r="X58">
        <f t="shared" si="5"/>
        <v>6.7449337541226895E-2</v>
      </c>
      <c r="Y58">
        <f t="shared" si="6"/>
        <v>5.5005203454952738E-2</v>
      </c>
      <c r="Z58">
        <f t="shared" si="7"/>
        <v>1.2444134086274157E-2</v>
      </c>
      <c r="AA58">
        <f t="shared" si="8"/>
        <v>6.5108917804374824E-4</v>
      </c>
      <c r="AB58">
        <f t="shared" si="9"/>
        <v>1.0002978199007302E-4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+'10% CO'!Z17</f>
        <v>2.709176159787411E-2</v>
      </c>
      <c r="F59" t="s">
        <v>243</v>
      </c>
      <c r="G59">
        <f>VLOOKUP(Tabella10[[#This Row],[Name]],Tabella278[],5,FALSE)</f>
        <v>16</v>
      </c>
      <c r="O59" t="s">
        <v>20</v>
      </c>
      <c r="P59" s="43">
        <v>6.3372814718666015E-2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9.1269204423248526E-2</v>
      </c>
      <c r="X59">
        <f t="shared" si="5"/>
        <v>1.3690380663487278</v>
      </c>
      <c r="Y59">
        <f t="shared" si="6"/>
        <v>1.1164559967851255</v>
      </c>
      <c r="Z59">
        <f t="shared" si="7"/>
        <v>0.2525820695636023</v>
      </c>
      <c r="AA59">
        <f t="shared" si="8"/>
        <v>1.3215339124491301E-2</v>
      </c>
      <c r="AB59">
        <f t="shared" si="9"/>
        <v>2.0303324584807088E-3</v>
      </c>
    </row>
    <row r="60" spans="2:28" x14ac:dyDescent="0.25">
      <c r="B60">
        <f>+'5% CO'!T18</f>
        <v>7</v>
      </c>
      <c r="C60" t="str">
        <f>+'5% CO'!U18</f>
        <v>Aromatic</v>
      </c>
      <c r="D60" t="str">
        <f>+'5% CO'!R18</f>
        <v>Toluene</v>
      </c>
      <c r="E60">
        <f>+'10% CO'!Z18</f>
        <v>6.65624604386087E-3</v>
      </c>
      <c r="F60" t="s">
        <v>243</v>
      </c>
      <c r="G60">
        <f>VLOOKUP(Tabella10[[#This Row],[Name]],Tabella278[],5,FALSE)</f>
        <v>17</v>
      </c>
      <c r="O60" t="s">
        <v>14</v>
      </c>
      <c r="P60" s="43">
        <v>8.9984230827715853E-2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1.1467165344379287E-2</v>
      </c>
      <c r="X60">
        <f t="shared" si="5"/>
        <v>0.18347464551006859</v>
      </c>
      <c r="Y60">
        <f t="shared" si="6"/>
        <v>0.14962430430006979</v>
      </c>
      <c r="Z60">
        <f t="shared" si="7"/>
        <v>3.3850341209998802E-2</v>
      </c>
      <c r="AA60">
        <f t="shared" si="8"/>
        <v>1.7710827191446084E-3</v>
      </c>
      <c r="AB60">
        <f t="shared" si="9"/>
        <v>2.7209946694969797E-4</v>
      </c>
    </row>
    <row r="61" spans="2:28" x14ac:dyDescent="0.25">
      <c r="B61">
        <f>+'5% CO'!T19</f>
        <v>8</v>
      </c>
      <c r="C61" t="str">
        <f>+'5% CO'!U19</f>
        <v>Olefin</v>
      </c>
      <c r="D61" t="str">
        <f>+'5% CO'!R19</f>
        <v>Octene-1</v>
      </c>
      <c r="E61">
        <f>+'10% CO'!Z19</f>
        <v>0.29186969854691103</v>
      </c>
      <c r="F61" t="s">
        <v>243</v>
      </c>
      <c r="G61">
        <f>VLOOKUP(Tabella10[[#This Row],[Name]],Tabella278[],5,FALSE)</f>
        <v>18</v>
      </c>
      <c r="N61">
        <v>12</v>
      </c>
      <c r="O61" t="s">
        <v>36</v>
      </c>
      <c r="P61" s="43">
        <v>2.4020366158280529E-2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7.3976092006211983E-2</v>
      </c>
      <c r="X61">
        <f t="shared" si="5"/>
        <v>1.1836174720993917</v>
      </c>
      <c r="Y61">
        <f t="shared" si="6"/>
        <v>0.96524476353633337</v>
      </c>
      <c r="Z61">
        <f t="shared" si="7"/>
        <v>0.21837270856305835</v>
      </c>
      <c r="AA61">
        <f t="shared" si="8"/>
        <v>1.1425472141314588E-2</v>
      </c>
      <c r="AB61">
        <f t="shared" si="9"/>
        <v>1.7553470798934976E-3</v>
      </c>
    </row>
    <row r="62" spans="2:28" x14ac:dyDescent="0.25">
      <c r="B62">
        <f>+'5% CO'!T20</f>
        <v>8</v>
      </c>
      <c r="C62" t="str">
        <f>+'5% CO'!U20</f>
        <v>Aromatic</v>
      </c>
      <c r="D62" t="str">
        <f>+'5% CO'!R20</f>
        <v>Ethylbenzene</v>
      </c>
      <c r="E62">
        <f>+'10% CO'!Z20</f>
        <v>5.4986380362328911E-2</v>
      </c>
      <c r="F62" t="s">
        <v>243</v>
      </c>
      <c r="G62">
        <f>VLOOKUP(Tabella10[[#This Row],[Name]],Tabella278[],5,FALSE)</f>
        <v>19</v>
      </c>
      <c r="O62" t="s">
        <v>28</v>
      </c>
      <c r="P62" s="43">
        <v>6.9381796070089721E-2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4.2476745441187872E-3</v>
      </c>
      <c r="X62">
        <f t="shared" si="5"/>
        <v>7.2210467250019381E-2</v>
      </c>
      <c r="Y62">
        <f t="shared" si="6"/>
        <v>5.8887923698831751E-2</v>
      </c>
      <c r="Z62">
        <f t="shared" si="7"/>
        <v>1.3322543551187626E-2</v>
      </c>
      <c r="AA62">
        <f t="shared" si="8"/>
        <v>6.9704841414095398E-4</v>
      </c>
      <c r="AB62">
        <f t="shared" si="9"/>
        <v>1.0709070777760759E-4</v>
      </c>
    </row>
    <row r="63" spans="2:28" x14ac:dyDescent="0.25">
      <c r="B63">
        <f>+'5% CO'!T21</f>
        <v>8</v>
      </c>
      <c r="C63" t="str">
        <f>+'5% CO'!U21</f>
        <v>iso-paraffin</v>
      </c>
      <c r="D63" t="str">
        <f>+'5% CO'!R21</f>
        <v>2-Methyl-3-ethylpentane</v>
      </c>
      <c r="E63">
        <f>+'10% CO'!Z21</f>
        <v>0.10631633758228454</v>
      </c>
      <c r="F63" t="s">
        <v>243</v>
      </c>
      <c r="G63">
        <f>VLOOKUP(Tabella10[[#This Row],[Name]],Tabella278[],5,FALSE)</f>
        <v>20</v>
      </c>
      <c r="O63" t="s">
        <v>38</v>
      </c>
      <c r="P63" s="43">
        <v>6.2423700626390377E-3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6.4368807330080421E-2</v>
      </c>
      <c r="X63">
        <f t="shared" si="5"/>
        <v>1.0942697246113671</v>
      </c>
      <c r="Y63">
        <f t="shared" si="6"/>
        <v>0.89238131953561795</v>
      </c>
      <c r="Z63">
        <f t="shared" si="7"/>
        <v>0.20188840507574912</v>
      </c>
      <c r="AA63">
        <f t="shared" si="8"/>
        <v>1.0562997377400395E-2</v>
      </c>
      <c r="AB63">
        <f t="shared" si="9"/>
        <v>1.6228411720768585E-3</v>
      </c>
    </row>
    <row r="64" spans="2:28" x14ac:dyDescent="0.25">
      <c r="B64">
        <f>+'5% CO'!T22</f>
        <v>8</v>
      </c>
      <c r="C64" t="str">
        <f>+'5% CO'!U22</f>
        <v>Naphthene</v>
      </c>
      <c r="D64" t="str">
        <f>+'5% CO'!R22</f>
        <v>1c,2t,3-Trimethylcyclopentane</v>
      </c>
      <c r="E64">
        <f>+'10% CO'!Z22</f>
        <v>4.7723323669308218E-2</v>
      </c>
      <c r="F64" t="s">
        <v>243</v>
      </c>
      <c r="G64">
        <f>VLOOKUP(Tabella10[[#This Row],[Name]],Tabella278[],5,FALSE)</f>
        <v>21</v>
      </c>
      <c r="O64" t="s">
        <v>20</v>
      </c>
      <c r="P64" s="43">
        <v>6.8149503674872864E-3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5.9565164992014842E-2</v>
      </c>
      <c r="X64">
        <f t="shared" si="5"/>
        <v>1.0721729698562672</v>
      </c>
      <c r="Y64">
        <f t="shared" si="6"/>
        <v>0.8743613280085617</v>
      </c>
      <c r="Z64">
        <f t="shared" si="7"/>
        <v>0.19781164184770544</v>
      </c>
      <c r="AA64">
        <f t="shared" si="8"/>
        <v>1.0349697166970033E-2</v>
      </c>
      <c r="AB64">
        <f t="shared" si="9"/>
        <v>1.5900708937996294E-3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+'10% CO'!Z23</f>
        <v>1.036245877796012E-3</v>
      </c>
      <c r="F65" t="s">
        <v>243</v>
      </c>
      <c r="G65">
        <f>VLOOKUP(Tabella10[[#This Row],[Name]],Tabella278[],5,FALSE)</f>
        <v>22</v>
      </c>
      <c r="O65" t="s">
        <v>14</v>
      </c>
      <c r="P65" s="43">
        <v>0.10087648909937995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2.690039709316798E-2</v>
      </c>
      <c r="X65">
        <f t="shared" si="5"/>
        <v>0.5111075447701916</v>
      </c>
      <c r="Y65">
        <f t="shared" si="6"/>
        <v>0.41681023879978008</v>
      </c>
      <c r="Z65">
        <f t="shared" si="7"/>
        <v>9.4297305970411513E-2</v>
      </c>
      <c r="AA65">
        <f t="shared" si="8"/>
        <v>4.933726606476751E-3</v>
      </c>
      <c r="AB65">
        <f t="shared" si="9"/>
        <v>7.5799078449946457E-4</v>
      </c>
    </row>
    <row r="66" spans="2:28" x14ac:dyDescent="0.25">
      <c r="B66">
        <f>+'5% CO'!T24</f>
        <v>9</v>
      </c>
      <c r="C66" t="str">
        <f>+'5% CO'!U24</f>
        <v>iso-paraffin</v>
      </c>
      <c r="D66" t="str">
        <f>+'5% CO'!R24</f>
        <v>I8 (C9)</v>
      </c>
      <c r="E66">
        <f>+'10% CO'!Z24</f>
        <v>0.27953121534732772</v>
      </c>
      <c r="F66" t="s">
        <v>243</v>
      </c>
      <c r="G66">
        <f>VLOOKUP(Tabella10[[#This Row],[Name]],Tabella278[],5,FALSE)</f>
        <v>23</v>
      </c>
      <c r="N66">
        <v>13</v>
      </c>
      <c r="O66" t="s">
        <v>28</v>
      </c>
      <c r="P66" s="43">
        <v>2.5062835735042286E-2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2.1136026287489132E-2</v>
      </c>
      <c r="X66">
        <f t="shared" si="5"/>
        <v>0.42272052574978264</v>
      </c>
      <c r="Y66">
        <f t="shared" si="6"/>
        <v>0.34473027269154755</v>
      </c>
      <c r="Z66">
        <f t="shared" si="7"/>
        <v>7.7990253058235107E-2</v>
      </c>
      <c r="AA66">
        <f t="shared" si="8"/>
        <v>4.0805257647552086E-3</v>
      </c>
      <c r="AB66">
        <f t="shared" si="9"/>
        <v>6.2690967139053479E-4</v>
      </c>
    </row>
    <row r="67" spans="2:28" x14ac:dyDescent="0.25">
      <c r="B67">
        <f>+'5% CO'!T25</f>
        <v>9</v>
      </c>
      <c r="C67" t="str">
        <f>+'5% CO'!U25</f>
        <v>Olefin</v>
      </c>
      <c r="D67" t="str">
        <f>+'5% CO'!R25</f>
        <v>3,5,5-Trimethylhexene-1</v>
      </c>
      <c r="E67">
        <f>+'10% CO'!Z25</f>
        <v>5.1513556339444988E-2</v>
      </c>
      <c r="F67" t="s">
        <v>243</v>
      </c>
      <c r="G67">
        <f>VLOOKUP(Tabella10[[#This Row],[Name]],Tabella278[],5,FALSE)</f>
        <v>24</v>
      </c>
      <c r="O67" t="s">
        <v>20</v>
      </c>
      <c r="P67" s="43">
        <v>2.1658472400781508E-3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1.9214569352262848E-2</v>
      </c>
      <c r="X67">
        <f t="shared" si="5"/>
        <v>0.40350595639751979</v>
      </c>
      <c r="Y67">
        <f t="shared" si="6"/>
        <v>0.32906071484193172</v>
      </c>
      <c r="Z67">
        <f t="shared" si="7"/>
        <v>7.4445241555588057E-2</v>
      </c>
      <c r="AA67">
        <f t="shared" si="8"/>
        <v>3.895047320902699E-3</v>
      </c>
      <c r="AB67">
        <f t="shared" si="9"/>
        <v>5.9841377723641954E-4</v>
      </c>
    </row>
    <row r="68" spans="2:28" x14ac:dyDescent="0.25">
      <c r="B68">
        <f>+'5% CO'!T26</f>
        <v>9</v>
      </c>
      <c r="C68" t="str">
        <f>+'5% CO'!U26</f>
        <v>Aromatic</v>
      </c>
      <c r="D68" t="str">
        <f>+'5% CO'!R26</f>
        <v>1,3-Methylethylbenzene</v>
      </c>
      <c r="E68">
        <f>+'10% CO'!Z26</f>
        <v>7.2568329940549542E-2</v>
      </c>
      <c r="F68" t="s">
        <v>243</v>
      </c>
      <c r="G68">
        <f>VLOOKUP(Tabella10[[#This Row],[Name]],Tabella278[],5,FALSE)</f>
        <v>25</v>
      </c>
      <c r="O68" t="s">
        <v>14</v>
      </c>
      <c r="P68" s="43">
        <v>0.10471940296983252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1.7293112417036564E-2</v>
      </c>
      <c r="X68">
        <f t="shared" si="5"/>
        <v>0.3804484731748044</v>
      </c>
      <c r="Y68">
        <f t="shared" si="6"/>
        <v>0.3102572454223928</v>
      </c>
      <c r="Z68">
        <f t="shared" si="7"/>
        <v>7.01912277524116E-2</v>
      </c>
      <c r="AA68">
        <f t="shared" si="8"/>
        <v>3.6724731882796882E-3</v>
      </c>
      <c r="AB68">
        <f t="shared" si="9"/>
        <v>5.6421870425148136E-4</v>
      </c>
    </row>
    <row r="69" spans="2:28" x14ac:dyDescent="0.25">
      <c r="B69">
        <f>+'5% CO'!T27</f>
        <v>9</v>
      </c>
      <c r="C69" t="str">
        <f>+'5% CO'!U27</f>
        <v>paraffin</v>
      </c>
      <c r="D69" t="str">
        <f>+'5% CO'!R27</f>
        <v>n-Nonane</v>
      </c>
      <c r="E69">
        <f>+'10% CO'!Z27</f>
        <v>2.2308848942701527E-2</v>
      </c>
      <c r="F69" t="s">
        <v>243</v>
      </c>
      <c r="G69">
        <f>VLOOKUP(Tabella10[[#This Row],[Name]],Tabella278[],5,FALSE)</f>
        <v>26</v>
      </c>
      <c r="N69">
        <v>14</v>
      </c>
      <c r="O69" t="s">
        <v>28</v>
      </c>
      <c r="P69" s="43">
        <v>5.7009082526194976E-3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1.5371655481810279E-2</v>
      </c>
      <c r="X69">
        <f t="shared" si="5"/>
        <v>0.35354807608163641</v>
      </c>
      <c r="Y69">
        <f t="shared" si="6"/>
        <v>0.28831986443293067</v>
      </c>
      <c r="Z69">
        <f t="shared" si="7"/>
        <v>6.5228211648705722E-2</v>
      </c>
      <c r="AA69">
        <f t="shared" si="8"/>
        <v>3.4128033668861749E-3</v>
      </c>
      <c r="AB69">
        <f t="shared" si="9"/>
        <v>5.2432445243571991E-4</v>
      </c>
    </row>
    <row r="70" spans="2:28" x14ac:dyDescent="0.25">
      <c r="B70">
        <f>+'5% CO'!T28</f>
        <v>9</v>
      </c>
      <c r="C70" t="str">
        <f>+'5% CO'!U28</f>
        <v>Naphthene</v>
      </c>
      <c r="D70" t="str">
        <f>+'5% CO'!R28</f>
        <v>1,1,3-Trimethylcyclohexane</v>
      </c>
      <c r="E70">
        <f>+'10% CO'!Z28</f>
        <v>2.9039779374151295E-2</v>
      </c>
      <c r="F70" t="s">
        <v>243</v>
      </c>
      <c r="G70">
        <f>VLOOKUP(Tabella10[[#This Row],[Name]],Tabella278[],5,FALSE)</f>
        <v>27</v>
      </c>
      <c r="O70" t="s">
        <v>14</v>
      </c>
      <c r="P70" s="43">
        <v>0.10279794603460621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1.4410927014197135E-2</v>
      </c>
      <c r="X70">
        <f t="shared" ref="X70:X101" si="10">+W70*S70</f>
        <v>0.34586224834073126</v>
      </c>
      <c r="Y70">
        <f t="shared" ref="Y70:Y101" si="11">X70*$Y$4</f>
        <v>0.28205204129308437</v>
      </c>
      <c r="Z70">
        <f t="shared" si="7"/>
        <v>6.3810207047646908E-2</v>
      </c>
      <c r="AA70">
        <f t="shared" si="8"/>
        <v>3.3386119893451709E-3</v>
      </c>
      <c r="AB70">
        <f t="shared" si="9"/>
        <v>5.1292609477407393E-4</v>
      </c>
    </row>
    <row r="71" spans="2:28" x14ac:dyDescent="0.25">
      <c r="B71">
        <f>+'5% CO'!T29</f>
        <v>10</v>
      </c>
      <c r="C71" t="str">
        <f>+'5% CO'!U29</f>
        <v>Olefin</v>
      </c>
      <c r="D71" t="str">
        <f>+'5% CO'!R29</f>
        <v>Decene-1</v>
      </c>
      <c r="E71">
        <f>+'10% CO'!Z29</f>
        <v>0.10367126552184425</v>
      </c>
      <c r="F71" t="s">
        <v>243</v>
      </c>
      <c r="G71">
        <f>VLOOKUP(Tabella10[[#This Row],[Name]],Tabella278[],5,FALSE)</f>
        <v>28</v>
      </c>
      <c r="N71">
        <v>15</v>
      </c>
      <c r="O71" t="s">
        <v>28</v>
      </c>
      <c r="P71" s="43">
        <v>4.4966225027484596E-3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1.248947007897085E-2</v>
      </c>
      <c r="X71">
        <f t="shared" si="10"/>
        <v>0.31223675197427125</v>
      </c>
      <c r="Y71">
        <f t="shared" si="11"/>
        <v>0.25463031505625672</v>
      </c>
      <c r="Z71">
        <f t="shared" si="7"/>
        <v>5.7606436918014564E-2</v>
      </c>
      <c r="AA71">
        <f t="shared" si="8"/>
        <v>3.0140247126032795E-3</v>
      </c>
      <c r="AB71">
        <f t="shared" si="9"/>
        <v>4.6305828000437225E-4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+'10% CO'!Z30</f>
        <v>9.5023435808945997E-2</v>
      </c>
      <c r="F72" t="s">
        <v>243</v>
      </c>
      <c r="G72">
        <f>VLOOKUP(Tabella10[[#This Row],[Name]],Tabella278[],5,FALSE)</f>
        <v>29</v>
      </c>
      <c r="O72" t="s">
        <v>14</v>
      </c>
      <c r="P72" s="43">
        <v>9.1269204423248526E-2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1.0568013143744566E-2</v>
      </c>
      <c r="X72">
        <f t="shared" si="10"/>
        <v>0.2747683417373587</v>
      </c>
      <c r="Y72">
        <f t="shared" si="11"/>
        <v>0.22407467724950589</v>
      </c>
      <c r="Z72">
        <f t="shared" si="7"/>
        <v>5.0693664487852813E-2</v>
      </c>
      <c r="AA72">
        <f t="shared" si="8"/>
        <v>2.6523417470908856E-3</v>
      </c>
      <c r="AB72">
        <f t="shared" si="9"/>
        <v>4.0749128640384753E-4</v>
      </c>
    </row>
    <row r="73" spans="2:28" x14ac:dyDescent="0.25">
      <c r="B73">
        <f>+'5% CO'!T31</f>
        <v>10</v>
      </c>
      <c r="C73" t="str">
        <f>+'5% CO'!U31</f>
        <v>Aromatic</v>
      </c>
      <c r="D73" t="str">
        <f>+'5% CO'!R31</f>
        <v>1,2-Methyl-n-propylbenzene</v>
      </c>
      <c r="E73">
        <f>+'10% CO'!Z31</f>
        <v>7.3831740830595113E-2</v>
      </c>
      <c r="F73" t="s">
        <v>243</v>
      </c>
      <c r="G73">
        <f>VLOOKUP(Tabella10[[#This Row],[Name]],Tabella278[],5,FALSE)</f>
        <v>30</v>
      </c>
      <c r="N73">
        <v>16</v>
      </c>
      <c r="O73" t="s">
        <v>28</v>
      </c>
      <c r="P73" s="43">
        <v>1.1467165344379287E-2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8.6465562085182822E-3</v>
      </c>
      <c r="X73">
        <f t="shared" si="10"/>
        <v>0.23345701762999363</v>
      </c>
      <c r="Y73">
        <f t="shared" si="11"/>
        <v>0.19038512787283196</v>
      </c>
      <c r="Z73">
        <f t="shared" si="7"/>
        <v>4.3071889757161662E-2</v>
      </c>
      <c r="AA73">
        <f t="shared" si="8"/>
        <v>2.2535630928079906E-3</v>
      </c>
      <c r="AB73">
        <f t="shared" si="9"/>
        <v>3.4622511397249987E-4</v>
      </c>
    </row>
    <row r="74" spans="2:28" x14ac:dyDescent="0.25">
      <c r="B74">
        <f>+'5% CO'!T32</f>
        <v>10</v>
      </c>
      <c r="C74" t="str">
        <f>+'5% CO'!U32</f>
        <v>Naphthene</v>
      </c>
      <c r="D74" t="str">
        <f>+'5% CO'!R32</f>
        <v>Sec-butylcyclohexane</v>
      </c>
      <c r="E74">
        <f>+'10% CO'!Z32</f>
        <v>6.0313866677003905E-2</v>
      </c>
      <c r="F74" t="s">
        <v>243</v>
      </c>
      <c r="G74">
        <f>VLOOKUP(Tabella10[[#This Row],[Name]],Tabella278[],5,FALSE)</f>
        <v>31</v>
      </c>
      <c r="O74" t="s">
        <v>14</v>
      </c>
      <c r="P74" s="43">
        <v>7.3976092006211983E-2</v>
      </c>
      <c r="S74" s="12"/>
    </row>
    <row r="75" spans="2:28" x14ac:dyDescent="0.25">
      <c r="B75">
        <f>+'5% CO'!T33</f>
        <v>11</v>
      </c>
      <c r="C75" t="str">
        <f>+'5% CO'!U33</f>
        <v>Olefin</v>
      </c>
      <c r="D75" t="str">
        <f>+'5% CO'!R33</f>
        <v>Undecene-1</v>
      </c>
      <c r="E75">
        <f>+'10% CO'!Z33</f>
        <v>6.3372814718666015E-2</v>
      </c>
      <c r="F75" t="s">
        <v>243</v>
      </c>
      <c r="G75">
        <f>VLOOKUP(Tabella10[[#This Row],[Name]],Tabella278[],5,FALSE)</f>
        <v>32</v>
      </c>
      <c r="N75">
        <v>17</v>
      </c>
      <c r="O75" t="s">
        <v>28</v>
      </c>
      <c r="P75" s="43">
        <v>4.2476745441187872E-3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+'10% CO'!Z34</f>
        <v>9.8430910992689663E-2</v>
      </c>
      <c r="F76" t="s">
        <v>243</v>
      </c>
      <c r="G76">
        <f>VLOOKUP(Tabella10[[#This Row],[Name]],Tabella278[],5,FALSE)</f>
        <v>33</v>
      </c>
      <c r="O76" t="s">
        <v>14</v>
      </c>
      <c r="P76" s="43">
        <v>6.4368807330080421E-2</v>
      </c>
      <c r="S76" s="12"/>
    </row>
    <row r="77" spans="2:28" x14ac:dyDescent="0.25">
      <c r="B77">
        <f>+'5% CO'!T35</f>
        <v>11</v>
      </c>
      <c r="C77" t="str">
        <f>+'5% CO'!U35</f>
        <v>Aromatic</v>
      </c>
      <c r="D77" t="str">
        <f>+'5% CO'!R35</f>
        <v>1,2-Ethyl-i-propylbenzene</v>
      </c>
      <c r="E77">
        <f>+'10% CO'!Z35</f>
        <v>3.945513959332022E-2</v>
      </c>
      <c r="F77" t="s">
        <v>243</v>
      </c>
      <c r="G77">
        <f>VLOOKUP(Tabella10[[#This Row],[Name]],Tabella278[],5,FALSE)</f>
        <v>34</v>
      </c>
      <c r="N77">
        <v>18</v>
      </c>
      <c r="O77" t="s">
        <v>14</v>
      </c>
      <c r="P77" s="43">
        <v>5.9565164992014842E-2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+'10% CO'!Z36</f>
        <v>2.5579402749198845E-3</v>
      </c>
      <c r="F78" t="s">
        <v>243</v>
      </c>
      <c r="G78">
        <f>VLOOKUP(Tabella10[[#This Row],[Name]],Tabella278[],5,FALSE)</f>
        <v>35</v>
      </c>
      <c r="N78">
        <v>19</v>
      </c>
      <c r="O78" t="s">
        <v>14</v>
      </c>
      <c r="P78" s="43">
        <v>2.690039709316798E-2</v>
      </c>
    </row>
    <row r="79" spans="2:28" x14ac:dyDescent="0.25">
      <c r="B79">
        <f>+'5% CO'!T37</f>
        <v>12</v>
      </c>
      <c r="C79" t="str">
        <f>+'5% CO'!U37</f>
        <v>iso-paraffin</v>
      </c>
      <c r="D79" t="str">
        <f>+'5% CO'!R37</f>
        <v>I47 (C12)</v>
      </c>
      <c r="E79">
        <f>+'10% CO'!Z37</f>
        <v>6.9381796070089721E-2</v>
      </c>
      <c r="F79" t="s">
        <v>243</v>
      </c>
      <c r="G79">
        <f>VLOOKUP(Tabella10[[#This Row],[Name]],Tabella278[],5,FALSE)</f>
        <v>36</v>
      </c>
      <c r="N79">
        <v>20</v>
      </c>
      <c r="O79" t="s">
        <v>14</v>
      </c>
      <c r="P79" s="43">
        <v>2.1136026287489132E-2</v>
      </c>
    </row>
    <row r="80" spans="2:28" x14ac:dyDescent="0.25">
      <c r="B80">
        <f>+'5% CO'!T38</f>
        <v>12</v>
      </c>
      <c r="C80" t="str">
        <f>+'5% CO'!U38</f>
        <v>Olefin</v>
      </c>
      <c r="D80" t="str">
        <f>+'5% CO'!R38</f>
        <v>Dodecene-1</v>
      </c>
      <c r="E80">
        <f>+'10% CO'!Z38</f>
        <v>6.8149503674872864E-3</v>
      </c>
      <c r="F80" t="s">
        <v>243</v>
      </c>
      <c r="G80">
        <f>VLOOKUP(Tabella10[[#This Row],[Name]],Tabella278[],5,FALSE)</f>
        <v>37</v>
      </c>
      <c r="N80">
        <v>21</v>
      </c>
      <c r="O80" t="s">
        <v>14</v>
      </c>
      <c r="P80" s="43">
        <v>1.9214569352262848E-2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+'10% CO'!Z39</f>
        <v>6.2423700626390377E-3</v>
      </c>
      <c r="F81" t="s">
        <v>243</v>
      </c>
      <c r="G81">
        <f>VLOOKUP(Tabella10[[#This Row],[Name]],Tabella278[],5,FALSE)</f>
        <v>38</v>
      </c>
      <c r="N81">
        <v>22</v>
      </c>
      <c r="O81" t="s">
        <v>14</v>
      </c>
      <c r="P81" s="43">
        <v>1.7293112417036564E-2</v>
      </c>
    </row>
    <row r="82" spans="1:16" x14ac:dyDescent="0.25">
      <c r="B82">
        <f>+'5% CO'!T40</f>
        <v>12</v>
      </c>
      <c r="C82" t="str">
        <f>+'5% CO'!U40</f>
        <v>Aromatic</v>
      </c>
      <c r="D82" t="str">
        <f>+'5% CO'!R40</f>
        <v>1,3-Di-i-propylbenzene</v>
      </c>
      <c r="E82">
        <f>+'10% CO'!Z40</f>
        <v>2.4020366158280529E-2</v>
      </c>
      <c r="F82" t="s">
        <v>243</v>
      </c>
      <c r="G82">
        <f>VLOOKUP(Tabella10[[#This Row],[Name]],Tabella278[],5,FALSE)</f>
        <v>39</v>
      </c>
      <c r="N82">
        <v>23</v>
      </c>
      <c r="O82" t="s">
        <v>14</v>
      </c>
      <c r="P82" s="43">
        <v>1.5371655481810279E-2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+'10% CO'!Z41</f>
        <v>2.5062835735042286E-2</v>
      </c>
      <c r="F83" t="s">
        <v>243</v>
      </c>
      <c r="G83">
        <f>VLOOKUP(Tabella10[[#This Row],[Name]],Tabella278[],5,FALSE)</f>
        <v>40</v>
      </c>
      <c r="N83">
        <v>24</v>
      </c>
      <c r="O83" t="s">
        <v>14</v>
      </c>
      <c r="P83" s="43">
        <v>1.4410927014197135E-2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+'10% CO'!Z42</f>
        <v>2.1658472400781508E-3</v>
      </c>
      <c r="F84" t="s">
        <v>243</v>
      </c>
      <c r="G84">
        <f>VLOOKUP(Tabella10[[#This Row],[Name]],Tabella278[],5,FALSE)</f>
        <v>41</v>
      </c>
      <c r="N84">
        <v>25</v>
      </c>
      <c r="O84" t="s">
        <v>14</v>
      </c>
      <c r="P84" s="43">
        <v>1.248947007897085E-2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+'10% CO'!Z43</f>
        <v>5.7009082526194976E-3</v>
      </c>
      <c r="F85" t="s">
        <v>243</v>
      </c>
      <c r="G85">
        <f>VLOOKUP(Tabella10[[#This Row],[Name]],Tabella278[],5,FALSE)</f>
        <v>42</v>
      </c>
      <c r="N85">
        <v>26</v>
      </c>
      <c r="O85" t="s">
        <v>14</v>
      </c>
      <c r="P85" s="43">
        <v>1.0568013143744566E-2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+'10% CO'!Z44</f>
        <v>4.4966225027484596E-3</v>
      </c>
      <c r="F86" t="s">
        <v>243</v>
      </c>
      <c r="G86">
        <f>VLOOKUP(Tabella10[[#This Row],[Name]],Tabella278[],5,FALSE)</f>
        <v>43</v>
      </c>
      <c r="N86">
        <v>27</v>
      </c>
      <c r="O86" t="s">
        <v>14</v>
      </c>
      <c r="P86" s="43">
        <v>8.6465562085182822E-3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+'10% CO'!Z45</f>
        <v>1.1467165344379287E-2</v>
      </c>
      <c r="F87" t="s">
        <v>243</v>
      </c>
      <c r="G87">
        <f>VLOOKUP(Tabella10[[#This Row],[Name]],Tabella278[],5,FALSE)</f>
        <v>44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+'10% CO'!Z46</f>
        <v>4.2476745441187872E-3</v>
      </c>
      <c r="F88" t="s">
        <v>243</v>
      </c>
      <c r="G88">
        <f>VLOOKUP(Tabella10[[#This Row],[Name]],Tabella278[],5,FALSE)</f>
        <v>45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+'10%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+'10%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+'10%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+'10%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+'10%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+'10%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+'10%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+'10% CO'!AK11</f>
        <v>2.4018211690328556E-2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+'10% CO'!AK12</f>
        <v>2.9782582496007418E-2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+'10% CO'!AK13</f>
        <v>7.5897548941438242E-2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+'10% CO'!AK14</f>
        <v>8.7426290552795966E-2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+'10% CO'!AK15</f>
        <v>0.10087648909937995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+'10% CO'!AK16</f>
        <v>0.10471940296983252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+'10% CO'!AK17</f>
        <v>0.10279794603460621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+'10% CO'!AK18</f>
        <v>9.1269204423248526E-2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+'10% CO'!AK19</f>
        <v>7.3976092006211983E-2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+'10% CO'!AK20</f>
        <v>6.4368807330080421E-2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+'10% CO'!AK21</f>
        <v>5.9565164992014842E-2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+'10% CO'!AK22</f>
        <v>2.690039709316798E-2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+'10% CO'!AK23</f>
        <v>2.1136026287489132E-2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+'10% CO'!AK24</f>
        <v>1.9214569352262848E-2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+'10% CO'!AK25</f>
        <v>1.7293112417036564E-2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+'10% CO'!AK26</f>
        <v>1.5371655481810279E-2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+'10% CO'!AK27</f>
        <v>1.4410927014197135E-2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+'10% CO'!AK28</f>
        <v>1.248947007897085E-2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+'10% CO'!AK29</f>
        <v>1.0568013143744566E-2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+'10% CO'!AK30</f>
        <v>8.6465562085182822E-3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+'10%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+'10%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+'10%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+'10%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+'10%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+'10%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+'10%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+'10%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+'10%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+'10%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+'10%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+'10%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1:BX75"/>
  <sheetViews>
    <sheetView topLeftCell="AE1" zoomScaleNormal="125" workbookViewId="0">
      <selection activeCell="AP2" sqref="AP2"/>
    </sheetView>
  </sheetViews>
  <sheetFormatPr defaultColWidth="11" defaultRowHeight="15.75" x14ac:dyDescent="0.25"/>
  <cols>
    <col min="5" max="5" width="13.875" customWidth="1"/>
    <col min="6" max="6" width="0.875" customWidth="1"/>
    <col min="7" max="7" width="16.375" hidden="1" customWidth="1"/>
    <col min="8" max="8" width="0.625" customWidth="1"/>
    <col min="13" max="13" width="5.125" style="19" customWidth="1"/>
    <col min="14" max="14" width="4.875" style="19" bestFit="1" customWidth="1"/>
    <col min="15" max="15" width="2.125" style="19" bestFit="1" customWidth="1"/>
    <col min="16" max="16" width="4.875" style="19" bestFit="1" customWidth="1"/>
    <col min="17" max="17" width="3.5" style="19" bestFit="1" customWidth="1"/>
    <col min="18" max="18" width="2.125" style="19" bestFit="1" customWidth="1"/>
    <col min="19" max="19" width="2.375" style="19" bestFit="1" customWidth="1"/>
    <col min="20" max="20" width="7.875" style="19" bestFit="1" customWidth="1"/>
    <col min="21" max="21" width="2.125" style="19" bestFit="1" customWidth="1"/>
    <col min="22" max="23" width="4.875" style="19" bestFit="1" customWidth="1"/>
    <col min="24" max="24" width="8.125" customWidth="1"/>
    <col min="26" max="26" width="5.125" style="19" customWidth="1"/>
    <col min="27" max="27" width="4.875" style="19" bestFit="1" customWidth="1"/>
    <col min="28" max="28" width="2.125" style="19" bestFit="1" customWidth="1"/>
    <col min="29" max="29" width="4.875" style="19" bestFit="1" customWidth="1"/>
    <col min="30" max="30" width="3.5" style="19" bestFit="1" customWidth="1"/>
    <col min="31" max="31" width="2.125" style="19" bestFit="1" customWidth="1"/>
    <col min="32" max="32" width="2.375" style="19" bestFit="1" customWidth="1"/>
    <col min="33" max="33" width="7.875" style="19" bestFit="1" customWidth="1"/>
    <col min="34" max="34" width="2.125" style="19" bestFit="1" customWidth="1"/>
    <col min="35" max="36" width="4.875" style="19" bestFit="1" customWidth="1"/>
    <col min="50" max="50" width="5.125" style="19" customWidth="1"/>
    <col min="51" max="51" width="4.875" style="19" bestFit="1" customWidth="1"/>
    <col min="52" max="52" width="2.125" style="19" bestFit="1" customWidth="1"/>
    <col min="53" max="53" width="4.875" style="19" bestFit="1" customWidth="1"/>
    <col min="54" max="54" width="3.5" style="19" bestFit="1" customWidth="1"/>
    <col min="55" max="55" width="2.125" style="19" bestFit="1" customWidth="1"/>
    <col min="56" max="56" width="2.375" style="19" bestFit="1" customWidth="1"/>
    <col min="57" max="57" width="7.875" style="19" bestFit="1" customWidth="1"/>
    <col min="58" max="58" width="2.125" style="19" bestFit="1" customWidth="1"/>
    <col min="59" max="60" width="4.875" style="19" bestFit="1" customWidth="1"/>
    <col min="61" max="61" width="8.125" customWidth="1"/>
    <col min="63" max="63" width="5.125" style="19" customWidth="1"/>
    <col min="64" max="64" width="4.875" style="19" bestFit="1" customWidth="1"/>
    <col min="65" max="65" width="2.125" style="19" bestFit="1" customWidth="1"/>
    <col min="66" max="66" width="4.875" style="19" bestFit="1" customWidth="1"/>
    <col min="67" max="67" width="3.5" style="19" bestFit="1" customWidth="1"/>
    <col min="68" max="68" width="2.125" style="19" bestFit="1" customWidth="1"/>
    <col min="69" max="69" width="2.375" style="19" bestFit="1" customWidth="1"/>
    <col min="70" max="70" width="7.875" style="19" bestFit="1" customWidth="1"/>
    <col min="71" max="71" width="2.125" style="19" bestFit="1" customWidth="1"/>
    <col min="72" max="73" width="4.875" style="19" bestFit="1" customWidth="1"/>
  </cols>
  <sheetData>
    <row r="1" spans="5:76" ht="39.950000000000003" customHeight="1" x14ac:dyDescent="0.25">
      <c r="E1" s="27" t="s">
        <v>347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P1" s="27" t="s">
        <v>348</v>
      </c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</row>
    <row r="3" spans="5:76" x14ac:dyDescent="0.25">
      <c r="L3" s="9">
        <f>SUM(L6:L73)</f>
        <v>0.23140786185419146</v>
      </c>
      <c r="Y3" s="9">
        <f>SUM(Y6:Y73)</f>
        <v>0.74541938996819401</v>
      </c>
      <c r="AW3" s="9">
        <f>SUM(AW6:AW73)</f>
        <v>0.13749513180663697</v>
      </c>
      <c r="BJ3" s="9">
        <f>SUM(BJ6:BJ73)</f>
        <v>0.89494938979157468</v>
      </c>
    </row>
    <row r="5" spans="5:76" x14ac:dyDescent="0.25">
      <c r="E5" t="s">
        <v>349</v>
      </c>
      <c r="F5" t="s">
        <v>122</v>
      </c>
      <c r="G5" t="s">
        <v>119</v>
      </c>
      <c r="H5" t="s">
        <v>350</v>
      </c>
      <c r="I5" t="s">
        <v>351</v>
      </c>
      <c r="J5" t="s">
        <v>24</v>
      </c>
      <c r="L5" t="s">
        <v>352</v>
      </c>
      <c r="Y5" t="s">
        <v>353</v>
      </c>
      <c r="AP5" t="s">
        <v>349</v>
      </c>
      <c r="AQ5" t="s">
        <v>122</v>
      </c>
      <c r="AR5" t="s">
        <v>119</v>
      </c>
      <c r="AS5" t="s">
        <v>350</v>
      </c>
      <c r="AT5" t="s">
        <v>351</v>
      </c>
      <c r="AU5" t="s">
        <v>24</v>
      </c>
      <c r="AW5" t="s">
        <v>352</v>
      </c>
      <c r="BJ5" t="s">
        <v>353</v>
      </c>
    </row>
    <row r="6" spans="5:76" x14ac:dyDescent="0.25">
      <c r="E6">
        <f>+'5% CO Elab'!R6</f>
        <v>1</v>
      </c>
      <c r="F6">
        <f>+'5% CO Elab'!S6</f>
        <v>1</v>
      </c>
      <c r="G6" t="str">
        <f>+'5% CO Elab'!T6</f>
        <v>METHANE</v>
      </c>
      <c r="H6" t="str">
        <f>+'5% CO Elab'!U6</f>
        <v>CH4</v>
      </c>
      <c r="I6" t="str">
        <f>+'5% CO Elab'!V6</f>
        <v>CH4</v>
      </c>
      <c r="J6">
        <f>+'5% CO Elab'!W6</f>
        <v>11.284207492384301</v>
      </c>
      <c r="L6">
        <f>+'5% CO Elab'!AB6</f>
        <v>3.3720696605982724E-2</v>
      </c>
      <c r="M6" s="20">
        <v>1</v>
      </c>
      <c r="N6" s="20" t="s">
        <v>354</v>
      </c>
      <c r="O6" s="20" t="s">
        <v>355</v>
      </c>
      <c r="P6" s="20">
        <v>4</v>
      </c>
      <c r="Q6" s="20" t="s">
        <v>356</v>
      </c>
      <c r="R6" s="20" t="s">
        <v>357</v>
      </c>
      <c r="S6" s="20">
        <v>1</v>
      </c>
      <c r="T6" s="20" t="s">
        <v>133</v>
      </c>
      <c r="U6" s="20" t="s">
        <v>355</v>
      </c>
      <c r="V6" s="20">
        <v>2</v>
      </c>
      <c r="W6" s="20" t="s">
        <v>358</v>
      </c>
      <c r="X6" s="1"/>
      <c r="Y6">
        <f>+'5% CO Elab'!AA6</f>
        <v>0.10862232982029044</v>
      </c>
      <c r="Z6" s="20">
        <f t="shared" ref="Z6:Z37" si="0">M6</f>
        <v>1</v>
      </c>
      <c r="AA6" s="20" t="s">
        <v>29</v>
      </c>
      <c r="AB6" s="20" t="str">
        <f t="shared" ref="AB6:AB37" si="1">O6</f>
        <v>+</v>
      </c>
      <c r="AC6" s="20">
        <f t="shared" ref="AC6:AC37" si="2">+P6-Z6</f>
        <v>3</v>
      </c>
      <c r="AD6" s="20" t="str">
        <f t="shared" ref="AD6:AD37" si="3">Q6</f>
        <v>H2</v>
      </c>
      <c r="AE6" s="20" t="str">
        <f t="shared" ref="AE6:AE37" si="4">R6</f>
        <v>=</v>
      </c>
      <c r="AF6" s="20">
        <f t="shared" ref="AF6:AF37" si="5">S6</f>
        <v>1</v>
      </c>
      <c r="AG6" s="20" t="str">
        <f t="shared" ref="AG6:AG37" si="6">T6</f>
        <v>CH4</v>
      </c>
      <c r="AH6" s="20" t="str">
        <f t="shared" ref="AH6:AH37" si="7">U6</f>
        <v>+</v>
      </c>
      <c r="AI6" s="20">
        <f>+Z6</f>
        <v>1</v>
      </c>
      <c r="AJ6" s="20" t="str">
        <f t="shared" ref="AJ6:AJ37" si="8">+W6</f>
        <v>H2O</v>
      </c>
      <c r="AL6">
        <f t="shared" ref="AL6:AL37" si="9">+V6*L6</f>
        <v>6.7441393211965447E-2</v>
      </c>
      <c r="AM6">
        <f t="shared" ref="AM6:AM37" si="10">+AI6*Y6</f>
        <v>0.10862232982029044</v>
      </c>
      <c r="AP6">
        <f>+'10% CO Elab'!S6</f>
        <v>1</v>
      </c>
      <c r="AQ6" t="str">
        <f>+'10% CO Elab'!T6</f>
        <v>METHANE</v>
      </c>
      <c r="AR6" t="str">
        <f>+'10% CO Elab'!U6</f>
        <v>CH4</v>
      </c>
      <c r="AS6" t="str">
        <f>+'10% CO Elab'!V6</f>
        <v>CH4</v>
      </c>
      <c r="AT6">
        <f>+'10% CO Elab'!W6</f>
        <v>12.78041501570276</v>
      </c>
      <c r="AU6">
        <f>+'10% CO Elab'!X6</f>
        <v>12.78041501570276</v>
      </c>
      <c r="AW6">
        <f>+'10% CO Elab'!AB6</f>
        <v>1.8953812956013037E-2</v>
      </c>
      <c r="AX6" s="20">
        <v>1</v>
      </c>
      <c r="AY6" s="20" t="s">
        <v>354</v>
      </c>
      <c r="AZ6" s="20" t="s">
        <v>355</v>
      </c>
      <c r="BA6" s="20">
        <v>4</v>
      </c>
      <c r="BB6" s="20" t="s">
        <v>356</v>
      </c>
      <c r="BC6" s="20" t="s">
        <v>357</v>
      </c>
      <c r="BD6" s="20">
        <v>1</v>
      </c>
      <c r="BE6" s="20" t="s">
        <v>133</v>
      </c>
      <c r="BF6" s="20" t="s">
        <v>355</v>
      </c>
      <c r="BG6" s="20">
        <v>2</v>
      </c>
      <c r="BH6" s="20" t="s">
        <v>358</v>
      </c>
      <c r="BI6" s="1"/>
      <c r="BJ6">
        <f>+'10% CO Elab'!AA6</f>
        <v>0.12336948309604594</v>
      </c>
      <c r="BK6" s="20">
        <f t="shared" ref="BK6:BK37" si="11">AX6</f>
        <v>1</v>
      </c>
      <c r="BL6" s="20" t="s">
        <v>29</v>
      </c>
      <c r="BM6" s="20" t="str">
        <f t="shared" ref="BM6:BM37" si="12">AZ6</f>
        <v>+</v>
      </c>
      <c r="BN6" s="20">
        <f t="shared" ref="BN6:BN37" si="13">+BA6-BK6</f>
        <v>3</v>
      </c>
      <c r="BO6" s="20" t="str">
        <f t="shared" ref="BO6:BO37" si="14">BB6</f>
        <v>H2</v>
      </c>
      <c r="BP6" s="20" t="str">
        <f t="shared" ref="BP6:BP37" si="15">BC6</f>
        <v>=</v>
      </c>
      <c r="BQ6" s="20">
        <f t="shared" ref="BQ6:BQ37" si="16">BD6</f>
        <v>1</v>
      </c>
      <c r="BR6" s="20" t="str">
        <f t="shared" ref="BR6:BR37" si="17">BE6</f>
        <v>CH4</v>
      </c>
      <c r="BS6" s="20" t="str">
        <f t="shared" ref="BS6:BS37" si="18">BF6</f>
        <v>+</v>
      </c>
      <c r="BT6" s="20">
        <f>+BK6</f>
        <v>1</v>
      </c>
      <c r="BU6" s="20" t="str">
        <f t="shared" ref="BU6:BU37" si="19">+BH6</f>
        <v>H2O</v>
      </c>
      <c r="BW6">
        <f t="shared" ref="BW6:BW37" si="20">+BG6*AW6</f>
        <v>3.7907625912026073E-2</v>
      </c>
      <c r="BX6">
        <f t="shared" ref="BX6:BX37" si="21">+BT6*BJ6</f>
        <v>0.12336948309604594</v>
      </c>
    </row>
    <row r="7" spans="5:76" x14ac:dyDescent="0.25">
      <c r="E7">
        <f>+'5% CO Elab'!R7</f>
        <v>2</v>
      </c>
      <c r="F7">
        <f>+'5% CO Elab'!S7</f>
        <v>1</v>
      </c>
      <c r="G7" t="str">
        <f>+'5% CO Elab'!T7</f>
        <v>METHANOL</v>
      </c>
      <c r="H7" t="str">
        <f>+'5% CO Elab'!U7</f>
        <v>CH4O</v>
      </c>
      <c r="I7" t="str">
        <f>+'5% CO Elab'!V7</f>
        <v>MEOH</v>
      </c>
      <c r="J7">
        <f>+'5% CO Elab'!W7</f>
        <v>0.64499028268648395</v>
      </c>
      <c r="L7">
        <f>+'5% CO Elab'!AB7</f>
        <v>1.9274301408368007E-3</v>
      </c>
      <c r="M7" s="20">
        <v>1</v>
      </c>
      <c r="N7" s="20" t="s">
        <v>354</v>
      </c>
      <c r="O7" s="20" t="s">
        <v>355</v>
      </c>
      <c r="P7" s="20">
        <v>3</v>
      </c>
      <c r="Q7" s="20" t="s">
        <v>356</v>
      </c>
      <c r="R7" s="20" t="s">
        <v>357</v>
      </c>
      <c r="S7" s="20">
        <v>1</v>
      </c>
      <c r="T7" s="20" t="s">
        <v>135</v>
      </c>
      <c r="U7" s="20" t="s">
        <v>355</v>
      </c>
      <c r="V7" s="20">
        <v>1</v>
      </c>
      <c r="W7" s="20" t="s">
        <v>358</v>
      </c>
      <c r="X7" s="1"/>
      <c r="Y7">
        <f>+'5% CO Elab'!AA7</f>
        <v>6.2087078125900533E-3</v>
      </c>
      <c r="Z7" s="20">
        <f t="shared" si="0"/>
        <v>1</v>
      </c>
      <c r="AA7" s="20" t="s">
        <v>29</v>
      </c>
      <c r="AB7" s="20" t="str">
        <f t="shared" si="1"/>
        <v>+</v>
      </c>
      <c r="AC7" s="20">
        <f t="shared" si="2"/>
        <v>2</v>
      </c>
      <c r="AD7" s="20" t="str">
        <f t="shared" si="3"/>
        <v>H2</v>
      </c>
      <c r="AE7" s="20" t="str">
        <f t="shared" si="4"/>
        <v>=</v>
      </c>
      <c r="AF7" s="20">
        <f t="shared" si="5"/>
        <v>1</v>
      </c>
      <c r="AG7" s="20" t="str">
        <f t="shared" si="6"/>
        <v>CH4O</v>
      </c>
      <c r="AH7" s="20" t="str">
        <f t="shared" si="7"/>
        <v>+</v>
      </c>
      <c r="AI7" s="20">
        <v>0</v>
      </c>
      <c r="AJ7" s="20" t="str">
        <f t="shared" si="8"/>
        <v>H2O</v>
      </c>
      <c r="AL7">
        <f t="shared" si="9"/>
        <v>1.9274301408368007E-3</v>
      </c>
      <c r="AM7">
        <f t="shared" si="10"/>
        <v>0</v>
      </c>
      <c r="AP7">
        <f>+'10% CO Elab'!S7</f>
        <v>1</v>
      </c>
      <c r="AQ7" t="str">
        <f>+'10% CO Elab'!T7</f>
        <v>METHANOL</v>
      </c>
      <c r="AR7" t="str">
        <f>+'10% CO Elab'!U7</f>
        <v>CH4O</v>
      </c>
      <c r="AS7" t="str">
        <f>+'10% CO Elab'!V7</f>
        <v>MEOH</v>
      </c>
      <c r="AT7">
        <f>+'10% CO Elab'!W7</f>
        <v>0.93023540589214981</v>
      </c>
      <c r="AU7">
        <f>+'10% CO Elab'!X7</f>
        <v>0.93023540589214981</v>
      </c>
      <c r="AW7">
        <f>+'10% CO Elab'!AB7</f>
        <v>1.3795724056439155E-3</v>
      </c>
      <c r="AX7" s="20">
        <v>1</v>
      </c>
      <c r="AY7" s="20" t="s">
        <v>354</v>
      </c>
      <c r="AZ7" s="20" t="s">
        <v>355</v>
      </c>
      <c r="BA7" s="20">
        <v>3</v>
      </c>
      <c r="BB7" s="20" t="s">
        <v>356</v>
      </c>
      <c r="BC7" s="20" t="s">
        <v>357</v>
      </c>
      <c r="BD7" s="20">
        <v>1</v>
      </c>
      <c r="BE7" s="20" t="s">
        <v>135</v>
      </c>
      <c r="BF7" s="20" t="s">
        <v>355</v>
      </c>
      <c r="BG7" s="20">
        <v>1</v>
      </c>
      <c r="BH7" s="20" t="s">
        <v>358</v>
      </c>
      <c r="BI7" s="1"/>
      <c r="BJ7">
        <f>+'10% CO Elab'!AA7</f>
        <v>8.9795723410821121E-3</v>
      </c>
      <c r="BK7" s="20">
        <f t="shared" si="11"/>
        <v>1</v>
      </c>
      <c r="BL7" s="20" t="s">
        <v>29</v>
      </c>
      <c r="BM7" s="20" t="str">
        <f t="shared" si="12"/>
        <v>+</v>
      </c>
      <c r="BN7" s="20">
        <f t="shared" si="13"/>
        <v>2</v>
      </c>
      <c r="BO7" s="20" t="str">
        <f t="shared" si="14"/>
        <v>H2</v>
      </c>
      <c r="BP7" s="20" t="str">
        <f t="shared" si="15"/>
        <v>=</v>
      </c>
      <c r="BQ7" s="20">
        <f t="shared" si="16"/>
        <v>1</v>
      </c>
      <c r="BR7" s="20" t="str">
        <f t="shared" si="17"/>
        <v>CH4O</v>
      </c>
      <c r="BS7" s="20" t="str">
        <f t="shared" si="18"/>
        <v>+</v>
      </c>
      <c r="BT7" s="20">
        <v>0</v>
      </c>
      <c r="BU7" s="20" t="str">
        <f t="shared" si="19"/>
        <v>H2O</v>
      </c>
      <c r="BW7">
        <f t="shared" si="20"/>
        <v>1.3795724056439155E-3</v>
      </c>
      <c r="BX7">
        <f t="shared" si="21"/>
        <v>0</v>
      </c>
    </row>
    <row r="8" spans="5:76" x14ac:dyDescent="0.25">
      <c r="E8">
        <f>+'5% CO Elab'!R8</f>
        <v>3</v>
      </c>
      <c r="F8">
        <f>+'5% CO Elab'!S8</f>
        <v>2</v>
      </c>
      <c r="G8" t="str">
        <f>+'5% CO Elab'!T8</f>
        <v>ETHANE</v>
      </c>
      <c r="H8" t="str">
        <f>+'5% CO Elab'!U8</f>
        <v>C2H6</v>
      </c>
      <c r="I8" t="str">
        <f>+'5% CO Elab'!V8</f>
        <v>C2</v>
      </c>
      <c r="J8">
        <f>+'5% CO Elab'!W8</f>
        <v>0.75254127723175746</v>
      </c>
      <c r="L8">
        <f>+'5% CO Elab'!AB8</f>
        <v>4.4976514496276685E-3</v>
      </c>
      <c r="M8" s="20">
        <v>2</v>
      </c>
      <c r="N8" s="20" t="s">
        <v>354</v>
      </c>
      <c r="O8" s="20" t="s">
        <v>355</v>
      </c>
      <c r="P8" s="20">
        <v>7</v>
      </c>
      <c r="Q8" s="20" t="s">
        <v>356</v>
      </c>
      <c r="R8" s="20" t="s">
        <v>357</v>
      </c>
      <c r="S8" s="20">
        <v>1</v>
      </c>
      <c r="T8" s="20" t="s">
        <v>138</v>
      </c>
      <c r="U8" s="20" t="s">
        <v>355</v>
      </c>
      <c r="V8" s="20">
        <v>4</v>
      </c>
      <c r="W8" s="20" t="s">
        <v>358</v>
      </c>
      <c r="X8" s="1"/>
      <c r="Y8">
        <f>+'5% CO Elab'!AA8</f>
        <v>1.4487997827763924E-2</v>
      </c>
      <c r="Z8" s="20">
        <f t="shared" si="0"/>
        <v>2</v>
      </c>
      <c r="AA8" s="20" t="s">
        <v>29</v>
      </c>
      <c r="AB8" s="20" t="str">
        <f t="shared" si="1"/>
        <v>+</v>
      </c>
      <c r="AC8" s="20">
        <f t="shared" si="2"/>
        <v>5</v>
      </c>
      <c r="AD8" s="20" t="str">
        <f t="shared" si="3"/>
        <v>H2</v>
      </c>
      <c r="AE8" s="20" t="str">
        <f t="shared" si="4"/>
        <v>=</v>
      </c>
      <c r="AF8" s="20">
        <f t="shared" si="5"/>
        <v>1</v>
      </c>
      <c r="AG8" s="20" t="str">
        <f t="shared" si="6"/>
        <v>C2H6</v>
      </c>
      <c r="AH8" s="20" t="str">
        <f t="shared" si="7"/>
        <v>+</v>
      </c>
      <c r="AI8" s="20">
        <f t="shared" ref="AI8:AI39" si="22">+Z8</f>
        <v>2</v>
      </c>
      <c r="AJ8" s="20" t="str">
        <f t="shared" si="8"/>
        <v>H2O</v>
      </c>
      <c r="AL8">
        <f t="shared" si="9"/>
        <v>1.7990605798510674E-2</v>
      </c>
      <c r="AM8">
        <f t="shared" si="10"/>
        <v>2.8975995655527848E-2</v>
      </c>
      <c r="AP8">
        <f>+'10% CO Elab'!S8</f>
        <v>2</v>
      </c>
      <c r="AQ8" t="str">
        <f>+'10% CO Elab'!T8</f>
        <v>ETHANE</v>
      </c>
      <c r="AR8" t="str">
        <f>+'10% CO Elab'!U8</f>
        <v>C2H6</v>
      </c>
      <c r="AS8" t="str">
        <f>+'10% CO Elab'!V8</f>
        <v>C2</v>
      </c>
      <c r="AT8">
        <f>+'10% CO Elab'!W8</f>
        <v>0.85144978553306505</v>
      </c>
      <c r="AU8">
        <f>+'10% CO Elab'!X8</f>
        <v>1.7028995710661301</v>
      </c>
      <c r="AW8">
        <f>+'10% CO Elab'!AB8</f>
        <v>2.525461020882777E-3</v>
      </c>
      <c r="AX8" s="20">
        <v>2</v>
      </c>
      <c r="AY8" s="20" t="s">
        <v>354</v>
      </c>
      <c r="AZ8" s="20" t="s">
        <v>355</v>
      </c>
      <c r="BA8" s="20">
        <v>7</v>
      </c>
      <c r="BB8" s="20" t="s">
        <v>356</v>
      </c>
      <c r="BC8" s="20" t="s">
        <v>357</v>
      </c>
      <c r="BD8" s="20">
        <v>1</v>
      </c>
      <c r="BE8" s="20" t="s">
        <v>138</v>
      </c>
      <c r="BF8" s="20" t="s">
        <v>355</v>
      </c>
      <c r="BG8" s="20">
        <v>4</v>
      </c>
      <c r="BH8" s="20" t="s">
        <v>358</v>
      </c>
      <c r="BI8" s="1"/>
      <c r="BJ8">
        <f>+'10% CO Elab'!AA8</f>
        <v>1.6438107807045636E-2</v>
      </c>
      <c r="BK8" s="20">
        <f t="shared" si="11"/>
        <v>2</v>
      </c>
      <c r="BL8" s="20" t="s">
        <v>29</v>
      </c>
      <c r="BM8" s="20" t="str">
        <f t="shared" si="12"/>
        <v>+</v>
      </c>
      <c r="BN8" s="20">
        <f t="shared" si="13"/>
        <v>5</v>
      </c>
      <c r="BO8" s="20" t="str">
        <f t="shared" si="14"/>
        <v>H2</v>
      </c>
      <c r="BP8" s="20" t="str">
        <f t="shared" si="15"/>
        <v>=</v>
      </c>
      <c r="BQ8" s="20">
        <f t="shared" si="16"/>
        <v>1</v>
      </c>
      <c r="BR8" s="20" t="str">
        <f t="shared" si="17"/>
        <v>C2H6</v>
      </c>
      <c r="BS8" s="20" t="str">
        <f t="shared" si="18"/>
        <v>+</v>
      </c>
      <c r="BT8" s="20">
        <f t="shared" ref="BT8:BT39" si="23">+BK8</f>
        <v>2</v>
      </c>
      <c r="BU8" s="20" t="str">
        <f t="shared" si="19"/>
        <v>H2O</v>
      </c>
      <c r="BW8">
        <f t="shared" si="20"/>
        <v>1.0101844083531108E-2</v>
      </c>
      <c r="BX8">
        <f t="shared" si="21"/>
        <v>3.2876215614091271E-2</v>
      </c>
    </row>
    <row r="9" spans="5:76" x14ac:dyDescent="0.25">
      <c r="E9">
        <f>+'5% CO Elab'!R9</f>
        <v>4</v>
      </c>
      <c r="F9">
        <f>+'5% CO Elab'!S9</f>
        <v>2</v>
      </c>
      <c r="G9" t="str">
        <f>+'5% CO Elab'!T9</f>
        <v>ETHYLENE</v>
      </c>
      <c r="H9" t="str">
        <f>+'5% CO Elab'!U9</f>
        <v>C2H4</v>
      </c>
      <c r="I9" t="str">
        <f>+'5% CO Elab'!V9</f>
        <v>C2-O</v>
      </c>
      <c r="J9">
        <f>+'5% CO Elab'!W9</f>
        <v>2.9665605763140062</v>
      </c>
      <c r="L9">
        <f>+'5% CO Elab'!AB9</f>
        <v>1.7729998181027249E-2</v>
      </c>
      <c r="M9" s="20">
        <v>2</v>
      </c>
      <c r="N9" s="20" t="s">
        <v>354</v>
      </c>
      <c r="O9" s="20" t="s">
        <v>355</v>
      </c>
      <c r="P9" s="20">
        <v>6</v>
      </c>
      <c r="Q9" s="20" t="s">
        <v>356</v>
      </c>
      <c r="R9" s="20" t="s">
        <v>357</v>
      </c>
      <c r="S9" s="20">
        <v>1</v>
      </c>
      <c r="T9" s="20" t="s">
        <v>141</v>
      </c>
      <c r="U9" s="20" t="s">
        <v>355</v>
      </c>
      <c r="V9" s="20">
        <v>4</v>
      </c>
      <c r="W9" s="20" t="s">
        <v>358</v>
      </c>
      <c r="X9" s="1"/>
      <c r="Y9">
        <f>+'5% CO Elab'!AA9</f>
        <v>5.711251261016366E-2</v>
      </c>
      <c r="Z9" s="20">
        <f t="shared" si="0"/>
        <v>2</v>
      </c>
      <c r="AA9" s="20" t="s">
        <v>29</v>
      </c>
      <c r="AB9" s="20" t="str">
        <f t="shared" si="1"/>
        <v>+</v>
      </c>
      <c r="AC9" s="20">
        <f t="shared" si="2"/>
        <v>4</v>
      </c>
      <c r="AD9" s="20" t="str">
        <f t="shared" si="3"/>
        <v>H2</v>
      </c>
      <c r="AE9" s="20" t="str">
        <f t="shared" si="4"/>
        <v>=</v>
      </c>
      <c r="AF9" s="20">
        <f t="shared" si="5"/>
        <v>1</v>
      </c>
      <c r="AG9" s="20" t="str">
        <f t="shared" si="6"/>
        <v>C2H4</v>
      </c>
      <c r="AH9" s="20" t="str">
        <f t="shared" si="7"/>
        <v>+</v>
      </c>
      <c r="AI9" s="20">
        <f t="shared" si="22"/>
        <v>2</v>
      </c>
      <c r="AJ9" s="20" t="str">
        <f t="shared" si="8"/>
        <v>H2O</v>
      </c>
      <c r="AL9">
        <f t="shared" si="9"/>
        <v>7.0919992724108996E-2</v>
      </c>
      <c r="AM9">
        <f t="shared" si="10"/>
        <v>0.11422502522032732</v>
      </c>
      <c r="AP9">
        <f>+'10% CO Elab'!S9</f>
        <v>2</v>
      </c>
      <c r="AQ9" t="str">
        <f>+'10% CO Elab'!T9</f>
        <v>ETHYLENE</v>
      </c>
      <c r="AR9" t="str">
        <f>+'10% CO Elab'!U9</f>
        <v>C2H4</v>
      </c>
      <c r="AS9" t="str">
        <f>+'10% CO Elab'!V9</f>
        <v>C2-O</v>
      </c>
      <c r="AT9">
        <f>+'10% CO Elab'!W9</f>
        <v>3.7332760249047356</v>
      </c>
      <c r="AU9">
        <f>+'10% CO Elab'!X9</f>
        <v>7.4665520498094713</v>
      </c>
      <c r="AW9">
        <f>+'10% CO Elab'!AB9</f>
        <v>1.1073163962558743E-2</v>
      </c>
      <c r="AX9" s="20">
        <v>2</v>
      </c>
      <c r="AY9" s="20" t="s">
        <v>354</v>
      </c>
      <c r="AZ9" s="20" t="s">
        <v>355</v>
      </c>
      <c r="BA9" s="20">
        <v>6</v>
      </c>
      <c r="BB9" s="20" t="s">
        <v>356</v>
      </c>
      <c r="BC9" s="20" t="s">
        <v>357</v>
      </c>
      <c r="BD9" s="20">
        <v>1</v>
      </c>
      <c r="BE9" s="20" t="s">
        <v>141</v>
      </c>
      <c r="BF9" s="20" t="s">
        <v>355</v>
      </c>
      <c r="BG9" s="20">
        <v>4</v>
      </c>
      <c r="BH9" s="20" t="s">
        <v>358</v>
      </c>
      <c r="BI9" s="1"/>
      <c r="BJ9">
        <f>+'10% CO Elab'!AA9</f>
        <v>7.207470694519269E-2</v>
      </c>
      <c r="BK9" s="20">
        <f t="shared" si="11"/>
        <v>2</v>
      </c>
      <c r="BL9" s="20" t="s">
        <v>29</v>
      </c>
      <c r="BM9" s="20" t="str">
        <f t="shared" si="12"/>
        <v>+</v>
      </c>
      <c r="BN9" s="20">
        <f t="shared" si="13"/>
        <v>4</v>
      </c>
      <c r="BO9" s="20" t="str">
        <f t="shared" si="14"/>
        <v>H2</v>
      </c>
      <c r="BP9" s="20" t="str">
        <f t="shared" si="15"/>
        <v>=</v>
      </c>
      <c r="BQ9" s="20">
        <f t="shared" si="16"/>
        <v>1</v>
      </c>
      <c r="BR9" s="20" t="str">
        <f t="shared" si="17"/>
        <v>C2H4</v>
      </c>
      <c r="BS9" s="20" t="str">
        <f t="shared" si="18"/>
        <v>+</v>
      </c>
      <c r="BT9" s="20">
        <f t="shared" si="23"/>
        <v>2</v>
      </c>
      <c r="BU9" s="20" t="str">
        <f t="shared" si="19"/>
        <v>H2O</v>
      </c>
      <c r="BW9">
        <f t="shared" si="20"/>
        <v>4.4292655850234973E-2</v>
      </c>
      <c r="BX9">
        <f t="shared" si="21"/>
        <v>0.14414941389038538</v>
      </c>
    </row>
    <row r="10" spans="5:76" x14ac:dyDescent="0.25">
      <c r="E10">
        <f>+'5% CO Elab'!R10</f>
        <v>5</v>
      </c>
      <c r="F10">
        <f>+'5% CO Elab'!S10</f>
        <v>3</v>
      </c>
      <c r="G10" t="str">
        <f>+'5% CO Elab'!T10</f>
        <v>PROPANE</v>
      </c>
      <c r="H10" t="str">
        <f>+'5% CO Elab'!U10</f>
        <v>C3H8</v>
      </c>
      <c r="I10" t="str">
        <f>+'5% CO Elab'!V10</f>
        <v>C3</v>
      </c>
      <c r="J10">
        <f>+'5% CO Elab'!W10</f>
        <v>0.32611293825283549</v>
      </c>
      <c r="L10">
        <f>+'5% CO Elab'!AB10</f>
        <v>2.9235784943332016E-3</v>
      </c>
      <c r="M10" s="20">
        <v>3</v>
      </c>
      <c r="N10" s="20" t="s">
        <v>354</v>
      </c>
      <c r="O10" s="20" t="s">
        <v>355</v>
      </c>
      <c r="P10" s="20">
        <v>10</v>
      </c>
      <c r="Q10" s="20" t="s">
        <v>356</v>
      </c>
      <c r="R10" s="20" t="s">
        <v>357</v>
      </c>
      <c r="S10" s="20">
        <v>1</v>
      </c>
      <c r="T10" s="20" t="s">
        <v>144</v>
      </c>
      <c r="U10" s="20" t="s">
        <v>355</v>
      </c>
      <c r="V10" s="20">
        <v>6</v>
      </c>
      <c r="W10" s="20" t="s">
        <v>358</v>
      </c>
      <c r="X10" s="1"/>
      <c r="Y10">
        <f>+'5% CO Elab'!AA10</f>
        <v>9.417536985597939E-3</v>
      </c>
      <c r="Z10" s="20">
        <f t="shared" si="0"/>
        <v>3</v>
      </c>
      <c r="AA10" s="20" t="s">
        <v>29</v>
      </c>
      <c r="AB10" s="20" t="str">
        <f t="shared" si="1"/>
        <v>+</v>
      </c>
      <c r="AC10" s="20">
        <f t="shared" si="2"/>
        <v>7</v>
      </c>
      <c r="AD10" s="20" t="str">
        <f t="shared" si="3"/>
        <v>H2</v>
      </c>
      <c r="AE10" s="20" t="str">
        <f t="shared" si="4"/>
        <v>=</v>
      </c>
      <c r="AF10" s="20">
        <f t="shared" si="5"/>
        <v>1</v>
      </c>
      <c r="AG10" s="20" t="str">
        <f t="shared" si="6"/>
        <v>C3H8</v>
      </c>
      <c r="AH10" s="20" t="str">
        <f t="shared" si="7"/>
        <v>+</v>
      </c>
      <c r="AI10" s="20">
        <f t="shared" si="22"/>
        <v>3</v>
      </c>
      <c r="AJ10" s="20" t="str">
        <f t="shared" si="8"/>
        <v>H2O</v>
      </c>
      <c r="AL10">
        <f t="shared" si="9"/>
        <v>1.7541470965999208E-2</v>
      </c>
      <c r="AM10">
        <f t="shared" si="10"/>
        <v>2.8252610956793815E-2</v>
      </c>
      <c r="AP10">
        <f>+'10% CO Elab'!S10</f>
        <v>3</v>
      </c>
      <c r="AQ10" t="str">
        <f>+'10% CO Elab'!T10</f>
        <v>PROPANE</v>
      </c>
      <c r="AR10" t="str">
        <f>+'10% CO Elab'!U10</f>
        <v>C3H8</v>
      </c>
      <c r="AS10" t="str">
        <f>+'10% CO Elab'!V10</f>
        <v>C3</v>
      </c>
      <c r="AT10">
        <f>+'10% CO Elab'!W10</f>
        <v>0.39016143535167697</v>
      </c>
      <c r="AU10">
        <f>+'10% CO Elab'!X10</f>
        <v>1.170484306055031</v>
      </c>
      <c r="AW10">
        <f>+'10% CO Elab'!AB10</f>
        <v>1.7358701245349093E-3</v>
      </c>
      <c r="AX10" s="20">
        <v>3</v>
      </c>
      <c r="AY10" s="20" t="s">
        <v>354</v>
      </c>
      <c r="AZ10" s="20" t="s">
        <v>355</v>
      </c>
      <c r="BA10" s="20">
        <v>10</v>
      </c>
      <c r="BB10" s="20" t="s">
        <v>356</v>
      </c>
      <c r="BC10" s="20" t="s">
        <v>357</v>
      </c>
      <c r="BD10" s="20">
        <v>1</v>
      </c>
      <c r="BE10" s="20" t="s">
        <v>144</v>
      </c>
      <c r="BF10" s="20" t="s">
        <v>355</v>
      </c>
      <c r="BG10" s="20">
        <v>6</v>
      </c>
      <c r="BH10" s="20" t="s">
        <v>358</v>
      </c>
      <c r="BI10" s="1"/>
      <c r="BJ10">
        <f>+'10% CO Elab'!AA10</f>
        <v>1.1298697548758977E-2</v>
      </c>
      <c r="BK10" s="20">
        <f t="shared" si="11"/>
        <v>3</v>
      </c>
      <c r="BL10" s="20" t="s">
        <v>29</v>
      </c>
      <c r="BM10" s="20" t="str">
        <f t="shared" si="12"/>
        <v>+</v>
      </c>
      <c r="BN10" s="20">
        <f t="shared" si="13"/>
        <v>7</v>
      </c>
      <c r="BO10" s="20" t="str">
        <f t="shared" si="14"/>
        <v>H2</v>
      </c>
      <c r="BP10" s="20" t="str">
        <f t="shared" si="15"/>
        <v>=</v>
      </c>
      <c r="BQ10" s="20">
        <f t="shared" si="16"/>
        <v>1</v>
      </c>
      <c r="BR10" s="20" t="str">
        <f t="shared" si="17"/>
        <v>C3H8</v>
      </c>
      <c r="BS10" s="20" t="str">
        <f t="shared" si="18"/>
        <v>+</v>
      </c>
      <c r="BT10" s="20">
        <f t="shared" si="23"/>
        <v>3</v>
      </c>
      <c r="BU10" s="20" t="str">
        <f t="shared" si="19"/>
        <v>H2O</v>
      </c>
      <c r="BW10">
        <f t="shared" si="20"/>
        <v>1.0415220747209457E-2</v>
      </c>
      <c r="BX10">
        <f t="shared" si="21"/>
        <v>3.389609264627693E-2</v>
      </c>
    </row>
    <row r="11" spans="5:76" x14ac:dyDescent="0.25">
      <c r="E11">
        <f>+'5% CO Elab'!R11</f>
        <v>6</v>
      </c>
      <c r="F11">
        <f>+'5% CO Elab'!S11</f>
        <v>3</v>
      </c>
      <c r="G11" t="str">
        <f>+'5% CO Elab'!T11</f>
        <v>PROPYLENE</v>
      </c>
      <c r="H11" t="str">
        <f>+'5% CO Elab'!U11</f>
        <v>C3H6-2</v>
      </c>
      <c r="I11" t="str">
        <f>+'5% CO Elab'!V11</f>
        <v>C3-O</v>
      </c>
      <c r="J11">
        <f>+'5% CO Elab'!W11</f>
        <v>2.9824519040758708</v>
      </c>
      <c r="L11">
        <f>+'5% CO Elab'!AB11</f>
        <v>2.6737461855558593E-2</v>
      </c>
      <c r="M11" s="20">
        <v>3</v>
      </c>
      <c r="N11" s="20" t="s">
        <v>354</v>
      </c>
      <c r="O11" s="20" t="s">
        <v>355</v>
      </c>
      <c r="P11" s="20">
        <v>9</v>
      </c>
      <c r="Q11" s="20" t="s">
        <v>356</v>
      </c>
      <c r="R11" s="20" t="s">
        <v>357</v>
      </c>
      <c r="S11" s="20">
        <v>1</v>
      </c>
      <c r="T11" s="20" t="s">
        <v>359</v>
      </c>
      <c r="U11" s="20" t="s">
        <v>355</v>
      </c>
      <c r="V11" s="20">
        <v>6</v>
      </c>
      <c r="W11" s="20" t="s">
        <v>358</v>
      </c>
      <c r="X11" s="1"/>
      <c r="Y11">
        <f>+'5% CO Elab'!AA11</f>
        <v>8.6127680995672029E-2</v>
      </c>
      <c r="Z11" s="20">
        <f t="shared" si="0"/>
        <v>3</v>
      </c>
      <c r="AA11" s="20" t="s">
        <v>29</v>
      </c>
      <c r="AB11" s="20" t="str">
        <f t="shared" si="1"/>
        <v>+</v>
      </c>
      <c r="AC11" s="20">
        <f t="shared" si="2"/>
        <v>6</v>
      </c>
      <c r="AD11" s="20" t="str">
        <f t="shared" si="3"/>
        <v>H2</v>
      </c>
      <c r="AE11" s="20" t="str">
        <f t="shared" si="4"/>
        <v>=</v>
      </c>
      <c r="AF11" s="20">
        <f t="shared" si="5"/>
        <v>1</v>
      </c>
      <c r="AG11" s="20" t="str">
        <f t="shared" si="6"/>
        <v>C3H6</v>
      </c>
      <c r="AH11" s="20" t="str">
        <f t="shared" si="7"/>
        <v>+</v>
      </c>
      <c r="AI11" s="20">
        <f t="shared" si="22"/>
        <v>3</v>
      </c>
      <c r="AJ11" s="20" t="str">
        <f t="shared" si="8"/>
        <v>H2O</v>
      </c>
      <c r="AL11">
        <f t="shared" si="9"/>
        <v>0.16042477113335157</v>
      </c>
      <c r="AM11">
        <f t="shared" si="10"/>
        <v>0.25838304298701609</v>
      </c>
      <c r="AP11">
        <f>+'10% CO Elab'!S11</f>
        <v>3</v>
      </c>
      <c r="AQ11" t="str">
        <f>+'10% CO Elab'!T11</f>
        <v>PROPYLENE</v>
      </c>
      <c r="AR11" t="str">
        <f>+'10% CO Elab'!U11</f>
        <v>C3H6-2</v>
      </c>
      <c r="AS11" t="str">
        <f>+'10% CO Elab'!V11</f>
        <v>C3-O</v>
      </c>
      <c r="AT11">
        <f>+'10% CO Elab'!W11</f>
        <v>3.7200862991198229</v>
      </c>
      <c r="AU11">
        <f>+'10% CO Elab'!X11</f>
        <v>11.160258897359469</v>
      </c>
      <c r="AW11">
        <f>+'10% CO Elab'!AB11</f>
        <v>1.6551063437402799E-2</v>
      </c>
      <c r="AX11" s="20">
        <v>3</v>
      </c>
      <c r="AY11" s="20" t="s">
        <v>354</v>
      </c>
      <c r="AZ11" s="20" t="s">
        <v>355</v>
      </c>
      <c r="BA11" s="20">
        <v>9</v>
      </c>
      <c r="BB11" s="20" t="s">
        <v>356</v>
      </c>
      <c r="BC11" s="20" t="s">
        <v>357</v>
      </c>
      <c r="BD11" s="20">
        <v>1</v>
      </c>
      <c r="BE11" s="20" t="s">
        <v>359</v>
      </c>
      <c r="BF11" s="20" t="s">
        <v>355</v>
      </c>
      <c r="BG11" s="20">
        <v>6</v>
      </c>
      <c r="BH11" s="20" t="s">
        <v>358</v>
      </c>
      <c r="BI11" s="1"/>
      <c r="BJ11">
        <f>+'10% CO Elab'!AA11</f>
        <v>0.10773009872477736</v>
      </c>
      <c r="BK11" s="20">
        <f t="shared" si="11"/>
        <v>3</v>
      </c>
      <c r="BL11" s="20" t="s">
        <v>29</v>
      </c>
      <c r="BM11" s="20" t="str">
        <f t="shared" si="12"/>
        <v>+</v>
      </c>
      <c r="BN11" s="20">
        <f t="shared" si="13"/>
        <v>6</v>
      </c>
      <c r="BO11" s="20" t="str">
        <f t="shared" si="14"/>
        <v>H2</v>
      </c>
      <c r="BP11" s="20" t="str">
        <f t="shared" si="15"/>
        <v>=</v>
      </c>
      <c r="BQ11" s="20">
        <f t="shared" si="16"/>
        <v>1</v>
      </c>
      <c r="BR11" s="20" t="str">
        <f t="shared" si="17"/>
        <v>C3H6</v>
      </c>
      <c r="BS11" s="20" t="str">
        <f t="shared" si="18"/>
        <v>+</v>
      </c>
      <c r="BT11" s="20">
        <f t="shared" si="23"/>
        <v>3</v>
      </c>
      <c r="BU11" s="20" t="str">
        <f t="shared" si="19"/>
        <v>H2O</v>
      </c>
      <c r="BW11">
        <f t="shared" si="20"/>
        <v>9.9306380624416796E-2</v>
      </c>
      <c r="BX11">
        <f t="shared" si="21"/>
        <v>0.32319029617433209</v>
      </c>
    </row>
    <row r="12" spans="5:76" x14ac:dyDescent="0.25">
      <c r="E12">
        <f>+'5% CO Elab'!R12</f>
        <v>7</v>
      </c>
      <c r="F12">
        <f>+'5% CO Elab'!S12</f>
        <v>4</v>
      </c>
      <c r="G12" t="str">
        <f>+'5% CO Elab'!T12</f>
        <v>N-BUTANE</v>
      </c>
      <c r="H12" t="str">
        <f>+'5% CO Elab'!U12</f>
        <v>C4H10-1</v>
      </c>
      <c r="I12" t="str">
        <f>+'5% CO Elab'!V12</f>
        <v>C4</v>
      </c>
      <c r="J12">
        <f>+'5% CO Elab'!W12</f>
        <v>0.23449560985954729</v>
      </c>
      <c r="L12">
        <f>+'5% CO Elab'!AB12</f>
        <v>2.8029811826290325E-3</v>
      </c>
      <c r="M12" s="20">
        <v>4</v>
      </c>
      <c r="N12" s="20" t="s">
        <v>354</v>
      </c>
      <c r="O12" s="20" t="s">
        <v>355</v>
      </c>
      <c r="P12" s="20">
        <v>13</v>
      </c>
      <c r="Q12" s="20" t="s">
        <v>356</v>
      </c>
      <c r="R12" s="20" t="s">
        <v>357</v>
      </c>
      <c r="S12" s="20">
        <v>1</v>
      </c>
      <c r="T12" s="20" t="s">
        <v>360</v>
      </c>
      <c r="U12" s="20" t="s">
        <v>355</v>
      </c>
      <c r="V12" s="20">
        <v>8</v>
      </c>
      <c r="W12" s="20" t="s">
        <v>358</v>
      </c>
      <c r="X12" s="1"/>
      <c r="Y12">
        <f>+'5% CO Elab'!AA12</f>
        <v>9.0290645551367437E-3</v>
      </c>
      <c r="Z12" s="20">
        <f t="shared" si="0"/>
        <v>4</v>
      </c>
      <c r="AA12" s="20" t="s">
        <v>29</v>
      </c>
      <c r="AB12" s="20" t="str">
        <f t="shared" si="1"/>
        <v>+</v>
      </c>
      <c r="AC12" s="20">
        <f t="shared" si="2"/>
        <v>9</v>
      </c>
      <c r="AD12" s="20" t="str">
        <f t="shared" si="3"/>
        <v>H2</v>
      </c>
      <c r="AE12" s="20" t="str">
        <f t="shared" si="4"/>
        <v>=</v>
      </c>
      <c r="AF12" s="20">
        <f t="shared" si="5"/>
        <v>1</v>
      </c>
      <c r="AG12" s="20" t="str">
        <f t="shared" si="6"/>
        <v>C4H10</v>
      </c>
      <c r="AH12" s="20" t="str">
        <f t="shared" si="7"/>
        <v>+</v>
      </c>
      <c r="AI12" s="20">
        <f t="shared" si="22"/>
        <v>4</v>
      </c>
      <c r="AJ12" s="20" t="str">
        <f t="shared" si="8"/>
        <v>H2O</v>
      </c>
      <c r="AL12">
        <f t="shared" si="9"/>
        <v>2.242384946103226E-2</v>
      </c>
      <c r="AM12">
        <f t="shared" si="10"/>
        <v>3.6116258220546975E-2</v>
      </c>
      <c r="AP12">
        <f>+'10% CO Elab'!S12</f>
        <v>4</v>
      </c>
      <c r="AQ12" t="str">
        <f>+'10% CO Elab'!T12</f>
        <v>N-BUTANE</v>
      </c>
      <c r="AR12" t="str">
        <f>+'10% CO Elab'!U12</f>
        <v>C4H10-1</v>
      </c>
      <c r="AS12" t="str">
        <f>+'10% CO Elab'!V12</f>
        <v>C4</v>
      </c>
      <c r="AT12">
        <f>+'10% CO Elab'!W12</f>
        <v>0.28059486675993228</v>
      </c>
      <c r="AU12">
        <f>+'10% CO Elab'!X12</f>
        <v>1.1223794670397291</v>
      </c>
      <c r="AW12">
        <f>+'10% CO Elab'!AB12</f>
        <v>1.6645289263144372E-3</v>
      </c>
      <c r="AX12" s="20">
        <v>4</v>
      </c>
      <c r="AY12" s="20" t="s">
        <v>354</v>
      </c>
      <c r="AZ12" s="20" t="s">
        <v>355</v>
      </c>
      <c r="BA12" s="20">
        <v>13</v>
      </c>
      <c r="BB12" s="20" t="s">
        <v>356</v>
      </c>
      <c r="BC12" s="20" t="s">
        <v>357</v>
      </c>
      <c r="BD12" s="20">
        <v>1</v>
      </c>
      <c r="BE12" s="20" t="s">
        <v>360</v>
      </c>
      <c r="BF12" s="20" t="s">
        <v>355</v>
      </c>
      <c r="BG12" s="20">
        <v>8</v>
      </c>
      <c r="BH12" s="20" t="s">
        <v>358</v>
      </c>
      <c r="BI12" s="1"/>
      <c r="BJ12">
        <f>+'10% CO Elab'!AA12</f>
        <v>1.0834341022273365E-2</v>
      </c>
      <c r="BK12" s="20">
        <f t="shared" si="11"/>
        <v>4</v>
      </c>
      <c r="BL12" s="20" t="s">
        <v>29</v>
      </c>
      <c r="BM12" s="20" t="str">
        <f t="shared" si="12"/>
        <v>+</v>
      </c>
      <c r="BN12" s="20">
        <f t="shared" si="13"/>
        <v>9</v>
      </c>
      <c r="BO12" s="20" t="str">
        <f t="shared" si="14"/>
        <v>H2</v>
      </c>
      <c r="BP12" s="20" t="str">
        <f t="shared" si="15"/>
        <v>=</v>
      </c>
      <c r="BQ12" s="20">
        <f t="shared" si="16"/>
        <v>1</v>
      </c>
      <c r="BR12" s="20" t="str">
        <f t="shared" si="17"/>
        <v>C4H10</v>
      </c>
      <c r="BS12" s="20" t="str">
        <f t="shared" si="18"/>
        <v>+</v>
      </c>
      <c r="BT12" s="20">
        <f t="shared" si="23"/>
        <v>4</v>
      </c>
      <c r="BU12" s="20" t="str">
        <f t="shared" si="19"/>
        <v>H2O</v>
      </c>
      <c r="BW12">
        <f t="shared" si="20"/>
        <v>1.3316231410515498E-2</v>
      </c>
      <c r="BX12">
        <f t="shared" si="21"/>
        <v>4.3337364089093458E-2</v>
      </c>
    </row>
    <row r="13" spans="5:76" x14ac:dyDescent="0.25">
      <c r="E13">
        <f>+'5% CO Elab'!R13</f>
        <v>8</v>
      </c>
      <c r="F13">
        <f>+'5% CO Elab'!S13</f>
        <v>4</v>
      </c>
      <c r="G13" t="str">
        <f>+'5% CO Elab'!T13</f>
        <v>ISOBUTANE</v>
      </c>
      <c r="H13" t="str">
        <f>+'5% CO Elab'!U13</f>
        <v>C4H10-2</v>
      </c>
      <c r="I13" t="str">
        <f>+'5% CO Elab'!V13</f>
        <v>C4-IP</v>
      </c>
      <c r="J13">
        <f>+'5% CO Elab'!W13</f>
        <v>6.9756425894330794E-3</v>
      </c>
      <c r="L13">
        <f>+'5% CO Elab'!AB13</f>
        <v>8.338149667977895E-5</v>
      </c>
      <c r="M13" s="20">
        <v>4</v>
      </c>
      <c r="N13" s="20" t="s">
        <v>354</v>
      </c>
      <c r="O13" s="20" t="s">
        <v>355</v>
      </c>
      <c r="P13" s="20">
        <v>13</v>
      </c>
      <c r="Q13" s="20" t="s">
        <v>356</v>
      </c>
      <c r="R13" s="20" t="s">
        <v>357</v>
      </c>
      <c r="S13" s="20">
        <v>1</v>
      </c>
      <c r="T13" s="20" t="s">
        <v>360</v>
      </c>
      <c r="U13" s="20" t="s">
        <v>355</v>
      </c>
      <c r="V13" s="20">
        <v>8</v>
      </c>
      <c r="W13" s="20" t="s">
        <v>358</v>
      </c>
      <c r="X13" s="1"/>
      <c r="Y13">
        <f>+'5% CO Elab'!AA13</f>
        <v>2.6859149854138812E-4</v>
      </c>
      <c r="Z13" s="20">
        <f t="shared" si="0"/>
        <v>4</v>
      </c>
      <c r="AA13" s="20" t="s">
        <v>29</v>
      </c>
      <c r="AB13" s="20" t="str">
        <f t="shared" si="1"/>
        <v>+</v>
      </c>
      <c r="AC13" s="20">
        <f t="shared" si="2"/>
        <v>9</v>
      </c>
      <c r="AD13" s="20" t="str">
        <f t="shared" si="3"/>
        <v>H2</v>
      </c>
      <c r="AE13" s="20" t="str">
        <f t="shared" si="4"/>
        <v>=</v>
      </c>
      <c r="AF13" s="20">
        <f t="shared" si="5"/>
        <v>1</v>
      </c>
      <c r="AG13" s="20" t="str">
        <f t="shared" si="6"/>
        <v>C4H10</v>
      </c>
      <c r="AH13" s="20" t="str">
        <f t="shared" si="7"/>
        <v>+</v>
      </c>
      <c r="AI13" s="20">
        <f t="shared" si="22"/>
        <v>4</v>
      </c>
      <c r="AJ13" s="20" t="str">
        <f t="shared" si="8"/>
        <v>H2O</v>
      </c>
      <c r="AL13">
        <f t="shared" si="9"/>
        <v>6.670519734382316E-4</v>
      </c>
      <c r="AM13">
        <f t="shared" si="10"/>
        <v>1.0743659941655525E-3</v>
      </c>
      <c r="AP13">
        <f>+'10% CO Elab'!S13</f>
        <v>4</v>
      </c>
      <c r="AQ13" t="str">
        <f>+'10% CO Elab'!T13</f>
        <v>ISOBUTANE</v>
      </c>
      <c r="AR13" t="str">
        <f>+'10% CO Elab'!U13</f>
        <v>C4H10-2</v>
      </c>
      <c r="AS13" t="str">
        <f>+'10% CO Elab'!V13</f>
        <v>C4-IP</v>
      </c>
      <c r="AT13">
        <f>+'10% CO Elab'!W13</f>
        <v>7.6987156206226228E-3</v>
      </c>
      <c r="AU13">
        <f>+'10% CO Elab'!X13</f>
        <v>3.0794862482490491E-2</v>
      </c>
      <c r="AW13">
        <f>+'10% CO Elab'!AB13</f>
        <v>4.5669883394406589E-5</v>
      </c>
      <c r="AX13" s="20">
        <v>4</v>
      </c>
      <c r="AY13" s="20" t="s">
        <v>354</v>
      </c>
      <c r="AZ13" s="20" t="s">
        <v>355</v>
      </c>
      <c r="BA13" s="20">
        <v>13</v>
      </c>
      <c r="BB13" s="20" t="s">
        <v>356</v>
      </c>
      <c r="BC13" s="20" t="s">
        <v>357</v>
      </c>
      <c r="BD13" s="20">
        <v>1</v>
      </c>
      <c r="BE13" s="20" t="s">
        <v>360</v>
      </c>
      <c r="BF13" s="20" t="s">
        <v>355</v>
      </c>
      <c r="BG13" s="20">
        <v>8</v>
      </c>
      <c r="BH13" s="20" t="s">
        <v>358</v>
      </c>
      <c r="BI13" s="1"/>
      <c r="BJ13">
        <f>+'10% CO Elab'!AA13</f>
        <v>2.9726313752807072E-4</v>
      </c>
      <c r="BK13" s="20">
        <f t="shared" si="11"/>
        <v>4</v>
      </c>
      <c r="BL13" s="20" t="s">
        <v>29</v>
      </c>
      <c r="BM13" s="20" t="str">
        <f t="shared" si="12"/>
        <v>+</v>
      </c>
      <c r="BN13" s="20">
        <f t="shared" si="13"/>
        <v>9</v>
      </c>
      <c r="BO13" s="20" t="str">
        <f t="shared" si="14"/>
        <v>H2</v>
      </c>
      <c r="BP13" s="20" t="str">
        <f t="shared" si="15"/>
        <v>=</v>
      </c>
      <c r="BQ13" s="20">
        <f t="shared" si="16"/>
        <v>1</v>
      </c>
      <c r="BR13" s="20" t="str">
        <f t="shared" si="17"/>
        <v>C4H10</v>
      </c>
      <c r="BS13" s="20" t="str">
        <f t="shared" si="18"/>
        <v>+</v>
      </c>
      <c r="BT13" s="20">
        <f t="shared" si="23"/>
        <v>4</v>
      </c>
      <c r="BU13" s="20" t="str">
        <f t="shared" si="19"/>
        <v>H2O</v>
      </c>
      <c r="BW13">
        <f t="shared" si="20"/>
        <v>3.6535906715525271E-4</v>
      </c>
      <c r="BX13">
        <f t="shared" si="21"/>
        <v>1.1890525501122829E-3</v>
      </c>
    </row>
    <row r="14" spans="5:76" x14ac:dyDescent="0.25">
      <c r="E14">
        <f>+'5% CO Elab'!R14</f>
        <v>9</v>
      </c>
      <c r="F14">
        <f>+'5% CO Elab'!S14</f>
        <v>4</v>
      </c>
      <c r="G14" t="str">
        <f>+'5% CO Elab'!T14</f>
        <v>1-BUTENE</v>
      </c>
      <c r="H14" t="str">
        <f>+'5% CO Elab'!U14</f>
        <v>C4H8-1</v>
      </c>
      <c r="I14" t="str">
        <f>+'5% CO Elab'!V14</f>
        <v>C4-O</v>
      </c>
      <c r="J14">
        <f>+'5% CO Elab'!W14</f>
        <v>1.7628374464376444</v>
      </c>
      <c r="L14">
        <f>+'5% CO Elab'!AB14</f>
        <v>2.1071610651295765E-2</v>
      </c>
      <c r="M14" s="20">
        <v>4</v>
      </c>
      <c r="N14" s="20" t="s">
        <v>354</v>
      </c>
      <c r="O14" s="20" t="s">
        <v>355</v>
      </c>
      <c r="P14" s="20">
        <v>12</v>
      </c>
      <c r="Q14" s="20" t="s">
        <v>356</v>
      </c>
      <c r="R14" s="20" t="s">
        <v>357</v>
      </c>
      <c r="S14" s="20">
        <v>1</v>
      </c>
      <c r="T14" s="20" t="s">
        <v>361</v>
      </c>
      <c r="U14" s="20" t="s">
        <v>355</v>
      </c>
      <c r="V14" s="20">
        <v>8</v>
      </c>
      <c r="W14" s="20" t="s">
        <v>358</v>
      </c>
      <c r="X14" s="1"/>
      <c r="Y14">
        <f>+'5% CO Elab'!AA14</f>
        <v>6.7876635787046766E-2</v>
      </c>
      <c r="Z14" s="20">
        <f t="shared" si="0"/>
        <v>4</v>
      </c>
      <c r="AA14" s="20" t="s">
        <v>29</v>
      </c>
      <c r="AB14" s="20" t="str">
        <f t="shared" si="1"/>
        <v>+</v>
      </c>
      <c r="AC14" s="20">
        <f t="shared" si="2"/>
        <v>8</v>
      </c>
      <c r="AD14" s="20" t="str">
        <f t="shared" si="3"/>
        <v>H2</v>
      </c>
      <c r="AE14" s="20" t="str">
        <f t="shared" si="4"/>
        <v>=</v>
      </c>
      <c r="AF14" s="20">
        <f t="shared" si="5"/>
        <v>1</v>
      </c>
      <c r="AG14" s="20" t="str">
        <f t="shared" si="6"/>
        <v>C4H8</v>
      </c>
      <c r="AH14" s="20" t="str">
        <f t="shared" si="7"/>
        <v>+</v>
      </c>
      <c r="AI14" s="20">
        <f t="shared" si="22"/>
        <v>4</v>
      </c>
      <c r="AJ14" s="20" t="str">
        <f t="shared" si="8"/>
        <v>H2O</v>
      </c>
      <c r="AL14">
        <f t="shared" si="9"/>
        <v>0.16857288521036612</v>
      </c>
      <c r="AM14">
        <f t="shared" si="10"/>
        <v>0.27150654314818706</v>
      </c>
      <c r="AP14">
        <f>+'10% CO Elab'!S14</f>
        <v>4</v>
      </c>
      <c r="AQ14" t="str">
        <f>+'10% CO Elab'!T14</f>
        <v>1-BUTENE</v>
      </c>
      <c r="AR14" t="str">
        <f>+'10% CO Elab'!U14</f>
        <v>C4H8-1</v>
      </c>
      <c r="AS14" t="str">
        <f>+'10% CO Elab'!V14</f>
        <v>C4-O</v>
      </c>
      <c r="AT14">
        <f>+'10% CO Elab'!W14</f>
        <v>2.2092539944376051</v>
      </c>
      <c r="AU14">
        <f>+'10% CO Elab'!X14</f>
        <v>8.8370159777504202</v>
      </c>
      <c r="AW14">
        <f>+'10% CO Elab'!AB14</f>
        <v>1.3105611024820859E-2</v>
      </c>
      <c r="AX14" s="20">
        <v>4</v>
      </c>
      <c r="AY14" s="20" t="s">
        <v>354</v>
      </c>
      <c r="AZ14" s="20" t="s">
        <v>355</v>
      </c>
      <c r="BA14" s="20">
        <v>12</v>
      </c>
      <c r="BB14" s="20" t="s">
        <v>356</v>
      </c>
      <c r="BC14" s="20" t="s">
        <v>357</v>
      </c>
      <c r="BD14" s="20">
        <v>1</v>
      </c>
      <c r="BE14" s="20" t="s">
        <v>361</v>
      </c>
      <c r="BF14" s="20" t="s">
        <v>355</v>
      </c>
      <c r="BG14" s="20">
        <v>8</v>
      </c>
      <c r="BH14" s="20" t="s">
        <v>358</v>
      </c>
      <c r="BI14" s="1"/>
      <c r="BJ14">
        <f>+'10% CO Elab'!AA14</f>
        <v>8.5303809926912624E-2</v>
      </c>
      <c r="BK14" s="20">
        <f t="shared" si="11"/>
        <v>4</v>
      </c>
      <c r="BL14" s="20" t="s">
        <v>29</v>
      </c>
      <c r="BM14" s="20" t="str">
        <f t="shared" si="12"/>
        <v>+</v>
      </c>
      <c r="BN14" s="20">
        <f t="shared" si="13"/>
        <v>8</v>
      </c>
      <c r="BO14" s="20" t="str">
        <f t="shared" si="14"/>
        <v>H2</v>
      </c>
      <c r="BP14" s="20" t="str">
        <f t="shared" si="15"/>
        <v>=</v>
      </c>
      <c r="BQ14" s="20">
        <f t="shared" si="16"/>
        <v>1</v>
      </c>
      <c r="BR14" s="20" t="str">
        <f t="shared" si="17"/>
        <v>C4H8</v>
      </c>
      <c r="BS14" s="20" t="str">
        <f t="shared" si="18"/>
        <v>+</v>
      </c>
      <c r="BT14" s="20">
        <f t="shared" si="23"/>
        <v>4</v>
      </c>
      <c r="BU14" s="20" t="str">
        <f t="shared" si="19"/>
        <v>H2O</v>
      </c>
      <c r="BW14">
        <f t="shared" si="20"/>
        <v>0.10484488819856687</v>
      </c>
      <c r="BX14">
        <f t="shared" si="21"/>
        <v>0.3412152397076505</v>
      </c>
    </row>
    <row r="15" spans="5:76" x14ac:dyDescent="0.25">
      <c r="E15">
        <f>+'5% CO Elab'!R15</f>
        <v>10</v>
      </c>
      <c r="F15">
        <f>+'5% CO Elab'!S15</f>
        <v>5</v>
      </c>
      <c r="G15" t="str">
        <f>+'5% CO Elab'!T15</f>
        <v>N-PENTANE</v>
      </c>
      <c r="H15" t="str">
        <f>+'5% CO Elab'!U15</f>
        <v>C5H12-1</v>
      </c>
      <c r="I15" t="str">
        <f>+'5% CO Elab'!V15</f>
        <v>C5</v>
      </c>
      <c r="J15">
        <f>+'5% CO Elab'!W15</f>
        <v>0.1513839268527066</v>
      </c>
      <c r="L15">
        <f>+'5% CO Elab'!AB15</f>
        <v>2.261909607682952E-3</v>
      </c>
      <c r="M15" s="20">
        <v>5</v>
      </c>
      <c r="N15" s="20" t="s">
        <v>354</v>
      </c>
      <c r="O15" s="20" t="s">
        <v>355</v>
      </c>
      <c r="P15" s="20">
        <v>16</v>
      </c>
      <c r="Q15" s="20" t="s">
        <v>356</v>
      </c>
      <c r="R15" s="20" t="s">
        <v>357</v>
      </c>
      <c r="S15" s="20">
        <v>1</v>
      </c>
      <c r="T15" s="20" t="s">
        <v>362</v>
      </c>
      <c r="U15" s="20" t="s">
        <v>355</v>
      </c>
      <c r="V15" s="20">
        <v>10</v>
      </c>
      <c r="W15" s="20" t="s">
        <v>358</v>
      </c>
      <c r="X15" s="1"/>
      <c r="Y15">
        <f>+'5% CO Elab'!AA15</f>
        <v>7.2861451914913991E-3</v>
      </c>
      <c r="Z15" s="20">
        <f t="shared" si="0"/>
        <v>5</v>
      </c>
      <c r="AA15" s="20" t="s">
        <v>29</v>
      </c>
      <c r="AB15" s="20" t="str">
        <f t="shared" si="1"/>
        <v>+</v>
      </c>
      <c r="AC15" s="20">
        <f t="shared" si="2"/>
        <v>11</v>
      </c>
      <c r="AD15" s="20" t="str">
        <f t="shared" si="3"/>
        <v>H2</v>
      </c>
      <c r="AE15" s="20" t="str">
        <f t="shared" si="4"/>
        <v>=</v>
      </c>
      <c r="AF15" s="20">
        <f t="shared" si="5"/>
        <v>1</v>
      </c>
      <c r="AG15" s="20" t="str">
        <f t="shared" si="6"/>
        <v>C5H12</v>
      </c>
      <c r="AH15" s="20" t="str">
        <f t="shared" si="7"/>
        <v>+</v>
      </c>
      <c r="AI15" s="20">
        <f t="shared" si="22"/>
        <v>5</v>
      </c>
      <c r="AJ15" s="20" t="str">
        <f t="shared" si="8"/>
        <v>H2O</v>
      </c>
      <c r="AL15">
        <f t="shared" si="9"/>
        <v>2.261909607682952E-2</v>
      </c>
      <c r="AM15">
        <f t="shared" si="10"/>
        <v>3.6430725957456993E-2</v>
      </c>
      <c r="AP15">
        <f>+'10% CO Elab'!S15</f>
        <v>5</v>
      </c>
      <c r="AQ15" t="str">
        <f>+'10% CO Elab'!T15</f>
        <v>N-PENTANE</v>
      </c>
      <c r="AR15" t="str">
        <f>+'10% CO Elab'!U15</f>
        <v>C5H12-1</v>
      </c>
      <c r="AS15" t="str">
        <f>+'10% CO Elab'!V15</f>
        <v>C5</v>
      </c>
      <c r="AT15">
        <f>+'10% CO Elab'!W15</f>
        <v>2.625778593646471E-2</v>
      </c>
      <c r="AU15">
        <f>+'10% CO Elab'!X15</f>
        <v>0.13128892968232356</v>
      </c>
      <c r="AW15">
        <f>+'10% CO Elab'!AB15</f>
        <v>1.9470618233730942E-4</v>
      </c>
      <c r="AX15" s="20">
        <v>5</v>
      </c>
      <c r="AY15" s="20" t="s">
        <v>354</v>
      </c>
      <c r="AZ15" s="20" t="s">
        <v>355</v>
      </c>
      <c r="BA15" s="20">
        <v>16</v>
      </c>
      <c r="BB15" s="20" t="s">
        <v>356</v>
      </c>
      <c r="BC15" s="20" t="s">
        <v>357</v>
      </c>
      <c r="BD15" s="20">
        <v>1</v>
      </c>
      <c r="BE15" s="20" t="s">
        <v>362</v>
      </c>
      <c r="BF15" s="20" t="s">
        <v>355</v>
      </c>
      <c r="BG15" s="20">
        <v>10</v>
      </c>
      <c r="BH15" s="20" t="s">
        <v>358</v>
      </c>
      <c r="BI15" s="1"/>
      <c r="BJ15">
        <f>+'10% CO Elab'!AA15</f>
        <v>1.2673334450595498E-3</v>
      </c>
      <c r="BK15" s="20">
        <f t="shared" si="11"/>
        <v>5</v>
      </c>
      <c r="BL15" s="20" t="s">
        <v>29</v>
      </c>
      <c r="BM15" s="20" t="str">
        <f t="shared" si="12"/>
        <v>+</v>
      </c>
      <c r="BN15" s="20">
        <f t="shared" si="13"/>
        <v>11</v>
      </c>
      <c r="BO15" s="20" t="str">
        <f t="shared" si="14"/>
        <v>H2</v>
      </c>
      <c r="BP15" s="20" t="str">
        <f t="shared" si="15"/>
        <v>=</v>
      </c>
      <c r="BQ15" s="20">
        <f t="shared" si="16"/>
        <v>1</v>
      </c>
      <c r="BR15" s="20" t="str">
        <f t="shared" si="17"/>
        <v>C5H12</v>
      </c>
      <c r="BS15" s="20" t="str">
        <f t="shared" si="18"/>
        <v>+</v>
      </c>
      <c r="BT15" s="20">
        <f t="shared" si="23"/>
        <v>5</v>
      </c>
      <c r="BU15" s="20" t="str">
        <f t="shared" si="19"/>
        <v>H2O</v>
      </c>
      <c r="BW15">
        <f t="shared" si="20"/>
        <v>1.9470618233730942E-3</v>
      </c>
      <c r="BX15">
        <f t="shared" si="21"/>
        <v>6.336667225297749E-3</v>
      </c>
    </row>
    <row r="16" spans="5:76" x14ac:dyDescent="0.25">
      <c r="E16">
        <f>+'5% CO Elab'!R16</f>
        <v>11</v>
      </c>
      <c r="F16">
        <f>+'5% CO Elab'!S16</f>
        <v>5</v>
      </c>
      <c r="G16" t="str">
        <f>+'5% CO Elab'!T16</f>
        <v>2-METHYL-1-BUTANE</v>
      </c>
      <c r="H16" t="str">
        <f>+'5% CO Elab'!U16</f>
        <v>C5H12-5</v>
      </c>
      <c r="I16" t="str">
        <f>+'5% CO Elab'!V16</f>
        <v>C5-IP</v>
      </c>
      <c r="J16">
        <f>+'5% CO Elab'!W16</f>
        <v>2.0128986437333372E-2</v>
      </c>
      <c r="L16">
        <f>+'5% CO Elab'!AB16</f>
        <v>3.0075813702351556E-4</v>
      </c>
      <c r="M16" s="20">
        <v>5</v>
      </c>
      <c r="N16" s="20" t="s">
        <v>354</v>
      </c>
      <c r="O16" s="20" t="s">
        <v>355</v>
      </c>
      <c r="P16" s="20">
        <v>16</v>
      </c>
      <c r="Q16" s="20" t="s">
        <v>356</v>
      </c>
      <c r="R16" s="20" t="s">
        <v>357</v>
      </c>
      <c r="S16" s="20">
        <v>1</v>
      </c>
      <c r="T16" s="20" t="s">
        <v>362</v>
      </c>
      <c r="U16" s="20" t="s">
        <v>355</v>
      </c>
      <c r="V16" s="20">
        <v>10</v>
      </c>
      <c r="W16" s="20" t="s">
        <v>358</v>
      </c>
      <c r="X16" s="1"/>
      <c r="Y16">
        <f>+'5% CO Elab'!AA16</f>
        <v>9.6881300934062778E-4</v>
      </c>
      <c r="Z16" s="20">
        <f t="shared" si="0"/>
        <v>5</v>
      </c>
      <c r="AA16" s="20" t="s">
        <v>29</v>
      </c>
      <c r="AB16" s="20" t="str">
        <f t="shared" si="1"/>
        <v>+</v>
      </c>
      <c r="AC16" s="20">
        <f t="shared" si="2"/>
        <v>11</v>
      </c>
      <c r="AD16" s="20" t="str">
        <f t="shared" si="3"/>
        <v>H2</v>
      </c>
      <c r="AE16" s="20" t="str">
        <f t="shared" si="4"/>
        <v>=</v>
      </c>
      <c r="AF16" s="20">
        <f t="shared" si="5"/>
        <v>1</v>
      </c>
      <c r="AG16" s="20" t="str">
        <f t="shared" si="6"/>
        <v>C5H12</v>
      </c>
      <c r="AH16" s="20" t="str">
        <f t="shared" si="7"/>
        <v>+</v>
      </c>
      <c r="AI16" s="20">
        <f t="shared" si="22"/>
        <v>5</v>
      </c>
      <c r="AJ16" s="20" t="str">
        <f t="shared" si="8"/>
        <v>H2O</v>
      </c>
      <c r="AL16">
        <f t="shared" si="9"/>
        <v>3.0075813702351555E-3</v>
      </c>
      <c r="AM16">
        <f t="shared" si="10"/>
        <v>4.8440650467031386E-3</v>
      </c>
      <c r="AP16">
        <f>+'10% CO Elab'!S16</f>
        <v>5</v>
      </c>
      <c r="AQ16" t="str">
        <f>+'10% CO Elab'!T16</f>
        <v>2-METHYL-1-BUTANE</v>
      </c>
      <c r="AR16" t="str">
        <f>+'10% CO Elab'!U16</f>
        <v>C5H12-5</v>
      </c>
      <c r="AS16" t="str">
        <f>+'10% CO Elab'!V16</f>
        <v>C5-IP</v>
      </c>
      <c r="AT16">
        <f>+'10% CO Elab'!W16</f>
        <v>8.784346630743034E-2</v>
      </c>
      <c r="AU16">
        <f>+'10% CO Elab'!X16</f>
        <v>0.4392173315371517</v>
      </c>
      <c r="AW16">
        <f>+'10% CO Elab'!AB16</f>
        <v>6.5137502489284998E-4</v>
      </c>
      <c r="AX16" s="20">
        <v>5</v>
      </c>
      <c r="AY16" s="20" t="s">
        <v>354</v>
      </c>
      <c r="AZ16" s="20" t="s">
        <v>355</v>
      </c>
      <c r="BA16" s="20">
        <v>16</v>
      </c>
      <c r="BB16" s="20" t="s">
        <v>356</v>
      </c>
      <c r="BC16" s="20" t="s">
        <v>357</v>
      </c>
      <c r="BD16" s="20">
        <v>1</v>
      </c>
      <c r="BE16" s="20" t="s">
        <v>362</v>
      </c>
      <c r="BF16" s="20" t="s">
        <v>355</v>
      </c>
      <c r="BG16" s="20">
        <v>10</v>
      </c>
      <c r="BH16" s="20" t="s">
        <v>358</v>
      </c>
      <c r="BI16" s="1"/>
      <c r="BJ16">
        <f>+'10% CO Elab'!AA16</f>
        <v>4.2397696077934059E-3</v>
      </c>
      <c r="BK16" s="20">
        <f t="shared" si="11"/>
        <v>5</v>
      </c>
      <c r="BL16" s="20" t="s">
        <v>29</v>
      </c>
      <c r="BM16" s="20" t="str">
        <f t="shared" si="12"/>
        <v>+</v>
      </c>
      <c r="BN16" s="20">
        <f t="shared" si="13"/>
        <v>11</v>
      </c>
      <c r="BO16" s="20" t="str">
        <f t="shared" si="14"/>
        <v>H2</v>
      </c>
      <c r="BP16" s="20" t="str">
        <f t="shared" si="15"/>
        <v>=</v>
      </c>
      <c r="BQ16" s="20">
        <f t="shared" si="16"/>
        <v>1</v>
      </c>
      <c r="BR16" s="20" t="str">
        <f t="shared" si="17"/>
        <v>C5H12</v>
      </c>
      <c r="BS16" s="20" t="str">
        <f t="shared" si="18"/>
        <v>+</v>
      </c>
      <c r="BT16" s="20">
        <f t="shared" si="23"/>
        <v>5</v>
      </c>
      <c r="BU16" s="20" t="str">
        <f t="shared" si="19"/>
        <v>H2O</v>
      </c>
      <c r="BW16">
        <f t="shared" si="20"/>
        <v>6.5137502489284998E-3</v>
      </c>
      <c r="BX16">
        <f t="shared" si="21"/>
        <v>2.119884803896703E-2</v>
      </c>
    </row>
    <row r="17" spans="5:76" x14ac:dyDescent="0.25">
      <c r="E17">
        <f>+'5% CO Elab'!R17</f>
        <v>12</v>
      </c>
      <c r="F17">
        <f>+'5% CO Elab'!S17</f>
        <v>5</v>
      </c>
      <c r="G17" t="str">
        <f>+'5% CO Elab'!T17</f>
        <v>1-PENTENE</v>
      </c>
      <c r="H17" t="str">
        <f>+'5% CO Elab'!U17</f>
        <v>C5H10-2</v>
      </c>
      <c r="I17" t="str">
        <f>+'5% CO Elab'!V17</f>
        <v>C5-O</v>
      </c>
      <c r="J17">
        <f>+'5% CO Elab'!W17</f>
        <v>1.3749473586741281</v>
      </c>
      <c r="L17">
        <f>+'5% CO Elab'!AB17</f>
        <v>2.0543836491104365E-2</v>
      </c>
      <c r="M17" s="20">
        <v>5</v>
      </c>
      <c r="N17" s="20" t="s">
        <v>354</v>
      </c>
      <c r="O17" s="20" t="s">
        <v>355</v>
      </c>
      <c r="P17" s="20">
        <v>15</v>
      </c>
      <c r="Q17" s="20" t="s">
        <v>356</v>
      </c>
      <c r="R17" s="20" t="s">
        <v>357</v>
      </c>
      <c r="S17" s="20">
        <v>1</v>
      </c>
      <c r="T17" s="20" t="s">
        <v>363</v>
      </c>
      <c r="U17" s="20" t="s">
        <v>355</v>
      </c>
      <c r="V17" s="20">
        <v>10</v>
      </c>
      <c r="W17" s="20" t="s">
        <v>358</v>
      </c>
      <c r="X17" s="1"/>
      <c r="Y17">
        <f>+'5% CO Elab'!AA17</f>
        <v>6.6176550537658252E-2</v>
      </c>
      <c r="Z17" s="20">
        <f t="shared" si="0"/>
        <v>5</v>
      </c>
      <c r="AA17" s="20" t="s">
        <v>29</v>
      </c>
      <c r="AB17" s="20" t="str">
        <f t="shared" si="1"/>
        <v>+</v>
      </c>
      <c r="AC17" s="20">
        <f t="shared" si="2"/>
        <v>10</v>
      </c>
      <c r="AD17" s="20" t="str">
        <f t="shared" si="3"/>
        <v>H2</v>
      </c>
      <c r="AE17" s="20" t="str">
        <f t="shared" si="4"/>
        <v>=</v>
      </c>
      <c r="AF17" s="20">
        <f t="shared" si="5"/>
        <v>1</v>
      </c>
      <c r="AG17" s="20" t="str">
        <f t="shared" si="6"/>
        <v>C5H10</v>
      </c>
      <c r="AH17" s="20" t="str">
        <f t="shared" si="7"/>
        <v>+</v>
      </c>
      <c r="AI17" s="20">
        <f t="shared" si="22"/>
        <v>5</v>
      </c>
      <c r="AJ17" s="20" t="str">
        <f t="shared" si="8"/>
        <v>H2O</v>
      </c>
      <c r="AL17">
        <f t="shared" si="9"/>
        <v>0.20543836491104364</v>
      </c>
      <c r="AM17">
        <f t="shared" si="10"/>
        <v>0.33088275268829126</v>
      </c>
      <c r="AP17">
        <f>+'10% CO Elab'!S17</f>
        <v>5</v>
      </c>
      <c r="AQ17" t="str">
        <f>+'10% CO Elab'!T17</f>
        <v>1-PENTENE</v>
      </c>
      <c r="AR17" t="str">
        <f>+'10% CO Elab'!U17</f>
        <v>C5H10-2</v>
      </c>
      <c r="AS17" t="str">
        <f>+'10% CO Elab'!V17</f>
        <v>C5-O</v>
      </c>
      <c r="AT17">
        <f>+'10% CO Elab'!W17</f>
        <v>1.4620285249164713</v>
      </c>
      <c r="AU17">
        <f>+'10% CO Elab'!X17</f>
        <v>7.3101426245823564</v>
      </c>
      <c r="AW17">
        <f>+'10% CO Elab'!AB17</f>
        <v>1.0841203186115271E-2</v>
      </c>
      <c r="AX17" s="20">
        <v>5</v>
      </c>
      <c r="AY17" s="20" t="s">
        <v>354</v>
      </c>
      <c r="AZ17" s="20" t="s">
        <v>355</v>
      </c>
      <c r="BA17" s="20">
        <v>15</v>
      </c>
      <c r="BB17" s="20" t="s">
        <v>356</v>
      </c>
      <c r="BC17" s="20" t="s">
        <v>357</v>
      </c>
      <c r="BD17" s="20">
        <v>1</v>
      </c>
      <c r="BE17" s="20" t="s">
        <v>363</v>
      </c>
      <c r="BF17" s="20" t="s">
        <v>355</v>
      </c>
      <c r="BG17" s="20">
        <v>10</v>
      </c>
      <c r="BH17" s="20" t="s">
        <v>358</v>
      </c>
      <c r="BI17" s="1"/>
      <c r="BJ17">
        <f>+'10% CO Elab'!AA17</f>
        <v>7.056488508745877E-2</v>
      </c>
      <c r="BK17" s="20">
        <f t="shared" si="11"/>
        <v>5</v>
      </c>
      <c r="BL17" s="20" t="s">
        <v>29</v>
      </c>
      <c r="BM17" s="20" t="str">
        <f t="shared" si="12"/>
        <v>+</v>
      </c>
      <c r="BN17" s="20">
        <f t="shared" si="13"/>
        <v>10</v>
      </c>
      <c r="BO17" s="20" t="str">
        <f t="shared" si="14"/>
        <v>H2</v>
      </c>
      <c r="BP17" s="20" t="str">
        <f t="shared" si="15"/>
        <v>=</v>
      </c>
      <c r="BQ17" s="20">
        <f t="shared" si="16"/>
        <v>1</v>
      </c>
      <c r="BR17" s="20" t="str">
        <f t="shared" si="17"/>
        <v>C5H10</v>
      </c>
      <c r="BS17" s="20" t="str">
        <f t="shared" si="18"/>
        <v>+</v>
      </c>
      <c r="BT17" s="20">
        <f t="shared" si="23"/>
        <v>5</v>
      </c>
      <c r="BU17" s="20" t="str">
        <f t="shared" si="19"/>
        <v>H2O</v>
      </c>
      <c r="BW17">
        <f t="shared" si="20"/>
        <v>0.10841203186115271</v>
      </c>
      <c r="BX17">
        <f t="shared" si="21"/>
        <v>0.35282442543729386</v>
      </c>
    </row>
    <row r="18" spans="5:76" x14ac:dyDescent="0.25">
      <c r="E18">
        <f>+'5% CO Elab'!R18</f>
        <v>13</v>
      </c>
      <c r="F18">
        <f>+'5% CO Elab'!S18</f>
        <v>5</v>
      </c>
      <c r="G18" t="str">
        <f>+'5% CO Elab'!T18</f>
        <v>CYCLOPENTANE</v>
      </c>
      <c r="H18">
        <f>+'5% CO Elab'!U18</f>
        <v>0</v>
      </c>
      <c r="I18" t="str">
        <f>+'5% CO Elab'!V18</f>
        <v>C5-N</v>
      </c>
      <c r="J18">
        <f>+'5% CO Elab'!W18</f>
        <v>8.4192678949261014E-3</v>
      </c>
      <c r="L18">
        <f>+'5% CO Elab'!AB18</f>
        <v>1.2579686190674006E-4</v>
      </c>
      <c r="M18" s="20">
        <v>5</v>
      </c>
      <c r="N18" s="20" t="s">
        <v>354</v>
      </c>
      <c r="O18" s="20" t="s">
        <v>355</v>
      </c>
      <c r="P18" s="20">
        <v>15</v>
      </c>
      <c r="Q18" s="20" t="s">
        <v>356</v>
      </c>
      <c r="R18" s="20" t="s">
        <v>357</v>
      </c>
      <c r="S18" s="20">
        <v>1</v>
      </c>
      <c r="T18" s="20" t="s">
        <v>363</v>
      </c>
      <c r="U18" s="20" t="s">
        <v>355</v>
      </c>
      <c r="V18" s="20">
        <v>10</v>
      </c>
      <c r="W18" s="20" t="s">
        <v>358</v>
      </c>
      <c r="X18" s="1"/>
      <c r="Y18">
        <f>+'5% CO Elab'!AA18</f>
        <v>4.0522140998614837E-4</v>
      </c>
      <c r="Z18" s="20">
        <f t="shared" si="0"/>
        <v>5</v>
      </c>
      <c r="AA18" s="20" t="s">
        <v>29</v>
      </c>
      <c r="AB18" s="20" t="str">
        <f t="shared" si="1"/>
        <v>+</v>
      </c>
      <c r="AC18" s="20">
        <f t="shared" si="2"/>
        <v>10</v>
      </c>
      <c r="AD18" s="20" t="str">
        <f t="shared" si="3"/>
        <v>H2</v>
      </c>
      <c r="AE18" s="20" t="str">
        <f t="shared" si="4"/>
        <v>=</v>
      </c>
      <c r="AF18" s="20">
        <f t="shared" si="5"/>
        <v>1</v>
      </c>
      <c r="AG18" s="20" t="str">
        <f t="shared" si="6"/>
        <v>C5H10</v>
      </c>
      <c r="AH18" s="20" t="str">
        <f t="shared" si="7"/>
        <v>+</v>
      </c>
      <c r="AI18" s="20">
        <f t="shared" si="22"/>
        <v>5</v>
      </c>
      <c r="AJ18" s="20" t="str">
        <f t="shared" si="8"/>
        <v>H2O</v>
      </c>
      <c r="AL18">
        <f t="shared" si="9"/>
        <v>1.2579686190674006E-3</v>
      </c>
      <c r="AM18">
        <f t="shared" si="10"/>
        <v>2.0261070499307419E-3</v>
      </c>
      <c r="AP18">
        <f>+'10% CO Elab'!S18</f>
        <v>5</v>
      </c>
      <c r="AQ18" t="str">
        <f>+'10% CO Elab'!T18</f>
        <v>CYCLOPENTANE</v>
      </c>
      <c r="AR18">
        <f>+'10% CO Elab'!U18</f>
        <v>0</v>
      </c>
      <c r="AS18" t="str">
        <f>+'10% CO Elab'!V18</f>
        <v>C5-N</v>
      </c>
      <c r="AT18">
        <f>+'10% CO Elab'!W18</f>
        <v>9.2919825558525244E-3</v>
      </c>
      <c r="AU18">
        <f>+'10% CO Elab'!X18</f>
        <v>4.6459912779262619E-2</v>
      </c>
      <c r="AW18">
        <f>+'10% CO Elab'!AB18</f>
        <v>6.8901713730647741E-5</v>
      </c>
      <c r="AX18" s="20">
        <v>5</v>
      </c>
      <c r="AY18" s="20" t="s">
        <v>354</v>
      </c>
      <c r="AZ18" s="20" t="s">
        <v>355</v>
      </c>
      <c r="BA18" s="20">
        <v>15</v>
      </c>
      <c r="BB18" s="20" t="s">
        <v>356</v>
      </c>
      <c r="BC18" s="20" t="s">
        <v>357</v>
      </c>
      <c r="BD18" s="20">
        <v>1</v>
      </c>
      <c r="BE18" s="20" t="s">
        <v>363</v>
      </c>
      <c r="BF18" s="20" t="s">
        <v>355</v>
      </c>
      <c r="BG18" s="20">
        <v>10</v>
      </c>
      <c r="BH18" s="20" t="s">
        <v>358</v>
      </c>
      <c r="BI18" s="1"/>
      <c r="BJ18">
        <f>+'10% CO Elab'!AA18</f>
        <v>4.4847803590279851E-4</v>
      </c>
      <c r="BK18" s="20">
        <f t="shared" si="11"/>
        <v>5</v>
      </c>
      <c r="BL18" s="20" t="s">
        <v>29</v>
      </c>
      <c r="BM18" s="20" t="str">
        <f t="shared" si="12"/>
        <v>+</v>
      </c>
      <c r="BN18" s="20">
        <f t="shared" si="13"/>
        <v>10</v>
      </c>
      <c r="BO18" s="20" t="str">
        <f t="shared" si="14"/>
        <v>H2</v>
      </c>
      <c r="BP18" s="20" t="str">
        <f t="shared" si="15"/>
        <v>=</v>
      </c>
      <c r="BQ18" s="20">
        <f t="shared" si="16"/>
        <v>1</v>
      </c>
      <c r="BR18" s="20" t="str">
        <f t="shared" si="17"/>
        <v>C5H10</v>
      </c>
      <c r="BS18" s="20" t="str">
        <f t="shared" si="18"/>
        <v>+</v>
      </c>
      <c r="BT18" s="20">
        <f t="shared" si="23"/>
        <v>5</v>
      </c>
      <c r="BU18" s="20" t="str">
        <f t="shared" si="19"/>
        <v>H2O</v>
      </c>
      <c r="BW18">
        <f t="shared" si="20"/>
        <v>6.8901713730647738E-4</v>
      </c>
      <c r="BX18">
        <f t="shared" si="21"/>
        <v>2.2423901795139926E-3</v>
      </c>
    </row>
    <row r="19" spans="5:76" x14ac:dyDescent="0.25">
      <c r="E19">
        <f>+'5% CO Elab'!R19</f>
        <v>14</v>
      </c>
      <c r="F19">
        <f>+'5% CO Elab'!S19</f>
        <v>6</v>
      </c>
      <c r="G19" t="str">
        <f>+'5% CO Elab'!T19</f>
        <v>2,2-DIMETHYL-BUTANE</v>
      </c>
      <c r="H19" t="str">
        <f>+'5% CO Elab'!U19</f>
        <v>C6H14-4</v>
      </c>
      <c r="I19" t="str">
        <f>+'5% CO Elab'!V19</f>
        <v>C6-IP</v>
      </c>
      <c r="J19">
        <f>+'5% CO Elab'!W19</f>
        <v>0.41390825335664816</v>
      </c>
      <c r="L19">
        <f>+'5% CO Elab'!AB19</f>
        <v>7.4213140675966002E-3</v>
      </c>
      <c r="M19" s="20">
        <v>6</v>
      </c>
      <c r="N19" s="20" t="s">
        <v>354</v>
      </c>
      <c r="O19" s="20" t="s">
        <v>355</v>
      </c>
      <c r="P19" s="20">
        <v>19</v>
      </c>
      <c r="Q19" s="20" t="s">
        <v>356</v>
      </c>
      <c r="R19" s="20" t="s">
        <v>357</v>
      </c>
      <c r="S19" s="20">
        <v>1</v>
      </c>
      <c r="T19" s="20" t="s">
        <v>364</v>
      </c>
      <c r="U19" s="20" t="s">
        <v>355</v>
      </c>
      <c r="V19" s="20">
        <v>12</v>
      </c>
      <c r="W19" s="20" t="s">
        <v>358</v>
      </c>
      <c r="X19" s="1"/>
      <c r="Y19">
        <f>+'5% CO Elab'!AA19</f>
        <v>2.3905805795465602E-2</v>
      </c>
      <c r="Z19" s="20">
        <f t="shared" si="0"/>
        <v>6</v>
      </c>
      <c r="AA19" s="20" t="s">
        <v>29</v>
      </c>
      <c r="AB19" s="20" t="str">
        <f t="shared" si="1"/>
        <v>+</v>
      </c>
      <c r="AC19" s="20">
        <f t="shared" si="2"/>
        <v>13</v>
      </c>
      <c r="AD19" s="20" t="str">
        <f t="shared" si="3"/>
        <v>H2</v>
      </c>
      <c r="AE19" s="20" t="str">
        <f t="shared" si="4"/>
        <v>=</v>
      </c>
      <c r="AF19" s="20">
        <f t="shared" si="5"/>
        <v>1</v>
      </c>
      <c r="AG19" s="20" t="str">
        <f t="shared" si="6"/>
        <v>C6H14</v>
      </c>
      <c r="AH19" s="20" t="str">
        <f t="shared" si="7"/>
        <v>+</v>
      </c>
      <c r="AI19" s="20">
        <f t="shared" si="22"/>
        <v>6</v>
      </c>
      <c r="AJ19" s="20" t="str">
        <f t="shared" si="8"/>
        <v>H2O</v>
      </c>
      <c r="AL19">
        <f t="shared" si="9"/>
        <v>8.9055768811159203E-2</v>
      </c>
      <c r="AM19">
        <f t="shared" si="10"/>
        <v>0.14343483477279362</v>
      </c>
      <c r="AP19">
        <f>+'10% CO Elab'!S19</f>
        <v>6</v>
      </c>
      <c r="AQ19" t="str">
        <f>+'10% CO Elab'!T19</f>
        <v>2,2-DIMETHYL-BUTANE</v>
      </c>
      <c r="AR19" t="str">
        <f>+'10% CO Elab'!U19</f>
        <v>C6H14-4</v>
      </c>
      <c r="AS19" t="str">
        <f>+'10% CO Elab'!V19</f>
        <v>C6-IP</v>
      </c>
      <c r="AT19">
        <f>+'10% CO Elab'!W19</f>
        <v>0.34416377186333308</v>
      </c>
      <c r="AU19">
        <f>+'10% CO Elab'!X19</f>
        <v>2.0649826311799986</v>
      </c>
      <c r="AW19">
        <f>+'10% CO Elab'!AB19</f>
        <v>3.0624431601565787E-3</v>
      </c>
      <c r="AX19" s="20">
        <v>6</v>
      </c>
      <c r="AY19" s="20" t="s">
        <v>354</v>
      </c>
      <c r="AZ19" s="20" t="s">
        <v>355</v>
      </c>
      <c r="BA19" s="20">
        <v>19</v>
      </c>
      <c r="BB19" s="20" t="s">
        <v>356</v>
      </c>
      <c r="BC19" s="20" t="s">
        <v>357</v>
      </c>
      <c r="BD19" s="20">
        <v>1</v>
      </c>
      <c r="BE19" s="20" t="s">
        <v>364</v>
      </c>
      <c r="BF19" s="20" t="s">
        <v>355</v>
      </c>
      <c r="BG19" s="20">
        <v>12</v>
      </c>
      <c r="BH19" s="20" t="s">
        <v>358</v>
      </c>
      <c r="BI19" s="1"/>
      <c r="BJ19">
        <f>+'10% CO Elab'!AA19</f>
        <v>1.9933299466252191E-2</v>
      </c>
      <c r="BK19" s="20">
        <f t="shared" si="11"/>
        <v>6</v>
      </c>
      <c r="BL19" s="20" t="s">
        <v>29</v>
      </c>
      <c r="BM19" s="20" t="str">
        <f t="shared" si="12"/>
        <v>+</v>
      </c>
      <c r="BN19" s="20">
        <f t="shared" si="13"/>
        <v>13</v>
      </c>
      <c r="BO19" s="20" t="str">
        <f t="shared" si="14"/>
        <v>H2</v>
      </c>
      <c r="BP19" s="20" t="str">
        <f t="shared" si="15"/>
        <v>=</v>
      </c>
      <c r="BQ19" s="20">
        <f t="shared" si="16"/>
        <v>1</v>
      </c>
      <c r="BR19" s="20" t="str">
        <f t="shared" si="17"/>
        <v>C6H14</v>
      </c>
      <c r="BS19" s="20" t="str">
        <f t="shared" si="18"/>
        <v>+</v>
      </c>
      <c r="BT19" s="20">
        <f t="shared" si="23"/>
        <v>6</v>
      </c>
      <c r="BU19" s="20" t="str">
        <f t="shared" si="19"/>
        <v>H2O</v>
      </c>
      <c r="BW19">
        <f t="shared" si="20"/>
        <v>3.6749317921878945E-2</v>
      </c>
      <c r="BX19">
        <f t="shared" si="21"/>
        <v>0.11959979679751315</v>
      </c>
    </row>
    <row r="20" spans="5:76" x14ac:dyDescent="0.25">
      <c r="E20">
        <f>+'5% CO Elab'!R20</f>
        <v>15</v>
      </c>
      <c r="F20">
        <f>+'5% CO Elab'!S20</f>
        <v>6</v>
      </c>
      <c r="G20" t="str">
        <f>+'5% CO Elab'!T20</f>
        <v>N-HEXANE</v>
      </c>
      <c r="H20" t="str">
        <f>+'5% CO Elab'!U20</f>
        <v>C6H14-1</v>
      </c>
      <c r="I20" t="str">
        <f>+'5% CO Elab'!V20</f>
        <v>C6</v>
      </c>
      <c r="J20">
        <f>+'5% CO Elab'!W20</f>
        <v>5.004680067811804E-3</v>
      </c>
      <c r="L20">
        <f>+'5% CO Elab'!AB20</f>
        <v>8.9733177074555407E-5</v>
      </c>
      <c r="M20" s="20">
        <v>6</v>
      </c>
      <c r="N20" s="20" t="s">
        <v>354</v>
      </c>
      <c r="O20" s="20" t="s">
        <v>355</v>
      </c>
      <c r="P20" s="20">
        <v>19</v>
      </c>
      <c r="Q20" s="20" t="s">
        <v>356</v>
      </c>
      <c r="R20" s="20" t="s">
        <v>357</v>
      </c>
      <c r="S20" s="20">
        <v>1</v>
      </c>
      <c r="T20" s="20" t="s">
        <v>364</v>
      </c>
      <c r="U20" s="20" t="s">
        <v>355</v>
      </c>
      <c r="V20" s="20">
        <v>12</v>
      </c>
      <c r="W20" s="20" t="s">
        <v>358</v>
      </c>
      <c r="X20" s="1"/>
      <c r="Y20">
        <f>+'5% CO Elab'!AA20</f>
        <v>2.8905176159040453E-4</v>
      </c>
      <c r="Z20" s="20">
        <f t="shared" si="0"/>
        <v>6</v>
      </c>
      <c r="AA20" s="20" t="s">
        <v>29</v>
      </c>
      <c r="AB20" s="20" t="str">
        <f t="shared" si="1"/>
        <v>+</v>
      </c>
      <c r="AC20" s="20">
        <f t="shared" si="2"/>
        <v>13</v>
      </c>
      <c r="AD20" s="20" t="str">
        <f t="shared" si="3"/>
        <v>H2</v>
      </c>
      <c r="AE20" s="20" t="str">
        <f t="shared" si="4"/>
        <v>=</v>
      </c>
      <c r="AF20" s="20">
        <f t="shared" si="5"/>
        <v>1</v>
      </c>
      <c r="AG20" s="20" t="str">
        <f t="shared" si="6"/>
        <v>C6H14</v>
      </c>
      <c r="AH20" s="20" t="str">
        <f t="shared" si="7"/>
        <v>+</v>
      </c>
      <c r="AI20" s="20">
        <f t="shared" si="22"/>
        <v>6</v>
      </c>
      <c r="AJ20" s="20" t="str">
        <f t="shared" si="8"/>
        <v>H2O</v>
      </c>
      <c r="AL20">
        <f t="shared" si="9"/>
        <v>1.0767981248946648E-3</v>
      </c>
      <c r="AM20">
        <f t="shared" si="10"/>
        <v>1.7343105695424273E-3</v>
      </c>
      <c r="AP20">
        <f>+'10% CO Elab'!S20</f>
        <v>6</v>
      </c>
      <c r="AQ20" t="str">
        <f>+'10% CO Elab'!T20</f>
        <v>N-HEXANE</v>
      </c>
      <c r="AR20" t="str">
        <f>+'10% CO Elab'!U20</f>
        <v>C6H14-1</v>
      </c>
      <c r="AS20" t="str">
        <f>+'10% CO Elab'!V20</f>
        <v>C6</v>
      </c>
      <c r="AT20">
        <f>+'10% CO Elab'!W20</f>
        <v>4.9116407679064139E-3</v>
      </c>
      <c r="AU20">
        <f>+'10% CO Elab'!X20</f>
        <v>2.9469844607438483E-2</v>
      </c>
      <c r="AW20">
        <f>+'10% CO Elab'!AB20</f>
        <v>4.3704834455365646E-5</v>
      </c>
      <c r="AX20" s="20">
        <v>6</v>
      </c>
      <c r="AY20" s="20" t="s">
        <v>354</v>
      </c>
      <c r="AZ20" s="20" t="s">
        <v>355</v>
      </c>
      <c r="BA20" s="20">
        <v>19</v>
      </c>
      <c r="BB20" s="20" t="s">
        <v>356</v>
      </c>
      <c r="BC20" s="20" t="s">
        <v>357</v>
      </c>
      <c r="BD20" s="20">
        <v>1</v>
      </c>
      <c r="BE20" s="20" t="s">
        <v>364</v>
      </c>
      <c r="BF20" s="20" t="s">
        <v>355</v>
      </c>
      <c r="BG20" s="20">
        <v>12</v>
      </c>
      <c r="BH20" s="20" t="s">
        <v>358</v>
      </c>
      <c r="BI20" s="1"/>
      <c r="BJ20">
        <f>+'10% CO Elab'!AA20</f>
        <v>2.8447272578186822E-4</v>
      </c>
      <c r="BK20" s="20">
        <f t="shared" si="11"/>
        <v>6</v>
      </c>
      <c r="BL20" s="20" t="s">
        <v>29</v>
      </c>
      <c r="BM20" s="20" t="str">
        <f t="shared" si="12"/>
        <v>+</v>
      </c>
      <c r="BN20" s="20">
        <f t="shared" si="13"/>
        <v>13</v>
      </c>
      <c r="BO20" s="20" t="str">
        <f t="shared" si="14"/>
        <v>H2</v>
      </c>
      <c r="BP20" s="20" t="str">
        <f t="shared" si="15"/>
        <v>=</v>
      </c>
      <c r="BQ20" s="20">
        <f t="shared" si="16"/>
        <v>1</v>
      </c>
      <c r="BR20" s="20" t="str">
        <f t="shared" si="17"/>
        <v>C6H14</v>
      </c>
      <c r="BS20" s="20" t="str">
        <f t="shared" si="18"/>
        <v>+</v>
      </c>
      <c r="BT20" s="20">
        <f t="shared" si="23"/>
        <v>6</v>
      </c>
      <c r="BU20" s="20" t="str">
        <f t="shared" si="19"/>
        <v>H2O</v>
      </c>
      <c r="BW20">
        <f t="shared" si="20"/>
        <v>5.2445801346438781E-4</v>
      </c>
      <c r="BX20">
        <f t="shared" si="21"/>
        <v>1.7068363546912093E-3</v>
      </c>
    </row>
    <row r="21" spans="5:76" x14ac:dyDescent="0.25">
      <c r="E21">
        <f>+'5% CO Elab'!R21</f>
        <v>16</v>
      </c>
      <c r="F21">
        <f>+'5% CO Elab'!S21</f>
        <v>6</v>
      </c>
      <c r="G21" t="str">
        <f>+'5% CO Elab'!T21</f>
        <v>2-METHYL-1-PENTENE</v>
      </c>
      <c r="H21" t="str">
        <f>+'5% CO Elab'!U21</f>
        <v>C6H12-D2</v>
      </c>
      <c r="I21" t="str">
        <f>+'5% CO Elab'!V21</f>
        <v>C6-O</v>
      </c>
      <c r="J21">
        <f>+'5% CO Elab'!W21</f>
        <v>0.42227517162425893</v>
      </c>
      <c r="L21">
        <f>+'5% CO Elab'!AB21</f>
        <v>7.5713316807712455E-3</v>
      </c>
      <c r="M21" s="20">
        <v>6</v>
      </c>
      <c r="N21" s="20" t="s">
        <v>354</v>
      </c>
      <c r="O21" s="20" t="s">
        <v>355</v>
      </c>
      <c r="P21" s="20">
        <v>18</v>
      </c>
      <c r="Q21" s="20" t="s">
        <v>356</v>
      </c>
      <c r="R21" s="20" t="s">
        <v>357</v>
      </c>
      <c r="S21" s="20">
        <v>1</v>
      </c>
      <c r="T21" s="20" t="s">
        <v>365</v>
      </c>
      <c r="U21" s="20" t="s">
        <v>355</v>
      </c>
      <c r="V21" s="20">
        <v>12</v>
      </c>
      <c r="W21" s="20" t="s">
        <v>358</v>
      </c>
      <c r="X21" s="1"/>
      <c r="Y21">
        <f>+'5% CO Elab'!AA21</f>
        <v>2.4389047967106212E-2</v>
      </c>
      <c r="Z21" s="20">
        <f t="shared" si="0"/>
        <v>6</v>
      </c>
      <c r="AA21" s="20" t="s">
        <v>29</v>
      </c>
      <c r="AB21" s="20" t="str">
        <f t="shared" si="1"/>
        <v>+</v>
      </c>
      <c r="AC21" s="20">
        <f t="shared" si="2"/>
        <v>12</v>
      </c>
      <c r="AD21" s="20" t="str">
        <f t="shared" si="3"/>
        <v>H2</v>
      </c>
      <c r="AE21" s="20" t="str">
        <f t="shared" si="4"/>
        <v>=</v>
      </c>
      <c r="AF21" s="20">
        <f t="shared" si="5"/>
        <v>1</v>
      </c>
      <c r="AG21" s="20" t="str">
        <f t="shared" si="6"/>
        <v>C6H12</v>
      </c>
      <c r="AH21" s="20" t="str">
        <f t="shared" si="7"/>
        <v>+</v>
      </c>
      <c r="AI21" s="20">
        <f t="shared" si="22"/>
        <v>6</v>
      </c>
      <c r="AJ21" s="20" t="str">
        <f t="shared" si="8"/>
        <v>H2O</v>
      </c>
      <c r="AL21">
        <f t="shared" si="9"/>
        <v>9.0855980169254946E-2</v>
      </c>
      <c r="AM21">
        <f t="shared" si="10"/>
        <v>0.14633428780263727</v>
      </c>
      <c r="AP21">
        <f>+'10% CO Elab'!S21</f>
        <v>6</v>
      </c>
      <c r="AQ21" t="str">
        <f>+'10% CO Elab'!T21</f>
        <v>2-METHYL-1-PENTENE</v>
      </c>
      <c r="AR21" t="str">
        <f>+'10% CO Elab'!U21</f>
        <v>C6H12-D2</v>
      </c>
      <c r="AS21" t="str">
        <f>+'10% CO Elab'!V21</f>
        <v>C6-O</v>
      </c>
      <c r="AT21">
        <f>+'10% CO Elab'!W21</f>
        <v>0.63054996610516656</v>
      </c>
      <c r="AU21">
        <f>+'10% CO Elab'!X21</f>
        <v>3.7832997966309994</v>
      </c>
      <c r="AW21">
        <f>+'10% CO Elab'!AB21</f>
        <v>5.6107690254003145E-3</v>
      </c>
      <c r="AX21" s="20">
        <v>6</v>
      </c>
      <c r="AY21" s="20" t="s">
        <v>354</v>
      </c>
      <c r="AZ21" s="20" t="s">
        <v>355</v>
      </c>
      <c r="BA21" s="20">
        <v>18</v>
      </c>
      <c r="BB21" s="20" t="s">
        <v>356</v>
      </c>
      <c r="BC21" s="20" t="s">
        <v>357</v>
      </c>
      <c r="BD21" s="20">
        <v>1</v>
      </c>
      <c r="BE21" s="20" t="s">
        <v>365</v>
      </c>
      <c r="BF21" s="20" t="s">
        <v>355</v>
      </c>
      <c r="BG21" s="20">
        <v>12</v>
      </c>
      <c r="BH21" s="20" t="s">
        <v>358</v>
      </c>
      <c r="BI21" s="1"/>
      <c r="BJ21">
        <f>+'10% CO Elab'!AA21</f>
        <v>3.6520233477103335E-2</v>
      </c>
      <c r="BK21" s="20">
        <f t="shared" si="11"/>
        <v>6</v>
      </c>
      <c r="BL21" s="20" t="s">
        <v>29</v>
      </c>
      <c r="BM21" s="20" t="str">
        <f t="shared" si="12"/>
        <v>+</v>
      </c>
      <c r="BN21" s="20">
        <f t="shared" si="13"/>
        <v>12</v>
      </c>
      <c r="BO21" s="20" t="str">
        <f t="shared" si="14"/>
        <v>H2</v>
      </c>
      <c r="BP21" s="20" t="str">
        <f t="shared" si="15"/>
        <v>=</v>
      </c>
      <c r="BQ21" s="20">
        <f t="shared" si="16"/>
        <v>1</v>
      </c>
      <c r="BR21" s="20" t="str">
        <f t="shared" si="17"/>
        <v>C6H12</v>
      </c>
      <c r="BS21" s="20" t="str">
        <f t="shared" si="18"/>
        <v>+</v>
      </c>
      <c r="BT21" s="20">
        <f t="shared" si="23"/>
        <v>6</v>
      </c>
      <c r="BU21" s="20" t="str">
        <f t="shared" si="19"/>
        <v>H2O</v>
      </c>
      <c r="BW21">
        <f t="shared" si="20"/>
        <v>6.732922830480377E-2</v>
      </c>
      <c r="BX21">
        <f t="shared" si="21"/>
        <v>0.21912140086262</v>
      </c>
    </row>
    <row r="22" spans="5:76" x14ac:dyDescent="0.25">
      <c r="E22">
        <f>+'5% CO Elab'!R22</f>
        <v>17</v>
      </c>
      <c r="F22">
        <f>+'5% CO Elab'!S22</f>
        <v>6</v>
      </c>
      <c r="G22" t="str">
        <f>+'5% CO Elab'!T22</f>
        <v>BENZENE</v>
      </c>
      <c r="H22">
        <f>+'5% CO Elab'!U22</f>
        <v>0</v>
      </c>
      <c r="I22" t="str">
        <f>+'5% CO Elab'!V22</f>
        <v>C6-A</v>
      </c>
      <c r="J22">
        <f>+'5% CO Elab'!W22</f>
        <v>2.2556645398328469E-3</v>
      </c>
      <c r="L22">
        <f>+'5% CO Elab'!AB22</f>
        <v>4.0443733231905712E-5</v>
      </c>
      <c r="M22" s="20">
        <v>6</v>
      </c>
      <c r="N22" s="20" t="s">
        <v>354</v>
      </c>
      <c r="O22" s="20" t="s">
        <v>355</v>
      </c>
      <c r="P22" s="20">
        <v>15</v>
      </c>
      <c r="Q22" s="20" t="s">
        <v>356</v>
      </c>
      <c r="R22" s="20" t="s">
        <v>357</v>
      </c>
      <c r="S22" s="20">
        <v>1</v>
      </c>
      <c r="T22" s="20" t="s">
        <v>366</v>
      </c>
      <c r="U22" s="20" t="s">
        <v>355</v>
      </c>
      <c r="V22" s="20">
        <v>12</v>
      </c>
      <c r="W22" s="20" t="s">
        <v>358</v>
      </c>
      <c r="X22" s="1"/>
      <c r="Y22">
        <f>+'5% CO Elab'!AA22</f>
        <v>1.3027881901764984E-4</v>
      </c>
      <c r="Z22" s="20">
        <f t="shared" si="0"/>
        <v>6</v>
      </c>
      <c r="AA22" s="20" t="s">
        <v>29</v>
      </c>
      <c r="AB22" s="20" t="str">
        <f t="shared" si="1"/>
        <v>+</v>
      </c>
      <c r="AC22" s="20">
        <f t="shared" si="2"/>
        <v>9</v>
      </c>
      <c r="AD22" s="20" t="str">
        <f t="shared" si="3"/>
        <v>H2</v>
      </c>
      <c r="AE22" s="20" t="str">
        <f t="shared" si="4"/>
        <v>=</v>
      </c>
      <c r="AF22" s="20">
        <f t="shared" si="5"/>
        <v>1</v>
      </c>
      <c r="AG22" s="20" t="str">
        <f t="shared" si="6"/>
        <v>C6H6</v>
      </c>
      <c r="AH22" s="20" t="str">
        <f t="shared" si="7"/>
        <v>+</v>
      </c>
      <c r="AI22" s="20">
        <f t="shared" si="22"/>
        <v>6</v>
      </c>
      <c r="AJ22" s="20" t="str">
        <f t="shared" si="8"/>
        <v>H2O</v>
      </c>
      <c r="AL22">
        <f t="shared" si="9"/>
        <v>4.8532479878286855E-4</v>
      </c>
      <c r="AM22">
        <f t="shared" si="10"/>
        <v>7.8167291410589901E-4</v>
      </c>
      <c r="AP22">
        <f>+'10% CO Elab'!S22</f>
        <v>6</v>
      </c>
      <c r="AQ22" t="str">
        <f>+'10% CO Elab'!T22</f>
        <v>BENZENE</v>
      </c>
      <c r="AR22">
        <f>+'10% CO Elab'!U22</f>
        <v>0</v>
      </c>
      <c r="AS22" t="str">
        <f>+'10% CO Elab'!V22</f>
        <v>C6-A</v>
      </c>
      <c r="AT22">
        <f>+'10% CO Elab'!W22</f>
        <v>2.4894795862967249E-3</v>
      </c>
      <c r="AU22">
        <f>+'10% CO Elab'!X22</f>
        <v>1.4936877517780349E-2</v>
      </c>
      <c r="AW22">
        <f>+'10% CO Elab'!AB22</f>
        <v>2.2151924039324127E-5</v>
      </c>
      <c r="AX22" s="20">
        <v>6</v>
      </c>
      <c r="AY22" s="20" t="s">
        <v>354</v>
      </c>
      <c r="AZ22" s="20" t="s">
        <v>355</v>
      </c>
      <c r="BA22" s="20">
        <v>15</v>
      </c>
      <c r="BB22" s="20" t="s">
        <v>356</v>
      </c>
      <c r="BC22" s="20" t="s">
        <v>357</v>
      </c>
      <c r="BD22" s="20">
        <v>1</v>
      </c>
      <c r="BE22" s="20" t="s">
        <v>366</v>
      </c>
      <c r="BF22" s="20" t="s">
        <v>355</v>
      </c>
      <c r="BG22" s="20">
        <v>12</v>
      </c>
      <c r="BH22" s="20" t="s">
        <v>358</v>
      </c>
      <c r="BI22" s="1"/>
      <c r="BJ22">
        <f>+'10% CO Elab'!AA22</f>
        <v>1.4418583873633179E-4</v>
      </c>
      <c r="BK22" s="20">
        <f t="shared" si="11"/>
        <v>6</v>
      </c>
      <c r="BL22" s="20" t="s">
        <v>29</v>
      </c>
      <c r="BM22" s="20" t="str">
        <f t="shared" si="12"/>
        <v>+</v>
      </c>
      <c r="BN22" s="20">
        <f t="shared" si="13"/>
        <v>9</v>
      </c>
      <c r="BO22" s="20" t="str">
        <f t="shared" si="14"/>
        <v>H2</v>
      </c>
      <c r="BP22" s="20" t="str">
        <f t="shared" si="15"/>
        <v>=</v>
      </c>
      <c r="BQ22" s="20">
        <f t="shared" si="16"/>
        <v>1</v>
      </c>
      <c r="BR22" s="20" t="str">
        <f t="shared" si="17"/>
        <v>C6H6</v>
      </c>
      <c r="BS22" s="20" t="str">
        <f t="shared" si="18"/>
        <v>+</v>
      </c>
      <c r="BT22" s="20">
        <f t="shared" si="23"/>
        <v>6</v>
      </c>
      <c r="BU22" s="20" t="str">
        <f t="shared" si="19"/>
        <v>H2O</v>
      </c>
      <c r="BW22">
        <f t="shared" si="20"/>
        <v>2.6582308847188953E-4</v>
      </c>
      <c r="BX22">
        <f t="shared" si="21"/>
        <v>8.6511503241799067E-4</v>
      </c>
    </row>
    <row r="23" spans="5:76" x14ac:dyDescent="0.25">
      <c r="E23">
        <f>+'5% CO Elab'!R23</f>
        <v>18</v>
      </c>
      <c r="F23">
        <f>+'5% CO Elab'!S23</f>
        <v>6</v>
      </c>
      <c r="G23" t="str">
        <f>+'5% CO Elab'!T23</f>
        <v>CYCLOHEXANE</v>
      </c>
      <c r="H23">
        <f>+'5% CO Elab'!U23</f>
        <v>0</v>
      </c>
      <c r="I23" t="str">
        <f>+'5% CO Elab'!V23</f>
        <v>C6-N</v>
      </c>
      <c r="J23">
        <f>+'5% CO Elab'!W23</f>
        <v>2.7183577285660596E-2</v>
      </c>
      <c r="L23">
        <f>+'5% CO Elab'!AB23</f>
        <v>4.873975401110037E-4</v>
      </c>
      <c r="M23" s="20">
        <v>6</v>
      </c>
      <c r="N23" s="20" t="s">
        <v>354</v>
      </c>
      <c r="O23" s="20" t="s">
        <v>355</v>
      </c>
      <c r="P23" s="20">
        <v>18</v>
      </c>
      <c r="Q23" s="20" t="s">
        <v>356</v>
      </c>
      <c r="R23" s="20" t="s">
        <v>357</v>
      </c>
      <c r="S23" s="20">
        <v>1</v>
      </c>
      <c r="T23" s="20" t="s">
        <v>365</v>
      </c>
      <c r="U23" s="20" t="s">
        <v>355</v>
      </c>
      <c r="V23" s="20">
        <v>12</v>
      </c>
      <c r="W23" s="20" t="s">
        <v>358</v>
      </c>
      <c r="X23" s="1"/>
      <c r="Y23">
        <f>+'5% CO Elab'!AA23</f>
        <v>1.5700226176864529E-3</v>
      </c>
      <c r="Z23" s="20">
        <f t="shared" si="0"/>
        <v>6</v>
      </c>
      <c r="AA23" s="20" t="s">
        <v>29</v>
      </c>
      <c r="AB23" s="20" t="str">
        <f t="shared" si="1"/>
        <v>+</v>
      </c>
      <c r="AC23" s="20">
        <f t="shared" si="2"/>
        <v>12</v>
      </c>
      <c r="AD23" s="20" t="str">
        <f t="shared" si="3"/>
        <v>H2</v>
      </c>
      <c r="AE23" s="20" t="str">
        <f t="shared" si="4"/>
        <v>=</v>
      </c>
      <c r="AF23" s="20">
        <f t="shared" si="5"/>
        <v>1</v>
      </c>
      <c r="AG23" s="20" t="str">
        <f t="shared" si="6"/>
        <v>C6H12</v>
      </c>
      <c r="AH23" s="20" t="str">
        <f t="shared" si="7"/>
        <v>+</v>
      </c>
      <c r="AI23" s="20">
        <f t="shared" si="22"/>
        <v>6</v>
      </c>
      <c r="AJ23" s="20" t="str">
        <f t="shared" si="8"/>
        <v>H2O</v>
      </c>
      <c r="AL23">
        <f t="shared" si="9"/>
        <v>5.8487704813320442E-3</v>
      </c>
      <c r="AM23">
        <f t="shared" si="10"/>
        <v>9.4201357061187169E-3</v>
      </c>
      <c r="AP23">
        <f>+'10% CO Elab'!S23</f>
        <v>6</v>
      </c>
      <c r="AQ23" t="str">
        <f>+'10% CO Elab'!T23</f>
        <v>CYCLOHEXANE</v>
      </c>
      <c r="AR23">
        <f>+'10% CO Elab'!U23</f>
        <v>0</v>
      </c>
      <c r="AS23" t="str">
        <f>+'10% CO Elab'!V23</f>
        <v>C6-N</v>
      </c>
      <c r="AT23">
        <f>+'10% CO Elab'!W23</f>
        <v>3.0001340864358409E-2</v>
      </c>
      <c r="AU23">
        <f>+'10% CO Elab'!X23</f>
        <v>0.18000804518615046</v>
      </c>
      <c r="AW23">
        <f>+'10% CO Elab'!AB23</f>
        <v>2.6695837457890492E-4</v>
      </c>
      <c r="AX23" s="20">
        <v>6</v>
      </c>
      <c r="AY23" s="20" t="s">
        <v>354</v>
      </c>
      <c r="AZ23" s="20" t="s">
        <v>355</v>
      </c>
      <c r="BA23" s="20">
        <v>18</v>
      </c>
      <c r="BB23" s="20" t="s">
        <v>356</v>
      </c>
      <c r="BC23" s="20" t="s">
        <v>357</v>
      </c>
      <c r="BD23" s="20">
        <v>1</v>
      </c>
      <c r="BE23" s="20" t="s">
        <v>365</v>
      </c>
      <c r="BF23" s="20" t="s">
        <v>355</v>
      </c>
      <c r="BG23" s="20">
        <v>12</v>
      </c>
      <c r="BH23" s="20" t="s">
        <v>358</v>
      </c>
      <c r="BI23" s="1"/>
      <c r="BJ23">
        <f>+'10% CO Elab'!AA23</f>
        <v>1.7376195890712186E-3</v>
      </c>
      <c r="BK23" s="20">
        <f t="shared" si="11"/>
        <v>6</v>
      </c>
      <c r="BL23" s="20" t="s">
        <v>29</v>
      </c>
      <c r="BM23" s="20" t="str">
        <f t="shared" si="12"/>
        <v>+</v>
      </c>
      <c r="BN23" s="20">
        <f t="shared" si="13"/>
        <v>12</v>
      </c>
      <c r="BO23" s="20" t="str">
        <f t="shared" si="14"/>
        <v>H2</v>
      </c>
      <c r="BP23" s="20" t="str">
        <f t="shared" si="15"/>
        <v>=</v>
      </c>
      <c r="BQ23" s="20">
        <f t="shared" si="16"/>
        <v>1</v>
      </c>
      <c r="BR23" s="20" t="str">
        <f t="shared" si="17"/>
        <v>C6H12</v>
      </c>
      <c r="BS23" s="20" t="str">
        <f t="shared" si="18"/>
        <v>+</v>
      </c>
      <c r="BT23" s="20">
        <f t="shared" si="23"/>
        <v>6</v>
      </c>
      <c r="BU23" s="20" t="str">
        <f t="shared" si="19"/>
        <v>H2O</v>
      </c>
      <c r="BW23">
        <f t="shared" si="20"/>
        <v>3.2035004949468593E-3</v>
      </c>
      <c r="BX23">
        <f t="shared" si="21"/>
        <v>1.0425717534427312E-2</v>
      </c>
    </row>
    <row r="24" spans="5:76" x14ac:dyDescent="0.25">
      <c r="E24">
        <f>+'5% CO Elab'!R24</f>
        <v>19</v>
      </c>
      <c r="F24">
        <f>+'5% CO Elab'!S24</f>
        <v>7</v>
      </c>
      <c r="G24" t="str">
        <f>+'5% CO Elab'!T24</f>
        <v>N-HEPTANE</v>
      </c>
      <c r="H24" t="str">
        <f>+'5% CO Elab'!U24</f>
        <v>C7H16-1</v>
      </c>
      <c r="I24" t="str">
        <f>+'5% CO Elab'!V24</f>
        <v>C7</v>
      </c>
      <c r="J24">
        <f>+'5% CO Elab'!W24</f>
        <v>3.6542649360789502E-5</v>
      </c>
      <c r="L24">
        <f>+'5% CO Elab'!AB24</f>
        <v>7.644050458784471E-7</v>
      </c>
      <c r="M24" s="20">
        <v>7</v>
      </c>
      <c r="N24" s="20" t="s">
        <v>354</v>
      </c>
      <c r="O24" s="20" t="s">
        <v>355</v>
      </c>
      <c r="P24" s="20">
        <v>22</v>
      </c>
      <c r="Q24" s="20" t="s">
        <v>356</v>
      </c>
      <c r="R24" s="20" t="s">
        <v>357</v>
      </c>
      <c r="S24" s="20">
        <v>1</v>
      </c>
      <c r="T24" s="20" t="s">
        <v>367</v>
      </c>
      <c r="U24" s="20" t="s">
        <v>355</v>
      </c>
      <c r="V24" s="20">
        <v>14</v>
      </c>
      <c r="W24" s="20" t="s">
        <v>358</v>
      </c>
      <c r="X24" s="1"/>
      <c r="Y24">
        <f>+'5% CO Elab'!AA24</f>
        <v>2.4623292329901479E-6</v>
      </c>
      <c r="Z24" s="20">
        <f t="shared" si="0"/>
        <v>7</v>
      </c>
      <c r="AA24" s="20" t="s">
        <v>29</v>
      </c>
      <c r="AB24" s="20" t="str">
        <f t="shared" si="1"/>
        <v>+</v>
      </c>
      <c r="AC24" s="20">
        <f t="shared" si="2"/>
        <v>15</v>
      </c>
      <c r="AD24" s="20" t="str">
        <f t="shared" si="3"/>
        <v>H2</v>
      </c>
      <c r="AE24" s="20" t="str">
        <f t="shared" si="4"/>
        <v>=</v>
      </c>
      <c r="AF24" s="20">
        <f t="shared" si="5"/>
        <v>1</v>
      </c>
      <c r="AG24" s="20" t="str">
        <f t="shared" si="6"/>
        <v>C7H16</v>
      </c>
      <c r="AH24" s="20" t="str">
        <f t="shared" si="7"/>
        <v>+</v>
      </c>
      <c r="AI24" s="20">
        <f t="shared" si="22"/>
        <v>7</v>
      </c>
      <c r="AJ24" s="20" t="str">
        <f t="shared" si="8"/>
        <v>H2O</v>
      </c>
      <c r="AL24">
        <f t="shared" si="9"/>
        <v>1.0701670642298259E-5</v>
      </c>
      <c r="AM24">
        <f t="shared" si="10"/>
        <v>1.7236304630931035E-5</v>
      </c>
      <c r="AP24">
        <f>+'10% CO Elab'!S24</f>
        <v>7</v>
      </c>
      <c r="AQ24" t="str">
        <f>+'10% CO Elab'!T24</f>
        <v>N-HEPTANE</v>
      </c>
      <c r="AR24" t="str">
        <f>+'10% CO Elab'!U24</f>
        <v>C7H16-1</v>
      </c>
      <c r="AS24" t="str">
        <f>+'10% CO Elab'!V24</f>
        <v>C7</v>
      </c>
      <c r="AT24">
        <f>+'10% CO Elab'!W24</f>
        <v>1.5354985472503201E-5</v>
      </c>
      <c r="AU24">
        <f>+'10% CO Elab'!X24</f>
        <v>1.0748489830752241E-4</v>
      </c>
      <c r="AW24">
        <f>+'10% CO Elab'!AB24</f>
        <v>1.5940395171939096E-7</v>
      </c>
      <c r="AX24" s="20">
        <v>7</v>
      </c>
      <c r="AY24" s="20" t="s">
        <v>354</v>
      </c>
      <c r="AZ24" s="20" t="s">
        <v>355</v>
      </c>
      <c r="BA24" s="20">
        <v>22</v>
      </c>
      <c r="BB24" s="20" t="s">
        <v>356</v>
      </c>
      <c r="BC24" s="20" t="s">
        <v>357</v>
      </c>
      <c r="BD24" s="20">
        <v>1</v>
      </c>
      <c r="BE24" s="20" t="s">
        <v>367</v>
      </c>
      <c r="BF24" s="20" t="s">
        <v>355</v>
      </c>
      <c r="BG24" s="20">
        <v>14</v>
      </c>
      <c r="BH24" s="20" t="s">
        <v>358</v>
      </c>
      <c r="BI24" s="1"/>
      <c r="BJ24">
        <f>+'10% CO Elab'!AA24</f>
        <v>1.0375528751247638E-6</v>
      </c>
      <c r="BK24" s="20">
        <f t="shared" si="11"/>
        <v>7</v>
      </c>
      <c r="BL24" s="20" t="s">
        <v>29</v>
      </c>
      <c r="BM24" s="20" t="str">
        <f t="shared" si="12"/>
        <v>+</v>
      </c>
      <c r="BN24" s="20">
        <f t="shared" si="13"/>
        <v>15</v>
      </c>
      <c r="BO24" s="20" t="str">
        <f t="shared" si="14"/>
        <v>H2</v>
      </c>
      <c r="BP24" s="20" t="str">
        <f t="shared" si="15"/>
        <v>=</v>
      </c>
      <c r="BQ24" s="20">
        <f t="shared" si="16"/>
        <v>1</v>
      </c>
      <c r="BR24" s="20" t="str">
        <f t="shared" si="17"/>
        <v>C7H16</v>
      </c>
      <c r="BS24" s="20" t="str">
        <f t="shared" si="18"/>
        <v>+</v>
      </c>
      <c r="BT24" s="20">
        <f t="shared" si="23"/>
        <v>7</v>
      </c>
      <c r="BU24" s="20" t="str">
        <f t="shared" si="19"/>
        <v>H2O</v>
      </c>
      <c r="BW24">
        <f t="shared" si="20"/>
        <v>2.2316553240714734E-6</v>
      </c>
      <c r="BX24">
        <f t="shared" si="21"/>
        <v>7.2628701258733463E-6</v>
      </c>
    </row>
    <row r="25" spans="5:76" x14ac:dyDescent="0.25">
      <c r="E25">
        <f>+'5% CO Elab'!R25</f>
        <v>20</v>
      </c>
      <c r="F25">
        <f>+'5% CO Elab'!S25</f>
        <v>7</v>
      </c>
      <c r="G25" t="str">
        <f>+'5% CO Elab'!T25</f>
        <v>2-METHYLHEXANE</v>
      </c>
      <c r="H25" t="str">
        <f>+'5% CO Elab'!U25</f>
        <v>C7H16-2</v>
      </c>
      <c r="I25" t="str">
        <f>+'5% CO Elab'!V25</f>
        <v>C7-IP</v>
      </c>
      <c r="J25">
        <f>+'5% CO Elab'!W25</f>
        <v>0.23071816490945538</v>
      </c>
      <c r="L25">
        <f>+'5% CO Elab'!AB25</f>
        <v>4.8261998655697103E-3</v>
      </c>
      <c r="M25" s="20">
        <v>7</v>
      </c>
      <c r="N25" s="20" t="s">
        <v>354</v>
      </c>
      <c r="O25" s="20" t="s">
        <v>355</v>
      </c>
      <c r="P25" s="20">
        <v>22</v>
      </c>
      <c r="Q25" s="20" t="s">
        <v>356</v>
      </c>
      <c r="R25" s="20" t="s">
        <v>357</v>
      </c>
      <c r="S25" s="20">
        <v>1</v>
      </c>
      <c r="T25" s="20" t="s">
        <v>367</v>
      </c>
      <c r="U25" s="20" t="s">
        <v>355</v>
      </c>
      <c r="V25" s="20">
        <v>14</v>
      </c>
      <c r="W25" s="20" t="s">
        <v>358</v>
      </c>
      <c r="X25" s="1"/>
      <c r="Y25">
        <f>+'5% CO Elab'!AA25</f>
        <v>1.5546329890573645E-2</v>
      </c>
      <c r="Z25" s="20">
        <f t="shared" si="0"/>
        <v>7</v>
      </c>
      <c r="AA25" s="20" t="s">
        <v>29</v>
      </c>
      <c r="AB25" s="20" t="str">
        <f t="shared" si="1"/>
        <v>+</v>
      </c>
      <c r="AC25" s="20">
        <f t="shared" si="2"/>
        <v>15</v>
      </c>
      <c r="AD25" s="20" t="str">
        <f t="shared" si="3"/>
        <v>H2</v>
      </c>
      <c r="AE25" s="20" t="str">
        <f t="shared" si="4"/>
        <v>=</v>
      </c>
      <c r="AF25" s="20">
        <f t="shared" si="5"/>
        <v>1</v>
      </c>
      <c r="AG25" s="20" t="str">
        <f t="shared" si="6"/>
        <v>C7H16</v>
      </c>
      <c r="AH25" s="20" t="str">
        <f t="shared" si="7"/>
        <v>+</v>
      </c>
      <c r="AI25" s="20">
        <f t="shared" si="22"/>
        <v>7</v>
      </c>
      <c r="AJ25" s="20" t="str">
        <f t="shared" si="8"/>
        <v>H2O</v>
      </c>
      <c r="AL25">
        <f t="shared" si="9"/>
        <v>6.7566798117975946E-2</v>
      </c>
      <c r="AM25">
        <f t="shared" si="10"/>
        <v>0.10882430923401552</v>
      </c>
      <c r="AP25">
        <f>+'10% CO Elab'!S25</f>
        <v>7</v>
      </c>
      <c r="AQ25" t="str">
        <f>+'10% CO Elab'!T25</f>
        <v>2-METHYLHEXANE</v>
      </c>
      <c r="AR25" t="str">
        <f>+'10% CO Elab'!U25</f>
        <v>C7H16-2</v>
      </c>
      <c r="AS25" t="str">
        <f>+'10% CO Elab'!V25</f>
        <v>C7-IP</v>
      </c>
      <c r="AT25">
        <f>+'10% CO Elab'!W25</f>
        <v>0.25517737575835953</v>
      </c>
      <c r="AU25">
        <f>+'10% CO Elab'!X25</f>
        <v>1.7862416303085167</v>
      </c>
      <c r="AW25">
        <f>+'10% CO Elab'!AB25</f>
        <v>2.6490602780515227E-3</v>
      </c>
      <c r="AX25" s="20">
        <v>7</v>
      </c>
      <c r="AY25" s="20" t="s">
        <v>354</v>
      </c>
      <c r="AZ25" s="20" t="s">
        <v>355</v>
      </c>
      <c r="BA25" s="20">
        <v>22</v>
      </c>
      <c r="BB25" s="20" t="s">
        <v>356</v>
      </c>
      <c r="BC25" s="20" t="s">
        <v>357</v>
      </c>
      <c r="BD25" s="20">
        <v>1</v>
      </c>
      <c r="BE25" s="20" t="s">
        <v>367</v>
      </c>
      <c r="BF25" s="20" t="s">
        <v>355</v>
      </c>
      <c r="BG25" s="20">
        <v>14</v>
      </c>
      <c r="BH25" s="20" t="s">
        <v>358</v>
      </c>
      <c r="BI25" s="1"/>
      <c r="BJ25">
        <f>+'10% CO Elab'!AA25</f>
        <v>1.7242609597970294E-2</v>
      </c>
      <c r="BK25" s="20">
        <f t="shared" si="11"/>
        <v>7</v>
      </c>
      <c r="BL25" s="20" t="s">
        <v>29</v>
      </c>
      <c r="BM25" s="20" t="str">
        <f t="shared" si="12"/>
        <v>+</v>
      </c>
      <c r="BN25" s="20">
        <f t="shared" si="13"/>
        <v>15</v>
      </c>
      <c r="BO25" s="20" t="str">
        <f t="shared" si="14"/>
        <v>H2</v>
      </c>
      <c r="BP25" s="20" t="str">
        <f t="shared" si="15"/>
        <v>=</v>
      </c>
      <c r="BQ25" s="20">
        <f t="shared" si="16"/>
        <v>1</v>
      </c>
      <c r="BR25" s="20" t="str">
        <f t="shared" si="17"/>
        <v>C7H16</v>
      </c>
      <c r="BS25" s="20" t="str">
        <f t="shared" si="18"/>
        <v>+</v>
      </c>
      <c r="BT25" s="20">
        <f t="shared" si="23"/>
        <v>7</v>
      </c>
      <c r="BU25" s="20" t="str">
        <f t="shared" si="19"/>
        <v>H2O</v>
      </c>
      <c r="BW25">
        <f t="shared" si="20"/>
        <v>3.7086843892721322E-2</v>
      </c>
      <c r="BX25">
        <f t="shared" si="21"/>
        <v>0.12069826718579206</v>
      </c>
    </row>
    <row r="26" spans="5:76" x14ac:dyDescent="0.25">
      <c r="E26">
        <f>+'5% CO Elab'!R26</f>
        <v>21</v>
      </c>
      <c r="F26">
        <f>+'5% CO Elab'!S26</f>
        <v>7</v>
      </c>
      <c r="G26" t="str">
        <f>+'5% CO Elab'!T26</f>
        <v>1-HEPTENE</v>
      </c>
      <c r="H26" t="str">
        <f>+'5% CO Elab'!U26</f>
        <v>C7H14-7</v>
      </c>
      <c r="I26" t="str">
        <f>+'5% CO Elab'!V26</f>
        <v>C7-O</v>
      </c>
      <c r="J26">
        <f>+'5% CO Elab'!W26</f>
        <v>0.16140389481812589</v>
      </c>
      <c r="L26">
        <f>+'5% CO Elab'!AB26</f>
        <v>3.3762727602283521E-3</v>
      </c>
      <c r="M26" s="20">
        <v>7</v>
      </c>
      <c r="N26" s="20" t="s">
        <v>354</v>
      </c>
      <c r="O26" s="20" t="s">
        <v>355</v>
      </c>
      <c r="P26" s="20">
        <v>21</v>
      </c>
      <c r="Q26" s="20" t="s">
        <v>356</v>
      </c>
      <c r="R26" s="20" t="s">
        <v>357</v>
      </c>
      <c r="S26" s="20">
        <v>1</v>
      </c>
      <c r="T26" s="20" t="s">
        <v>368</v>
      </c>
      <c r="U26" s="20" t="s">
        <v>355</v>
      </c>
      <c r="V26" s="20">
        <v>14</v>
      </c>
      <c r="W26" s="20" t="s">
        <v>358</v>
      </c>
      <c r="X26" s="1"/>
      <c r="Y26">
        <f>+'5% CO Elab'!AA26</f>
        <v>1.0875772158862212E-2</v>
      </c>
      <c r="Z26" s="20">
        <f t="shared" si="0"/>
        <v>7</v>
      </c>
      <c r="AA26" s="20" t="s">
        <v>29</v>
      </c>
      <c r="AB26" s="20" t="str">
        <f t="shared" si="1"/>
        <v>+</v>
      </c>
      <c r="AC26" s="20">
        <f t="shared" si="2"/>
        <v>14</v>
      </c>
      <c r="AD26" s="20" t="str">
        <f t="shared" si="3"/>
        <v>H2</v>
      </c>
      <c r="AE26" s="20" t="str">
        <f t="shared" si="4"/>
        <v>=</v>
      </c>
      <c r="AF26" s="20">
        <f t="shared" si="5"/>
        <v>1</v>
      </c>
      <c r="AG26" s="20" t="str">
        <f t="shared" si="6"/>
        <v>C7H14</v>
      </c>
      <c r="AH26" s="20" t="str">
        <f t="shared" si="7"/>
        <v>+</v>
      </c>
      <c r="AI26" s="20">
        <f t="shared" si="22"/>
        <v>7</v>
      </c>
      <c r="AJ26" s="20" t="str">
        <f t="shared" si="8"/>
        <v>H2O</v>
      </c>
      <c r="AL26">
        <f t="shared" si="9"/>
        <v>4.7267818643196929E-2</v>
      </c>
      <c r="AM26">
        <f t="shared" si="10"/>
        <v>7.613040511203549E-2</v>
      </c>
      <c r="AP26">
        <f>+'10% CO Elab'!S26</f>
        <v>7</v>
      </c>
      <c r="AQ26" t="str">
        <f>+'10% CO Elab'!T26</f>
        <v>1-HEPTENE</v>
      </c>
      <c r="AR26" t="str">
        <f>+'10% CO Elab'!U26</f>
        <v>C7H14-7</v>
      </c>
      <c r="AS26" t="str">
        <f>+'10% CO Elab'!V26</f>
        <v>C7-O</v>
      </c>
      <c r="AT26">
        <f>+'10% CO Elab'!W26</f>
        <v>0.18837447528941123</v>
      </c>
      <c r="AU26">
        <f>+'10% CO Elab'!X26</f>
        <v>1.3186213270258786</v>
      </c>
      <c r="AW26">
        <f>+'10% CO Elab'!AB26</f>
        <v>1.9555626293473625E-3</v>
      </c>
      <c r="AX26" s="20">
        <v>7</v>
      </c>
      <c r="AY26" s="20" t="s">
        <v>354</v>
      </c>
      <c r="AZ26" s="20" t="s">
        <v>355</v>
      </c>
      <c r="BA26" s="20">
        <v>21</v>
      </c>
      <c r="BB26" s="20" t="s">
        <v>356</v>
      </c>
      <c r="BC26" s="20" t="s">
        <v>357</v>
      </c>
      <c r="BD26" s="20">
        <v>1</v>
      </c>
      <c r="BE26" s="20" t="s">
        <v>368</v>
      </c>
      <c r="BF26" s="20" t="s">
        <v>355</v>
      </c>
      <c r="BG26" s="20">
        <v>14</v>
      </c>
      <c r="BH26" s="20" t="s">
        <v>358</v>
      </c>
      <c r="BI26" s="1"/>
      <c r="BJ26">
        <f>+'10% CO Elab'!AA26</f>
        <v>1.2728665799563599E-2</v>
      </c>
      <c r="BK26" s="20">
        <f t="shared" si="11"/>
        <v>7</v>
      </c>
      <c r="BL26" s="20" t="s">
        <v>29</v>
      </c>
      <c r="BM26" s="20" t="str">
        <f t="shared" si="12"/>
        <v>+</v>
      </c>
      <c r="BN26" s="20">
        <f t="shared" si="13"/>
        <v>14</v>
      </c>
      <c r="BO26" s="20" t="str">
        <f t="shared" si="14"/>
        <v>H2</v>
      </c>
      <c r="BP26" s="20" t="str">
        <f t="shared" si="15"/>
        <v>=</v>
      </c>
      <c r="BQ26" s="20">
        <f t="shared" si="16"/>
        <v>1</v>
      </c>
      <c r="BR26" s="20" t="str">
        <f t="shared" si="17"/>
        <v>C7H14</v>
      </c>
      <c r="BS26" s="20" t="str">
        <f t="shared" si="18"/>
        <v>+</v>
      </c>
      <c r="BT26" s="20">
        <f t="shared" si="23"/>
        <v>7</v>
      </c>
      <c r="BU26" s="20" t="str">
        <f t="shared" si="19"/>
        <v>H2O</v>
      </c>
      <c r="BW26">
        <f t="shared" si="20"/>
        <v>2.7377876810863074E-2</v>
      </c>
      <c r="BX26">
        <f t="shared" si="21"/>
        <v>8.91006605969452E-2</v>
      </c>
    </row>
    <row r="27" spans="5:76" x14ac:dyDescent="0.25">
      <c r="E27">
        <f>+'5% CO Elab'!R27</f>
        <v>22</v>
      </c>
      <c r="F27">
        <f>+'5% CO Elab'!S27</f>
        <v>7</v>
      </c>
      <c r="G27" t="str">
        <f>+'5% CO Elab'!T27</f>
        <v>TOLUENE</v>
      </c>
      <c r="H27" t="str">
        <f>+'5% CO Elab'!U27</f>
        <v>C7H8</v>
      </c>
      <c r="I27" t="str">
        <f>+'5% CO Elab'!V27</f>
        <v>C7-A</v>
      </c>
      <c r="J27">
        <f>+'5% CO Elab'!W27</f>
        <v>6.0310830633780749E-3</v>
      </c>
      <c r="L27">
        <f>+'5% CO Elab'!AB27</f>
        <v>1.2615917035027589E-4</v>
      </c>
      <c r="M27" s="20">
        <v>7</v>
      </c>
      <c r="N27" s="20" t="s">
        <v>354</v>
      </c>
      <c r="O27" s="20" t="s">
        <v>355</v>
      </c>
      <c r="P27" s="20">
        <v>18</v>
      </c>
      <c r="Q27" s="20" t="s">
        <v>356</v>
      </c>
      <c r="R27" s="20" t="s">
        <v>357</v>
      </c>
      <c r="S27" s="20">
        <v>1</v>
      </c>
      <c r="T27" s="20" t="s">
        <v>193</v>
      </c>
      <c r="U27" s="20" t="s">
        <v>355</v>
      </c>
      <c r="V27" s="20">
        <v>14</v>
      </c>
      <c r="W27" s="20" t="s">
        <v>358</v>
      </c>
      <c r="X27" s="1"/>
      <c r="Y27">
        <f>+'5% CO Elab'!AA27</f>
        <v>4.0638849107318156E-4</v>
      </c>
      <c r="Z27" s="20">
        <f t="shared" si="0"/>
        <v>7</v>
      </c>
      <c r="AA27" s="20" t="s">
        <v>29</v>
      </c>
      <c r="AB27" s="20" t="str">
        <f t="shared" si="1"/>
        <v>+</v>
      </c>
      <c r="AC27" s="20">
        <f t="shared" si="2"/>
        <v>11</v>
      </c>
      <c r="AD27" s="20" t="str">
        <f t="shared" si="3"/>
        <v>H2</v>
      </c>
      <c r="AE27" s="20" t="str">
        <f t="shared" si="4"/>
        <v>=</v>
      </c>
      <c r="AF27" s="20">
        <f t="shared" si="5"/>
        <v>1</v>
      </c>
      <c r="AG27" s="20" t="str">
        <f t="shared" si="6"/>
        <v>C7H8</v>
      </c>
      <c r="AH27" s="20" t="str">
        <f t="shared" si="7"/>
        <v>+</v>
      </c>
      <c r="AI27" s="20">
        <f t="shared" si="22"/>
        <v>7</v>
      </c>
      <c r="AJ27" s="20" t="str">
        <f t="shared" si="8"/>
        <v>H2O</v>
      </c>
      <c r="AL27">
        <f t="shared" si="9"/>
        <v>1.7662283849038624E-3</v>
      </c>
      <c r="AM27">
        <f t="shared" si="10"/>
        <v>2.8447194375122711E-3</v>
      </c>
      <c r="AP27">
        <f>+'10% CO Elab'!S27</f>
        <v>7</v>
      </c>
      <c r="AQ27" t="str">
        <f>+'10% CO Elab'!T27</f>
        <v>TOLUENE</v>
      </c>
      <c r="AR27" t="str">
        <f>+'10% CO Elab'!U27</f>
        <v>C7H8</v>
      </c>
      <c r="AS27" t="str">
        <f>+'10% CO Elab'!V27</f>
        <v>C7-A</v>
      </c>
      <c r="AT27">
        <f>+'10% CO Elab'!W27</f>
        <v>6.65624604386087E-3</v>
      </c>
      <c r="AU27">
        <f>+'10% CO Elab'!X27</f>
        <v>4.6593722307026089E-2</v>
      </c>
      <c r="AW27">
        <f>+'10% CO Elab'!AB27</f>
        <v>6.910015805016673E-5</v>
      </c>
      <c r="AX27" s="20">
        <v>7</v>
      </c>
      <c r="AY27" s="20" t="s">
        <v>354</v>
      </c>
      <c r="AZ27" s="20" t="s">
        <v>355</v>
      </c>
      <c r="BA27" s="20">
        <v>18</v>
      </c>
      <c r="BB27" s="20" t="s">
        <v>356</v>
      </c>
      <c r="BC27" s="20" t="s">
        <v>357</v>
      </c>
      <c r="BD27" s="20">
        <v>1</v>
      </c>
      <c r="BE27" s="20" t="s">
        <v>193</v>
      </c>
      <c r="BF27" s="20" t="s">
        <v>355</v>
      </c>
      <c r="BG27" s="20">
        <v>14</v>
      </c>
      <c r="BH27" s="20" t="s">
        <v>358</v>
      </c>
      <c r="BI27" s="1"/>
      <c r="BJ27">
        <f>+'10% CO Elab'!AA27</f>
        <v>4.4976970070814508E-4</v>
      </c>
      <c r="BK27" s="20">
        <f t="shared" si="11"/>
        <v>7</v>
      </c>
      <c r="BL27" s="20" t="s">
        <v>29</v>
      </c>
      <c r="BM27" s="20" t="str">
        <f t="shared" si="12"/>
        <v>+</v>
      </c>
      <c r="BN27" s="20">
        <f t="shared" si="13"/>
        <v>11</v>
      </c>
      <c r="BO27" s="20" t="str">
        <f t="shared" si="14"/>
        <v>H2</v>
      </c>
      <c r="BP27" s="20" t="str">
        <f t="shared" si="15"/>
        <v>=</v>
      </c>
      <c r="BQ27" s="20">
        <f t="shared" si="16"/>
        <v>1</v>
      </c>
      <c r="BR27" s="20" t="str">
        <f t="shared" si="17"/>
        <v>C7H8</v>
      </c>
      <c r="BS27" s="20" t="str">
        <f t="shared" si="18"/>
        <v>+</v>
      </c>
      <c r="BT27" s="20">
        <f t="shared" si="23"/>
        <v>7</v>
      </c>
      <c r="BU27" s="20" t="str">
        <f t="shared" si="19"/>
        <v>H2O</v>
      </c>
      <c r="BW27">
        <f t="shared" si="20"/>
        <v>9.6740221270233428E-4</v>
      </c>
      <c r="BX27">
        <f t="shared" si="21"/>
        <v>3.1483879049570155E-3</v>
      </c>
    </row>
    <row r="28" spans="5:76" x14ac:dyDescent="0.25">
      <c r="E28">
        <f>+'5% CO Elab'!R28</f>
        <v>23</v>
      </c>
      <c r="F28">
        <f>+'5% CO Elab'!S28</f>
        <v>7</v>
      </c>
      <c r="G28" t="str">
        <f>+'5% CO Elab'!T28</f>
        <v>1c,3-Dimethylcyclopentane</v>
      </c>
      <c r="H28">
        <f>+'5% CO Elab'!U28</f>
        <v>0</v>
      </c>
      <c r="I28" t="str">
        <f>+'5% CO Elab'!V28</f>
        <v>C7-N</v>
      </c>
      <c r="J28">
        <f>+'5% CO Elab'!W28</f>
        <v>2.4547269354730956E-2</v>
      </c>
      <c r="L28">
        <f>+'5% CO Elab'!AB28</f>
        <v>5.1348374804558285E-4</v>
      </c>
      <c r="M28" s="20">
        <v>7</v>
      </c>
      <c r="N28" s="20" t="s">
        <v>354</v>
      </c>
      <c r="O28" s="20" t="s">
        <v>355</v>
      </c>
      <c r="P28" s="20">
        <v>21</v>
      </c>
      <c r="Q28" s="20" t="s">
        <v>356</v>
      </c>
      <c r="R28" s="20" t="s">
        <v>357</v>
      </c>
      <c r="S28" s="20">
        <v>1</v>
      </c>
      <c r="T28" s="20" t="s">
        <v>368</v>
      </c>
      <c r="U28" s="20" t="s">
        <v>355</v>
      </c>
      <c r="V28" s="20">
        <v>14</v>
      </c>
      <c r="W28" s="20" t="s">
        <v>358</v>
      </c>
      <c r="X28" s="1"/>
      <c r="Y28">
        <f>+'5% CO Elab'!AA28</f>
        <v>1.6540524559528369E-3</v>
      </c>
      <c r="Z28" s="20">
        <f t="shared" si="0"/>
        <v>7</v>
      </c>
      <c r="AA28" s="20" t="s">
        <v>29</v>
      </c>
      <c r="AB28" s="20" t="str">
        <f t="shared" si="1"/>
        <v>+</v>
      </c>
      <c r="AC28" s="20">
        <f t="shared" si="2"/>
        <v>14</v>
      </c>
      <c r="AD28" s="20" t="str">
        <f t="shared" si="3"/>
        <v>H2</v>
      </c>
      <c r="AE28" s="20" t="str">
        <f t="shared" si="4"/>
        <v>=</v>
      </c>
      <c r="AF28" s="20">
        <f t="shared" si="5"/>
        <v>1</v>
      </c>
      <c r="AG28" s="20" t="str">
        <f t="shared" si="6"/>
        <v>C7H14</v>
      </c>
      <c r="AH28" s="20" t="str">
        <f t="shared" si="7"/>
        <v>+</v>
      </c>
      <c r="AI28" s="20">
        <f t="shared" si="22"/>
        <v>7</v>
      </c>
      <c r="AJ28" s="20" t="str">
        <f t="shared" si="8"/>
        <v>H2O</v>
      </c>
      <c r="AL28">
        <f t="shared" si="9"/>
        <v>7.1887724726381599E-3</v>
      </c>
      <c r="AM28">
        <f t="shared" si="10"/>
        <v>1.1578367191669858E-2</v>
      </c>
      <c r="AP28">
        <f>+'10% CO Elab'!S28</f>
        <v>7</v>
      </c>
      <c r="AQ28" t="str">
        <f>+'10% CO Elab'!T28</f>
        <v>1c,3-Dimethylcyclopentane</v>
      </c>
      <c r="AR28">
        <f>+'10% CO Elab'!U28</f>
        <v>0</v>
      </c>
      <c r="AS28" t="str">
        <f>+'10% CO Elab'!V28</f>
        <v>C7-N</v>
      </c>
      <c r="AT28">
        <f>+'10% CO Elab'!W28</f>
        <v>2.709176159787411E-2</v>
      </c>
      <c r="AU28">
        <f>+'10% CO Elab'!X28</f>
        <v>0.18964233118511878</v>
      </c>
      <c r="AW28">
        <f>+'10% CO Elab'!AB28</f>
        <v>2.8124636558426899E-4</v>
      </c>
      <c r="AX28" s="20">
        <v>7</v>
      </c>
      <c r="AY28" s="20" t="s">
        <v>354</v>
      </c>
      <c r="AZ28" s="20" t="s">
        <v>355</v>
      </c>
      <c r="BA28" s="20">
        <v>21</v>
      </c>
      <c r="BB28" s="20" t="s">
        <v>356</v>
      </c>
      <c r="BC28" s="20" t="s">
        <v>357</v>
      </c>
      <c r="BD28" s="20">
        <v>1</v>
      </c>
      <c r="BE28" s="20" t="s">
        <v>368</v>
      </c>
      <c r="BF28" s="20" t="s">
        <v>355</v>
      </c>
      <c r="BG28" s="20">
        <v>14</v>
      </c>
      <c r="BH28" s="20" t="s">
        <v>358</v>
      </c>
      <c r="BI28" s="1"/>
      <c r="BJ28">
        <f>+'10% CO Elab'!AA28</f>
        <v>1.8306194550561524E-3</v>
      </c>
      <c r="BK28" s="20">
        <f t="shared" si="11"/>
        <v>7</v>
      </c>
      <c r="BL28" s="20" t="s">
        <v>29</v>
      </c>
      <c r="BM28" s="20" t="str">
        <f t="shared" si="12"/>
        <v>+</v>
      </c>
      <c r="BN28" s="20">
        <f t="shared" si="13"/>
        <v>14</v>
      </c>
      <c r="BO28" s="20" t="str">
        <f t="shared" si="14"/>
        <v>H2</v>
      </c>
      <c r="BP28" s="20" t="str">
        <f t="shared" si="15"/>
        <v>=</v>
      </c>
      <c r="BQ28" s="20">
        <f t="shared" si="16"/>
        <v>1</v>
      </c>
      <c r="BR28" s="20" t="str">
        <f t="shared" si="17"/>
        <v>C7H14</v>
      </c>
      <c r="BS28" s="20" t="str">
        <f t="shared" si="18"/>
        <v>+</v>
      </c>
      <c r="BT28" s="20">
        <f t="shared" si="23"/>
        <v>7</v>
      </c>
      <c r="BU28" s="20" t="str">
        <f t="shared" si="19"/>
        <v>H2O</v>
      </c>
      <c r="BW28">
        <f t="shared" si="20"/>
        <v>3.9374491181797654E-3</v>
      </c>
      <c r="BX28">
        <f t="shared" si="21"/>
        <v>1.2814336185393066E-2</v>
      </c>
    </row>
    <row r="29" spans="5:76" x14ac:dyDescent="0.25">
      <c r="E29">
        <f>+'5% CO Elab'!R29</f>
        <v>24</v>
      </c>
      <c r="F29">
        <f>+'5% CO Elab'!S29</f>
        <v>8</v>
      </c>
      <c r="G29" t="str">
        <f>+'5% CO Elab'!T29</f>
        <v>N-OCTANE</v>
      </c>
      <c r="H29" t="str">
        <f>+'5% CO Elab'!U29</f>
        <v>C8H18-1</v>
      </c>
      <c r="I29" t="str">
        <f>+'5% CO Elab'!V29</f>
        <v>C8</v>
      </c>
      <c r="J29">
        <f>+'5% CO Elab'!W29</f>
        <v>1.6684247271973093E-2</v>
      </c>
      <c r="L29">
        <f>+'5% CO Elab'!AB29</f>
        <v>3.9886146420976446E-4</v>
      </c>
      <c r="M29" s="20">
        <v>8</v>
      </c>
      <c r="N29" s="20" t="s">
        <v>354</v>
      </c>
      <c r="O29" s="20" t="s">
        <v>355</v>
      </c>
      <c r="P29" s="20">
        <v>25</v>
      </c>
      <c r="Q29" s="20" t="s">
        <v>356</v>
      </c>
      <c r="R29" s="20" t="s">
        <v>357</v>
      </c>
      <c r="S29" s="20">
        <v>1</v>
      </c>
      <c r="T29" s="20" t="s">
        <v>369</v>
      </c>
      <c r="U29" s="20" t="s">
        <v>355</v>
      </c>
      <c r="V29" s="20">
        <v>16</v>
      </c>
      <c r="W29" s="20" t="s">
        <v>358</v>
      </c>
      <c r="X29" s="1"/>
      <c r="Y29">
        <f>+'5% CO Elab'!AA29</f>
        <v>1.284827001774045E-3</v>
      </c>
      <c r="Z29" s="20">
        <f t="shared" si="0"/>
        <v>8</v>
      </c>
      <c r="AA29" s="20" t="s">
        <v>29</v>
      </c>
      <c r="AB29" s="20" t="str">
        <f t="shared" si="1"/>
        <v>+</v>
      </c>
      <c r="AC29" s="20">
        <f t="shared" si="2"/>
        <v>17</v>
      </c>
      <c r="AD29" s="20" t="str">
        <f t="shared" si="3"/>
        <v>H2</v>
      </c>
      <c r="AE29" s="20" t="str">
        <f t="shared" si="4"/>
        <v>=</v>
      </c>
      <c r="AF29" s="20">
        <f t="shared" si="5"/>
        <v>1</v>
      </c>
      <c r="AG29" s="20" t="str">
        <f t="shared" si="6"/>
        <v>C8H18</v>
      </c>
      <c r="AH29" s="20" t="str">
        <f t="shared" si="7"/>
        <v>+</v>
      </c>
      <c r="AI29" s="20">
        <f t="shared" si="22"/>
        <v>8</v>
      </c>
      <c r="AJ29" s="20" t="str">
        <f t="shared" si="8"/>
        <v>H2O</v>
      </c>
      <c r="AL29">
        <f t="shared" si="9"/>
        <v>6.3817834273562314E-3</v>
      </c>
      <c r="AM29">
        <f t="shared" si="10"/>
        <v>1.027861601419236E-2</v>
      </c>
      <c r="AP29">
        <f>+'10% CO Elab'!S29</f>
        <v>8</v>
      </c>
      <c r="AQ29" t="str">
        <f>+'10% CO Elab'!T29</f>
        <v>N-OCTANE</v>
      </c>
      <c r="AR29" t="str">
        <f>+'10% CO Elab'!U29</f>
        <v>C8H18-1</v>
      </c>
      <c r="AS29" t="str">
        <f>+'10% CO Elab'!V29</f>
        <v>C8</v>
      </c>
      <c r="AT29">
        <f>+'10% CO Elab'!W29</f>
        <v>2.5054457568124567E-2</v>
      </c>
      <c r="AU29">
        <f>+'10% CO Elab'!X29</f>
        <v>0.20043566054499654</v>
      </c>
      <c r="AW29">
        <f>+'10% CO Elab'!AB29</f>
        <v>2.9725325938297694E-4</v>
      </c>
      <c r="AX29" s="20">
        <v>8</v>
      </c>
      <c r="AY29" s="20" t="s">
        <v>354</v>
      </c>
      <c r="AZ29" s="20" t="s">
        <v>355</v>
      </c>
      <c r="BA29" s="20">
        <v>25</v>
      </c>
      <c r="BB29" s="20" t="s">
        <v>356</v>
      </c>
      <c r="BC29" s="20" t="s">
        <v>357</v>
      </c>
      <c r="BD29" s="20">
        <v>1</v>
      </c>
      <c r="BE29" s="20" t="s">
        <v>369</v>
      </c>
      <c r="BF29" s="20" t="s">
        <v>355</v>
      </c>
      <c r="BG29" s="20">
        <v>16</v>
      </c>
      <c r="BH29" s="20" t="s">
        <v>358</v>
      </c>
      <c r="BI29" s="1"/>
      <c r="BJ29">
        <f>+'10% CO Elab'!AA29</f>
        <v>1.9348075790237588E-3</v>
      </c>
      <c r="BK29" s="20">
        <f t="shared" si="11"/>
        <v>8</v>
      </c>
      <c r="BL29" s="20" t="s">
        <v>29</v>
      </c>
      <c r="BM29" s="20" t="str">
        <f t="shared" si="12"/>
        <v>+</v>
      </c>
      <c r="BN29" s="20">
        <f t="shared" si="13"/>
        <v>17</v>
      </c>
      <c r="BO29" s="20" t="str">
        <f t="shared" si="14"/>
        <v>H2</v>
      </c>
      <c r="BP29" s="20" t="str">
        <f t="shared" si="15"/>
        <v>=</v>
      </c>
      <c r="BQ29" s="20">
        <f t="shared" si="16"/>
        <v>1</v>
      </c>
      <c r="BR29" s="20" t="str">
        <f t="shared" si="17"/>
        <v>C8H18</v>
      </c>
      <c r="BS29" s="20" t="str">
        <f t="shared" si="18"/>
        <v>+</v>
      </c>
      <c r="BT29" s="20">
        <f t="shared" si="23"/>
        <v>8</v>
      </c>
      <c r="BU29" s="20" t="str">
        <f t="shared" si="19"/>
        <v>H2O</v>
      </c>
      <c r="BW29">
        <f t="shared" si="20"/>
        <v>4.756052150127631E-3</v>
      </c>
      <c r="BX29">
        <f t="shared" si="21"/>
        <v>1.5478460632190071E-2</v>
      </c>
    </row>
    <row r="30" spans="5:76" x14ac:dyDescent="0.25">
      <c r="E30">
        <f>+'5% CO Elab'!R30</f>
        <v>25</v>
      </c>
      <c r="F30">
        <f>+'5% CO Elab'!S30</f>
        <v>8</v>
      </c>
      <c r="G30" t="str">
        <f>+'5% CO Elab'!T30</f>
        <v>2,2,4-TRIMETHYLPENTANE</v>
      </c>
      <c r="H30" t="str">
        <f>+'5% CO Elab'!U30</f>
        <v>C8H18-13</v>
      </c>
      <c r="I30" t="str">
        <f>+'5% CO Elab'!V30</f>
        <v>C8-IP</v>
      </c>
      <c r="J30">
        <f>+'5% CO Elab'!W30</f>
        <v>9.6330973754236549E-2</v>
      </c>
      <c r="L30">
        <f>+'5% CO Elab'!AB30</f>
        <v>2.302933576446765E-3</v>
      </c>
      <c r="M30" s="20">
        <v>8</v>
      </c>
      <c r="N30" s="20" t="s">
        <v>354</v>
      </c>
      <c r="O30" s="20" t="s">
        <v>355</v>
      </c>
      <c r="P30" s="20">
        <v>25</v>
      </c>
      <c r="Q30" s="20" t="s">
        <v>356</v>
      </c>
      <c r="R30" s="20" t="s">
        <v>357</v>
      </c>
      <c r="S30" s="20">
        <v>1</v>
      </c>
      <c r="T30" s="20" t="s">
        <v>369</v>
      </c>
      <c r="U30" s="20" t="s">
        <v>355</v>
      </c>
      <c r="V30" s="20">
        <v>16</v>
      </c>
      <c r="W30" s="20" t="s">
        <v>358</v>
      </c>
      <c r="X30" s="1"/>
      <c r="Y30">
        <f>+'5% CO Elab'!AA30</f>
        <v>7.4182930862300147E-3</v>
      </c>
      <c r="Z30" s="20">
        <f t="shared" si="0"/>
        <v>8</v>
      </c>
      <c r="AA30" s="20" t="s">
        <v>29</v>
      </c>
      <c r="AB30" s="20" t="str">
        <f t="shared" si="1"/>
        <v>+</v>
      </c>
      <c r="AC30" s="20">
        <f t="shared" si="2"/>
        <v>17</v>
      </c>
      <c r="AD30" s="20" t="str">
        <f t="shared" si="3"/>
        <v>H2</v>
      </c>
      <c r="AE30" s="20" t="str">
        <f t="shared" si="4"/>
        <v>=</v>
      </c>
      <c r="AF30" s="20">
        <f t="shared" si="5"/>
        <v>1</v>
      </c>
      <c r="AG30" s="20" t="str">
        <f t="shared" si="6"/>
        <v>C8H18</v>
      </c>
      <c r="AH30" s="20" t="str">
        <f t="shared" si="7"/>
        <v>+</v>
      </c>
      <c r="AI30" s="20">
        <f t="shared" si="22"/>
        <v>8</v>
      </c>
      <c r="AJ30" s="20" t="str">
        <f t="shared" si="8"/>
        <v>H2O</v>
      </c>
      <c r="AL30">
        <f t="shared" si="9"/>
        <v>3.6846937223148239E-2</v>
      </c>
      <c r="AM30">
        <f t="shared" si="10"/>
        <v>5.9346344689840118E-2</v>
      </c>
      <c r="AP30">
        <f>+'10% CO Elab'!S30</f>
        <v>8</v>
      </c>
      <c r="AQ30" t="str">
        <f>+'10% CO Elab'!T30</f>
        <v>2,2,4-TRIMETHYLPENTANE</v>
      </c>
      <c r="AR30" t="str">
        <f>+'10% CO Elab'!U30</f>
        <v>C8H18-13</v>
      </c>
      <c r="AS30" t="str">
        <f>+'10% CO Elab'!V30</f>
        <v>C8-IP</v>
      </c>
      <c r="AT30">
        <f>+'10% CO Elab'!W30</f>
        <v>0.10631633758228454</v>
      </c>
      <c r="AU30">
        <f>+'10% CO Elab'!X30</f>
        <v>0.8505307006582763</v>
      </c>
      <c r="AW30">
        <f>+'10% CO Elab'!AB30</f>
        <v>1.2613674746725151E-3</v>
      </c>
      <c r="AX30" s="20">
        <v>8</v>
      </c>
      <c r="AY30" s="20" t="s">
        <v>354</v>
      </c>
      <c r="AZ30" s="20" t="s">
        <v>355</v>
      </c>
      <c r="BA30" s="20">
        <v>25</v>
      </c>
      <c r="BB30" s="20" t="s">
        <v>356</v>
      </c>
      <c r="BC30" s="20" t="s">
        <v>357</v>
      </c>
      <c r="BD30" s="20">
        <v>1</v>
      </c>
      <c r="BE30" s="20" t="s">
        <v>369</v>
      </c>
      <c r="BF30" s="20" t="s">
        <v>355</v>
      </c>
      <c r="BG30" s="20">
        <v>16</v>
      </c>
      <c r="BH30" s="20" t="s">
        <v>358</v>
      </c>
      <c r="BI30" s="1"/>
      <c r="BJ30">
        <f>+'10% CO Elab'!AA30</f>
        <v>8.2101819673779611E-3</v>
      </c>
      <c r="BK30" s="20">
        <f t="shared" si="11"/>
        <v>8</v>
      </c>
      <c r="BL30" s="20" t="s">
        <v>29</v>
      </c>
      <c r="BM30" s="20" t="str">
        <f t="shared" si="12"/>
        <v>+</v>
      </c>
      <c r="BN30" s="20">
        <f t="shared" si="13"/>
        <v>17</v>
      </c>
      <c r="BO30" s="20" t="str">
        <f t="shared" si="14"/>
        <v>H2</v>
      </c>
      <c r="BP30" s="20" t="str">
        <f t="shared" si="15"/>
        <v>=</v>
      </c>
      <c r="BQ30" s="20">
        <f t="shared" si="16"/>
        <v>1</v>
      </c>
      <c r="BR30" s="20" t="str">
        <f t="shared" si="17"/>
        <v>C8H18</v>
      </c>
      <c r="BS30" s="20" t="str">
        <f t="shared" si="18"/>
        <v>+</v>
      </c>
      <c r="BT30" s="20">
        <f t="shared" si="23"/>
        <v>8</v>
      </c>
      <c r="BU30" s="20" t="str">
        <f t="shared" si="19"/>
        <v>H2O</v>
      </c>
      <c r="BW30">
        <f t="shared" si="20"/>
        <v>2.0181879594760241E-2</v>
      </c>
      <c r="BX30">
        <f t="shared" si="21"/>
        <v>6.5681455739023689E-2</v>
      </c>
    </row>
    <row r="31" spans="5:76" x14ac:dyDescent="0.25">
      <c r="E31">
        <f>+'5% CO Elab'!R31</f>
        <v>26</v>
      </c>
      <c r="F31">
        <f>+'5% CO Elab'!S31</f>
        <v>8</v>
      </c>
      <c r="G31" t="str">
        <f>+'5% CO Elab'!T31</f>
        <v>1-OCTENE</v>
      </c>
      <c r="H31" t="str">
        <f>+'5% CO Elab'!U31</f>
        <v>C8H16-16</v>
      </c>
      <c r="I31" t="str">
        <f>+'5% CO Elab'!V31</f>
        <v>C8-O</v>
      </c>
      <c r="J31">
        <f>+'5% CO Elab'!W31</f>
        <v>0.26445693023067784</v>
      </c>
      <c r="L31">
        <f>+'5% CO Elab'!AB31</f>
        <v>6.3222317850335557E-3</v>
      </c>
      <c r="M31" s="20">
        <v>8</v>
      </c>
      <c r="N31" s="20" t="s">
        <v>354</v>
      </c>
      <c r="O31" s="20" t="s">
        <v>355</v>
      </c>
      <c r="P31" s="20">
        <v>24</v>
      </c>
      <c r="Q31" s="20" t="s">
        <v>356</v>
      </c>
      <c r="R31" s="20" t="s">
        <v>357</v>
      </c>
      <c r="S31" s="20">
        <v>1</v>
      </c>
      <c r="T31" s="20" t="s">
        <v>370</v>
      </c>
      <c r="U31" s="20" t="s">
        <v>355</v>
      </c>
      <c r="V31" s="20">
        <v>16</v>
      </c>
      <c r="W31" s="20" t="s">
        <v>358</v>
      </c>
      <c r="X31" s="1"/>
      <c r="Y31">
        <f>+'5% CO Elab'!AA31</f>
        <v>2.0365402120204063E-2</v>
      </c>
      <c r="Z31" s="20">
        <f t="shared" si="0"/>
        <v>8</v>
      </c>
      <c r="AA31" s="20" t="s">
        <v>29</v>
      </c>
      <c r="AB31" s="20" t="str">
        <f t="shared" si="1"/>
        <v>+</v>
      </c>
      <c r="AC31" s="20">
        <f t="shared" si="2"/>
        <v>16</v>
      </c>
      <c r="AD31" s="20" t="str">
        <f t="shared" si="3"/>
        <v>H2</v>
      </c>
      <c r="AE31" s="20" t="str">
        <f t="shared" si="4"/>
        <v>=</v>
      </c>
      <c r="AF31" s="20">
        <f t="shared" si="5"/>
        <v>1</v>
      </c>
      <c r="AG31" s="20" t="str">
        <f t="shared" si="6"/>
        <v>C8H16</v>
      </c>
      <c r="AH31" s="20" t="str">
        <f t="shared" si="7"/>
        <v>+</v>
      </c>
      <c r="AI31" s="20">
        <f t="shared" si="22"/>
        <v>8</v>
      </c>
      <c r="AJ31" s="20" t="str">
        <f t="shared" si="8"/>
        <v>H2O</v>
      </c>
      <c r="AL31">
        <f t="shared" si="9"/>
        <v>0.10115570856053689</v>
      </c>
      <c r="AM31">
        <f t="shared" si="10"/>
        <v>0.16292321696163251</v>
      </c>
      <c r="AP31">
        <f>+'10% CO Elab'!S31</f>
        <v>8</v>
      </c>
      <c r="AQ31" t="str">
        <f>+'10% CO Elab'!T31</f>
        <v>1-OCTENE</v>
      </c>
      <c r="AR31" t="str">
        <f>+'10% CO Elab'!U31</f>
        <v>C8H16-16</v>
      </c>
      <c r="AS31" t="str">
        <f>+'10% CO Elab'!V31</f>
        <v>C8-O</v>
      </c>
      <c r="AT31">
        <f>+'10% CO Elab'!W31</f>
        <v>0.29186969854691103</v>
      </c>
      <c r="AU31">
        <f>+'10% CO Elab'!X31</f>
        <v>2.3349575883752882</v>
      </c>
      <c r="AW31">
        <f>+'10% CO Elab'!AB31</f>
        <v>3.4628256857005481E-3</v>
      </c>
      <c r="AX31" s="20">
        <v>8</v>
      </c>
      <c r="AY31" s="20" t="s">
        <v>354</v>
      </c>
      <c r="AZ31" s="20" t="s">
        <v>355</v>
      </c>
      <c r="BA31" s="20">
        <v>24</v>
      </c>
      <c r="BB31" s="20" t="s">
        <v>356</v>
      </c>
      <c r="BC31" s="20" t="s">
        <v>357</v>
      </c>
      <c r="BD31" s="20">
        <v>1</v>
      </c>
      <c r="BE31" s="20" t="s">
        <v>370</v>
      </c>
      <c r="BF31" s="20" t="s">
        <v>355</v>
      </c>
      <c r="BG31" s="20">
        <v>16</v>
      </c>
      <c r="BH31" s="20" t="s">
        <v>358</v>
      </c>
      <c r="BI31" s="1"/>
      <c r="BJ31">
        <f>+'10% CO Elab'!AA31</f>
        <v>2.2539370620994623E-2</v>
      </c>
      <c r="BK31" s="20">
        <f t="shared" si="11"/>
        <v>8</v>
      </c>
      <c r="BL31" s="20" t="s">
        <v>29</v>
      </c>
      <c r="BM31" s="20" t="str">
        <f t="shared" si="12"/>
        <v>+</v>
      </c>
      <c r="BN31" s="20">
        <f t="shared" si="13"/>
        <v>16</v>
      </c>
      <c r="BO31" s="20" t="str">
        <f t="shared" si="14"/>
        <v>H2</v>
      </c>
      <c r="BP31" s="20" t="str">
        <f t="shared" si="15"/>
        <v>=</v>
      </c>
      <c r="BQ31" s="20">
        <f t="shared" si="16"/>
        <v>1</v>
      </c>
      <c r="BR31" s="20" t="str">
        <f t="shared" si="17"/>
        <v>C8H16</v>
      </c>
      <c r="BS31" s="20" t="str">
        <f t="shared" si="18"/>
        <v>+</v>
      </c>
      <c r="BT31" s="20">
        <f t="shared" si="23"/>
        <v>8</v>
      </c>
      <c r="BU31" s="20" t="str">
        <f t="shared" si="19"/>
        <v>H2O</v>
      </c>
      <c r="BW31">
        <f t="shared" si="20"/>
        <v>5.540521097120877E-2</v>
      </c>
      <c r="BX31">
        <f t="shared" si="21"/>
        <v>0.18031496496795699</v>
      </c>
    </row>
    <row r="32" spans="5:76" x14ac:dyDescent="0.25">
      <c r="E32">
        <f>+'5% CO Elab'!R32</f>
        <v>27</v>
      </c>
      <c r="F32">
        <f>+'5% CO Elab'!S32</f>
        <v>8</v>
      </c>
      <c r="G32" t="str">
        <f>+'5% CO Elab'!T32</f>
        <v>1-METHYL-1-ETHYLCYCLOPENTANE</v>
      </c>
      <c r="H32" t="str">
        <f>+'5% CO Elab'!U32</f>
        <v>C8H16-13</v>
      </c>
      <c r="I32" t="str">
        <f>+'5% CO Elab'!V32</f>
        <v>C8-N</v>
      </c>
      <c r="J32">
        <f>+'5% CO Elab'!W32</f>
        <v>4.324108922859568E-2</v>
      </c>
      <c r="L32">
        <f>+'5% CO Elab'!AB32</f>
        <v>1.0337418214075101E-3</v>
      </c>
      <c r="M32" s="20">
        <v>8</v>
      </c>
      <c r="N32" s="20" t="s">
        <v>354</v>
      </c>
      <c r="O32" s="20" t="s">
        <v>355</v>
      </c>
      <c r="P32" s="20">
        <v>24</v>
      </c>
      <c r="Q32" s="20" t="s">
        <v>356</v>
      </c>
      <c r="R32" s="20" t="s">
        <v>357</v>
      </c>
      <c r="S32" s="20">
        <v>1</v>
      </c>
      <c r="T32" s="20" t="s">
        <v>370</v>
      </c>
      <c r="U32" s="20" t="s">
        <v>355</v>
      </c>
      <c r="V32" s="20">
        <v>16</v>
      </c>
      <c r="W32" s="20" t="s">
        <v>358</v>
      </c>
      <c r="X32" s="1"/>
      <c r="Y32">
        <f>+'5% CO Elab'!AA32</f>
        <v>3.3299266140911304E-3</v>
      </c>
      <c r="Z32" s="20">
        <f t="shared" si="0"/>
        <v>8</v>
      </c>
      <c r="AA32" s="20" t="s">
        <v>29</v>
      </c>
      <c r="AB32" s="20" t="str">
        <f t="shared" si="1"/>
        <v>+</v>
      </c>
      <c r="AC32" s="20">
        <f t="shared" si="2"/>
        <v>16</v>
      </c>
      <c r="AD32" s="20" t="str">
        <f t="shared" si="3"/>
        <v>H2</v>
      </c>
      <c r="AE32" s="20" t="str">
        <f t="shared" si="4"/>
        <v>=</v>
      </c>
      <c r="AF32" s="20">
        <f t="shared" si="5"/>
        <v>1</v>
      </c>
      <c r="AG32" s="20" t="str">
        <f t="shared" si="6"/>
        <v>C8H16</v>
      </c>
      <c r="AH32" s="20" t="str">
        <f t="shared" si="7"/>
        <v>+</v>
      </c>
      <c r="AI32" s="20">
        <f t="shared" si="22"/>
        <v>8</v>
      </c>
      <c r="AJ32" s="20" t="str">
        <f t="shared" si="8"/>
        <v>H2O</v>
      </c>
      <c r="AL32">
        <f t="shared" si="9"/>
        <v>1.6539869142520161E-2</v>
      </c>
      <c r="AM32">
        <f t="shared" si="10"/>
        <v>2.6639412912729043E-2</v>
      </c>
      <c r="AP32">
        <f>+'10% CO Elab'!S32</f>
        <v>8</v>
      </c>
      <c r="AQ32" t="str">
        <f>+'10% CO Elab'!T32</f>
        <v>1-METHYL-1-ETHYLCYCLOPENTANE</v>
      </c>
      <c r="AR32" t="str">
        <f>+'10% CO Elab'!U32</f>
        <v>C8H16-13</v>
      </c>
      <c r="AS32" t="str">
        <f>+'10% CO Elab'!V32</f>
        <v>C8-N</v>
      </c>
      <c r="AT32">
        <f>+'10% CO Elab'!W32</f>
        <v>4.7723323669308218E-2</v>
      </c>
      <c r="AU32">
        <f>+'10% CO Elab'!X32</f>
        <v>0.38178658935446574</v>
      </c>
      <c r="AW32">
        <f>+'10% CO Elab'!AB32</f>
        <v>5.6620317844512471E-4</v>
      </c>
      <c r="AX32" s="20">
        <v>8</v>
      </c>
      <c r="AY32" s="20" t="s">
        <v>354</v>
      </c>
      <c r="AZ32" s="20" t="s">
        <v>355</v>
      </c>
      <c r="BA32" s="20">
        <v>24</v>
      </c>
      <c r="BB32" s="20" t="s">
        <v>356</v>
      </c>
      <c r="BC32" s="20" t="s">
        <v>357</v>
      </c>
      <c r="BD32" s="20">
        <v>1</v>
      </c>
      <c r="BE32" s="20" t="s">
        <v>370</v>
      </c>
      <c r="BF32" s="20" t="s">
        <v>355</v>
      </c>
      <c r="BG32" s="20">
        <v>16</v>
      </c>
      <c r="BH32" s="20" t="s">
        <v>358</v>
      </c>
      <c r="BI32" s="1"/>
      <c r="BJ32">
        <f>+'10% CO Elab'!AA32</f>
        <v>3.6853900381006405E-3</v>
      </c>
      <c r="BK32" s="20">
        <f t="shared" si="11"/>
        <v>8</v>
      </c>
      <c r="BL32" s="20" t="s">
        <v>29</v>
      </c>
      <c r="BM32" s="20" t="str">
        <f t="shared" si="12"/>
        <v>+</v>
      </c>
      <c r="BN32" s="20">
        <f t="shared" si="13"/>
        <v>16</v>
      </c>
      <c r="BO32" s="20" t="str">
        <f t="shared" si="14"/>
        <v>H2</v>
      </c>
      <c r="BP32" s="20" t="str">
        <f t="shared" si="15"/>
        <v>=</v>
      </c>
      <c r="BQ32" s="20">
        <f t="shared" si="16"/>
        <v>1</v>
      </c>
      <c r="BR32" s="20" t="str">
        <f t="shared" si="17"/>
        <v>C8H16</v>
      </c>
      <c r="BS32" s="20" t="str">
        <f t="shared" si="18"/>
        <v>+</v>
      </c>
      <c r="BT32" s="20">
        <f t="shared" si="23"/>
        <v>8</v>
      </c>
      <c r="BU32" s="20" t="str">
        <f t="shared" si="19"/>
        <v>H2O</v>
      </c>
      <c r="BW32">
        <f t="shared" si="20"/>
        <v>9.0592508551219954E-3</v>
      </c>
      <c r="BX32">
        <f t="shared" si="21"/>
        <v>2.9483120304805124E-2</v>
      </c>
    </row>
    <row r="33" spans="5:76" x14ac:dyDescent="0.25">
      <c r="E33">
        <f>+'5% CO Elab'!R33</f>
        <v>28</v>
      </c>
      <c r="F33">
        <f>+'5% CO Elab'!S33</f>
        <v>8</v>
      </c>
      <c r="G33" t="str">
        <f>+'5% CO Elab'!T33</f>
        <v>M-XYLENE</v>
      </c>
      <c r="H33" t="str">
        <f>+'5% CO Elab'!U33</f>
        <v>C8H10-2</v>
      </c>
      <c r="I33" t="str">
        <f>+'5% CO Elab'!V33</f>
        <v>C8-A</v>
      </c>
      <c r="J33">
        <f>+'5% CO Elab'!W33</f>
        <v>9.2257204393543096E-2</v>
      </c>
      <c r="L33">
        <f>+'5% CO Elab'!AB33</f>
        <v>2.2055441296487308E-3</v>
      </c>
      <c r="M33" s="20">
        <v>8</v>
      </c>
      <c r="N33" s="20" t="s">
        <v>354</v>
      </c>
      <c r="O33" s="20" t="s">
        <v>355</v>
      </c>
      <c r="P33" s="20">
        <v>21</v>
      </c>
      <c r="Q33" s="20" t="s">
        <v>356</v>
      </c>
      <c r="R33" s="20" t="s">
        <v>357</v>
      </c>
      <c r="S33" s="20">
        <v>1</v>
      </c>
      <c r="T33" s="20" t="s">
        <v>371</v>
      </c>
      <c r="U33" s="20" t="s">
        <v>355</v>
      </c>
      <c r="V33" s="20">
        <v>16</v>
      </c>
      <c r="W33" s="20" t="s">
        <v>358</v>
      </c>
      <c r="X33" s="1"/>
      <c r="Y33">
        <f>+'5% CO Elab'!AA33</f>
        <v>7.1045786711714954E-3</v>
      </c>
      <c r="Z33" s="20">
        <f t="shared" si="0"/>
        <v>8</v>
      </c>
      <c r="AA33" s="20" t="s">
        <v>29</v>
      </c>
      <c r="AB33" s="20" t="str">
        <f t="shared" si="1"/>
        <v>+</v>
      </c>
      <c r="AC33" s="20">
        <f t="shared" si="2"/>
        <v>13</v>
      </c>
      <c r="AD33" s="20" t="str">
        <f t="shared" si="3"/>
        <v>H2</v>
      </c>
      <c r="AE33" s="20" t="str">
        <f t="shared" si="4"/>
        <v>=</v>
      </c>
      <c r="AF33" s="20">
        <f t="shared" si="5"/>
        <v>1</v>
      </c>
      <c r="AG33" s="20" t="str">
        <f t="shared" si="6"/>
        <v>C8H10</v>
      </c>
      <c r="AH33" s="20" t="str">
        <f t="shared" si="7"/>
        <v>+</v>
      </c>
      <c r="AI33" s="20">
        <f t="shared" si="22"/>
        <v>8</v>
      </c>
      <c r="AJ33" s="20" t="str">
        <f t="shared" si="8"/>
        <v>H2O</v>
      </c>
      <c r="AL33">
        <f t="shared" si="9"/>
        <v>3.5288706074379693E-2</v>
      </c>
      <c r="AM33">
        <f t="shared" si="10"/>
        <v>5.6836629369371963E-2</v>
      </c>
      <c r="AP33">
        <f>+'10% CO Elab'!S33</f>
        <v>8</v>
      </c>
      <c r="AQ33" t="str">
        <f>+'10% CO Elab'!T33</f>
        <v>M-XYLENE</v>
      </c>
      <c r="AR33" t="str">
        <f>+'10% CO Elab'!U33</f>
        <v>C8H10-2</v>
      </c>
      <c r="AS33" t="str">
        <f>+'10% CO Elab'!V33</f>
        <v>C8-A</v>
      </c>
      <c r="AT33">
        <f>+'10% CO Elab'!W33</f>
        <v>9.0382566172806406E-2</v>
      </c>
      <c r="AU33">
        <f>+'10% CO Elab'!X33</f>
        <v>0.72306052938245124</v>
      </c>
      <c r="AW33">
        <f>+'10% CO Elab'!AB33</f>
        <v>1.0723246477483159E-3</v>
      </c>
      <c r="AX33" s="20">
        <v>8</v>
      </c>
      <c r="AY33" s="20" t="s">
        <v>354</v>
      </c>
      <c r="AZ33" s="20" t="s">
        <v>355</v>
      </c>
      <c r="BA33" s="20">
        <v>21</v>
      </c>
      <c r="BB33" s="20" t="s">
        <v>356</v>
      </c>
      <c r="BC33" s="20" t="s">
        <v>357</v>
      </c>
      <c r="BD33" s="20">
        <v>1</v>
      </c>
      <c r="BE33" s="20" t="s">
        <v>371</v>
      </c>
      <c r="BF33" s="20" t="s">
        <v>355</v>
      </c>
      <c r="BG33" s="20">
        <v>16</v>
      </c>
      <c r="BH33" s="20" t="s">
        <v>358</v>
      </c>
      <c r="BI33" s="1"/>
      <c r="BJ33">
        <f>+'10% CO Elab'!AA33</f>
        <v>6.9797110381365256E-3</v>
      </c>
      <c r="BK33" s="20">
        <f t="shared" si="11"/>
        <v>8</v>
      </c>
      <c r="BL33" s="20" t="s">
        <v>29</v>
      </c>
      <c r="BM33" s="20" t="str">
        <f t="shared" si="12"/>
        <v>+</v>
      </c>
      <c r="BN33" s="20">
        <f t="shared" si="13"/>
        <v>13</v>
      </c>
      <c r="BO33" s="20" t="str">
        <f t="shared" si="14"/>
        <v>H2</v>
      </c>
      <c r="BP33" s="20" t="str">
        <f t="shared" si="15"/>
        <v>=</v>
      </c>
      <c r="BQ33" s="20">
        <f t="shared" si="16"/>
        <v>1</v>
      </c>
      <c r="BR33" s="20" t="str">
        <f t="shared" si="17"/>
        <v>C8H10</v>
      </c>
      <c r="BS33" s="20" t="str">
        <f t="shared" si="18"/>
        <v>+</v>
      </c>
      <c r="BT33" s="20">
        <f t="shared" si="23"/>
        <v>8</v>
      </c>
      <c r="BU33" s="20" t="str">
        <f t="shared" si="19"/>
        <v>H2O</v>
      </c>
      <c r="BW33">
        <f t="shared" si="20"/>
        <v>1.7157194363973054E-2</v>
      </c>
      <c r="BX33">
        <f t="shared" si="21"/>
        <v>5.5837688305092205E-2</v>
      </c>
    </row>
    <row r="34" spans="5:76" x14ac:dyDescent="0.25">
      <c r="E34">
        <f>+'5% CO Elab'!R34</f>
        <v>29</v>
      </c>
      <c r="F34">
        <f>+'5% CO Elab'!S34</f>
        <v>9</v>
      </c>
      <c r="G34" t="str">
        <f>+'5% CO Elab'!T34</f>
        <v>N-NONANE</v>
      </c>
      <c r="H34" t="str">
        <f>+'5% CO Elab'!U34</f>
        <v>C9H20-1</v>
      </c>
      <c r="I34" t="str">
        <f>+'5% CO Elab'!V34</f>
        <v>C9</v>
      </c>
      <c r="J34">
        <f>+'5% CO Elab'!W34</f>
        <v>3.9737779222589018E-2</v>
      </c>
      <c r="L34">
        <f>+'5% CO Elab'!AB34</f>
        <v>1.0687387998477721E-3</v>
      </c>
      <c r="M34" s="20">
        <v>9</v>
      </c>
      <c r="N34" s="20" t="s">
        <v>354</v>
      </c>
      <c r="O34" s="20" t="s">
        <v>355</v>
      </c>
      <c r="P34" s="20">
        <v>28</v>
      </c>
      <c r="Q34" s="20" t="s">
        <v>356</v>
      </c>
      <c r="R34" s="20" t="s">
        <v>357</v>
      </c>
      <c r="S34" s="20">
        <v>1</v>
      </c>
      <c r="T34" s="20" t="s">
        <v>372</v>
      </c>
      <c r="U34" s="20" t="s">
        <v>355</v>
      </c>
      <c r="V34" s="20">
        <v>18</v>
      </c>
      <c r="W34" s="20" t="s">
        <v>358</v>
      </c>
      <c r="X34" s="1"/>
      <c r="Y34">
        <f>+'5% CO Elab'!AA34</f>
        <v>3.4426601492037255E-3</v>
      </c>
      <c r="Z34" s="20">
        <f t="shared" si="0"/>
        <v>9</v>
      </c>
      <c r="AA34" s="20" t="s">
        <v>29</v>
      </c>
      <c r="AB34" s="20" t="str">
        <f t="shared" si="1"/>
        <v>+</v>
      </c>
      <c r="AC34" s="20">
        <f t="shared" si="2"/>
        <v>19</v>
      </c>
      <c r="AD34" s="20" t="str">
        <f t="shared" si="3"/>
        <v>H2</v>
      </c>
      <c r="AE34" s="20" t="str">
        <f t="shared" si="4"/>
        <v>=</v>
      </c>
      <c r="AF34" s="20">
        <f t="shared" si="5"/>
        <v>1</v>
      </c>
      <c r="AG34" s="20" t="str">
        <f t="shared" si="6"/>
        <v>C9H20</v>
      </c>
      <c r="AH34" s="20" t="str">
        <f t="shared" si="7"/>
        <v>+</v>
      </c>
      <c r="AI34" s="20">
        <f t="shared" si="22"/>
        <v>9</v>
      </c>
      <c r="AJ34" s="20" t="str">
        <f t="shared" si="8"/>
        <v>H2O</v>
      </c>
      <c r="AL34">
        <f t="shared" si="9"/>
        <v>1.9237298397259898E-2</v>
      </c>
      <c r="AM34">
        <f t="shared" si="10"/>
        <v>3.098394134283353E-2</v>
      </c>
      <c r="AP34">
        <f>+'10% CO Elab'!S34</f>
        <v>9</v>
      </c>
      <c r="AQ34" t="str">
        <f>+'10% CO Elab'!T34</f>
        <v>N-NONANE</v>
      </c>
      <c r="AR34" t="str">
        <f>+'10% CO Elab'!U34</f>
        <v>C9H20-1</v>
      </c>
      <c r="AS34" t="str">
        <f>+'10% CO Elab'!V34</f>
        <v>C9</v>
      </c>
      <c r="AT34">
        <f>+'10% CO Elab'!W34</f>
        <v>5.2091431438708945E-2</v>
      </c>
      <c r="AU34">
        <f>+'10% CO Elab'!X34</f>
        <v>0.46882288294838048</v>
      </c>
      <c r="AW34">
        <f>+'10% CO Elab'!AB34</f>
        <v>6.9528111739599729E-4</v>
      </c>
      <c r="AX34" s="20">
        <v>9</v>
      </c>
      <c r="AY34" s="20" t="s">
        <v>354</v>
      </c>
      <c r="AZ34" s="20" t="s">
        <v>355</v>
      </c>
      <c r="BA34" s="20">
        <v>28</v>
      </c>
      <c r="BB34" s="20" t="s">
        <v>356</v>
      </c>
      <c r="BC34" s="20" t="s">
        <v>357</v>
      </c>
      <c r="BD34" s="20">
        <v>1</v>
      </c>
      <c r="BE34" s="20" t="s">
        <v>372</v>
      </c>
      <c r="BF34" s="20" t="s">
        <v>355</v>
      </c>
      <c r="BG34" s="20">
        <v>18</v>
      </c>
      <c r="BH34" s="20" t="s">
        <v>358</v>
      </c>
      <c r="BI34" s="1"/>
      <c r="BJ34">
        <f>+'10% CO Elab'!AA34</f>
        <v>4.5255523128064374E-3</v>
      </c>
      <c r="BK34" s="20">
        <f t="shared" si="11"/>
        <v>9</v>
      </c>
      <c r="BL34" s="20" t="s">
        <v>29</v>
      </c>
      <c r="BM34" s="20" t="str">
        <f t="shared" si="12"/>
        <v>+</v>
      </c>
      <c r="BN34" s="20">
        <f t="shared" si="13"/>
        <v>19</v>
      </c>
      <c r="BO34" s="20" t="str">
        <f t="shared" si="14"/>
        <v>H2</v>
      </c>
      <c r="BP34" s="20" t="str">
        <f t="shared" si="15"/>
        <v>=</v>
      </c>
      <c r="BQ34" s="20">
        <f t="shared" si="16"/>
        <v>1</v>
      </c>
      <c r="BR34" s="20" t="str">
        <f t="shared" si="17"/>
        <v>C9H20</v>
      </c>
      <c r="BS34" s="20" t="str">
        <f t="shared" si="18"/>
        <v>+</v>
      </c>
      <c r="BT34" s="20">
        <f t="shared" si="23"/>
        <v>9</v>
      </c>
      <c r="BU34" s="20" t="str">
        <f t="shared" si="19"/>
        <v>H2O</v>
      </c>
      <c r="BW34">
        <f t="shared" si="20"/>
        <v>1.2515060113127951E-2</v>
      </c>
      <c r="BX34">
        <f t="shared" si="21"/>
        <v>4.0729970815257935E-2</v>
      </c>
    </row>
    <row r="35" spans="5:76" x14ac:dyDescent="0.25">
      <c r="E35">
        <f>+'5% CO Elab'!R35</f>
        <v>30</v>
      </c>
      <c r="F35">
        <f>+'5% CO Elab'!S35</f>
        <v>9</v>
      </c>
      <c r="G35" t="str">
        <f>+'5% CO Elab'!T35</f>
        <v>3-METHYLOCTANE</v>
      </c>
      <c r="H35" t="str">
        <f>+'5% CO Elab'!U35</f>
        <v>C9H20-D2</v>
      </c>
      <c r="I35" t="str">
        <f>+'5% CO Elab'!V35</f>
        <v>C9-IP</v>
      </c>
      <c r="J35">
        <f>+'5% CO Elab'!W35</f>
        <v>0.25327729285513123</v>
      </c>
      <c r="L35">
        <f>+'5% CO Elab'!AB35</f>
        <v>6.8118368789167986E-3</v>
      </c>
      <c r="M35" s="20">
        <v>9</v>
      </c>
      <c r="N35" s="20" t="s">
        <v>354</v>
      </c>
      <c r="O35" s="20" t="s">
        <v>355</v>
      </c>
      <c r="P35" s="20">
        <v>28</v>
      </c>
      <c r="Q35" s="20" t="s">
        <v>356</v>
      </c>
      <c r="R35" s="20" t="s">
        <v>357</v>
      </c>
      <c r="S35" s="20">
        <v>1</v>
      </c>
      <c r="T35" s="20" t="s">
        <v>372</v>
      </c>
      <c r="U35" s="20" t="s">
        <v>355</v>
      </c>
      <c r="V35" s="20">
        <v>18</v>
      </c>
      <c r="W35" s="20" t="s">
        <v>358</v>
      </c>
      <c r="X35" s="1"/>
      <c r="Y35">
        <f>+'5% CO Elab'!AA35</f>
        <v>2.1942535790095221E-2</v>
      </c>
      <c r="Z35" s="20">
        <f t="shared" si="0"/>
        <v>9</v>
      </c>
      <c r="AA35" s="20" t="s">
        <v>29</v>
      </c>
      <c r="AB35" s="20" t="str">
        <f t="shared" si="1"/>
        <v>+</v>
      </c>
      <c r="AC35" s="20">
        <f t="shared" si="2"/>
        <v>19</v>
      </c>
      <c r="AD35" s="20" t="str">
        <f t="shared" si="3"/>
        <v>H2</v>
      </c>
      <c r="AE35" s="20" t="str">
        <f t="shared" si="4"/>
        <v>=</v>
      </c>
      <c r="AF35" s="20">
        <f t="shared" si="5"/>
        <v>1</v>
      </c>
      <c r="AG35" s="20" t="str">
        <f t="shared" si="6"/>
        <v>C9H20</v>
      </c>
      <c r="AH35" s="20" t="str">
        <f t="shared" si="7"/>
        <v>+</v>
      </c>
      <c r="AI35" s="20">
        <f t="shared" si="22"/>
        <v>9</v>
      </c>
      <c r="AJ35" s="20" t="str">
        <f t="shared" si="8"/>
        <v>H2O</v>
      </c>
      <c r="AL35">
        <f t="shared" si="9"/>
        <v>0.12261306382050238</v>
      </c>
      <c r="AM35">
        <f t="shared" si="10"/>
        <v>0.19748282211085699</v>
      </c>
      <c r="AP35">
        <f>+'10% CO Elab'!S35</f>
        <v>9</v>
      </c>
      <c r="AQ35" t="str">
        <f>+'10% CO Elab'!T35</f>
        <v>3-METHYLOCTANE</v>
      </c>
      <c r="AR35" t="str">
        <f>+'10% CO Elab'!U35</f>
        <v>C9H20-D2</v>
      </c>
      <c r="AS35" t="str">
        <f>+'10% CO Elab'!V35</f>
        <v>C9-IP</v>
      </c>
      <c r="AT35">
        <f>+'10% CO Elab'!W35</f>
        <v>0.27953121534732772</v>
      </c>
      <c r="AU35">
        <f>+'10% CO Elab'!X35</f>
        <v>2.5157809381259497</v>
      </c>
      <c r="AW35">
        <f>+'10% CO Elab'!AB35</f>
        <v>3.7309931861332648E-3</v>
      </c>
      <c r="AX35" s="20">
        <v>9</v>
      </c>
      <c r="AY35" s="20" t="s">
        <v>354</v>
      </c>
      <c r="AZ35" s="20" t="s">
        <v>355</v>
      </c>
      <c r="BA35" s="20">
        <v>28</v>
      </c>
      <c r="BB35" s="20" t="s">
        <v>356</v>
      </c>
      <c r="BC35" s="20" t="s">
        <v>357</v>
      </c>
      <c r="BD35" s="20">
        <v>1</v>
      </c>
      <c r="BE35" s="20" t="s">
        <v>372</v>
      </c>
      <c r="BF35" s="20" t="s">
        <v>355</v>
      </c>
      <c r="BG35" s="20">
        <v>18</v>
      </c>
      <c r="BH35" s="20" t="s">
        <v>358</v>
      </c>
      <c r="BI35" s="1"/>
      <c r="BJ35">
        <f>+'10% CO Elab'!AA35</f>
        <v>2.428486035376352E-2</v>
      </c>
      <c r="BK35" s="20">
        <f t="shared" si="11"/>
        <v>9</v>
      </c>
      <c r="BL35" s="20" t="s">
        <v>29</v>
      </c>
      <c r="BM35" s="20" t="str">
        <f t="shared" si="12"/>
        <v>+</v>
      </c>
      <c r="BN35" s="20">
        <f t="shared" si="13"/>
        <v>19</v>
      </c>
      <c r="BO35" s="20" t="str">
        <f t="shared" si="14"/>
        <v>H2</v>
      </c>
      <c r="BP35" s="20" t="str">
        <f t="shared" si="15"/>
        <v>=</v>
      </c>
      <c r="BQ35" s="20">
        <f t="shared" si="16"/>
        <v>1</v>
      </c>
      <c r="BR35" s="20" t="str">
        <f t="shared" si="17"/>
        <v>C9H20</v>
      </c>
      <c r="BS35" s="20" t="str">
        <f t="shared" si="18"/>
        <v>+</v>
      </c>
      <c r="BT35" s="20">
        <f t="shared" si="23"/>
        <v>9</v>
      </c>
      <c r="BU35" s="20" t="str">
        <f t="shared" si="19"/>
        <v>H2O</v>
      </c>
      <c r="BW35">
        <f t="shared" si="20"/>
        <v>6.715787735039877E-2</v>
      </c>
      <c r="BX35">
        <f t="shared" si="21"/>
        <v>0.21856374318387167</v>
      </c>
    </row>
    <row r="36" spans="5:76" x14ac:dyDescent="0.25">
      <c r="E36">
        <f>+'5% CO Elab'!R36</f>
        <v>31</v>
      </c>
      <c r="F36">
        <f>+'5% CO Elab'!S36</f>
        <v>9</v>
      </c>
      <c r="G36" t="str">
        <f>+'5% CO Elab'!T36</f>
        <v>1-NONENE</v>
      </c>
      <c r="H36" t="str">
        <f>+'5% CO Elab'!U36</f>
        <v>C9H18-3</v>
      </c>
      <c r="I36" t="str">
        <f>+'5% CO Elab'!V36</f>
        <v>C9-O</v>
      </c>
      <c r="J36">
        <f>+'5% CO Elab'!W36</f>
        <v>4.6675338490491186E-2</v>
      </c>
      <c r="L36">
        <f>+'5% CO Elab'!AB36</f>
        <v>1.2553229248518135E-3</v>
      </c>
      <c r="M36" s="20">
        <v>9</v>
      </c>
      <c r="N36" s="20" t="s">
        <v>354</v>
      </c>
      <c r="O36" s="20" t="s">
        <v>355</v>
      </c>
      <c r="P36" s="20">
        <v>27</v>
      </c>
      <c r="Q36" s="20" t="s">
        <v>356</v>
      </c>
      <c r="R36" s="20" t="s">
        <v>357</v>
      </c>
      <c r="S36" s="20">
        <v>1</v>
      </c>
      <c r="T36" s="20" t="s">
        <v>373</v>
      </c>
      <c r="U36" s="20" t="s">
        <v>355</v>
      </c>
      <c r="V36" s="20">
        <v>18</v>
      </c>
      <c r="W36" s="20" t="s">
        <v>358</v>
      </c>
      <c r="X36" s="1"/>
      <c r="Y36">
        <f>+'5% CO Elab'!AA36</f>
        <v>4.04369169378408E-3</v>
      </c>
      <c r="Z36" s="20">
        <f t="shared" si="0"/>
        <v>9</v>
      </c>
      <c r="AA36" s="20" t="s">
        <v>29</v>
      </c>
      <c r="AB36" s="20" t="str">
        <f t="shared" si="1"/>
        <v>+</v>
      </c>
      <c r="AC36" s="20">
        <f t="shared" si="2"/>
        <v>18</v>
      </c>
      <c r="AD36" s="20" t="str">
        <f t="shared" si="3"/>
        <v>H2</v>
      </c>
      <c r="AE36" s="20" t="str">
        <f t="shared" si="4"/>
        <v>=</v>
      </c>
      <c r="AF36" s="20">
        <f t="shared" si="5"/>
        <v>1</v>
      </c>
      <c r="AG36" s="20" t="str">
        <f t="shared" si="6"/>
        <v>C9H18</v>
      </c>
      <c r="AH36" s="20" t="str">
        <f t="shared" si="7"/>
        <v>+</v>
      </c>
      <c r="AI36" s="20">
        <f t="shared" si="22"/>
        <v>9</v>
      </c>
      <c r="AJ36" s="20" t="str">
        <f t="shared" si="8"/>
        <v>H2O</v>
      </c>
      <c r="AL36">
        <f t="shared" si="9"/>
        <v>2.2595812647332642E-2</v>
      </c>
      <c r="AM36">
        <f t="shared" si="10"/>
        <v>3.6393225244056721E-2</v>
      </c>
      <c r="AP36">
        <f>+'10% CO Elab'!S36</f>
        <v>9</v>
      </c>
      <c r="AQ36" t="str">
        <f>+'10% CO Elab'!T36</f>
        <v>1-NONENE</v>
      </c>
      <c r="AR36" t="str">
        <f>+'10% CO Elab'!U36</f>
        <v>C9H18-3</v>
      </c>
      <c r="AS36" t="str">
        <f>+'10% CO Elab'!V36</f>
        <v>C9-O</v>
      </c>
      <c r="AT36">
        <f>+'10% CO Elab'!W36</f>
        <v>5.1513556339444988E-2</v>
      </c>
      <c r="AU36">
        <f>+'10% CO Elab'!X36</f>
        <v>0.46362200705500489</v>
      </c>
      <c r="AW36">
        <f>+'10% CO Elab'!AB36</f>
        <v>6.8756803227557192E-4</v>
      </c>
      <c r="AX36" s="20">
        <v>9</v>
      </c>
      <c r="AY36" s="20" t="s">
        <v>354</v>
      </c>
      <c r="AZ36" s="20" t="s">
        <v>355</v>
      </c>
      <c r="BA36" s="20">
        <v>27</v>
      </c>
      <c r="BB36" s="20" t="s">
        <v>356</v>
      </c>
      <c r="BC36" s="20" t="s">
        <v>357</v>
      </c>
      <c r="BD36" s="20">
        <v>1</v>
      </c>
      <c r="BE36" s="20" t="s">
        <v>373</v>
      </c>
      <c r="BF36" s="20" t="s">
        <v>355</v>
      </c>
      <c r="BG36" s="20">
        <v>18</v>
      </c>
      <c r="BH36" s="20" t="s">
        <v>358</v>
      </c>
      <c r="BI36" s="1"/>
      <c r="BJ36">
        <f>+'10% CO Elab'!AA36</f>
        <v>4.4753482020773189E-3</v>
      </c>
      <c r="BK36" s="20">
        <f t="shared" si="11"/>
        <v>9</v>
      </c>
      <c r="BL36" s="20" t="s">
        <v>29</v>
      </c>
      <c r="BM36" s="20" t="str">
        <f t="shared" si="12"/>
        <v>+</v>
      </c>
      <c r="BN36" s="20">
        <f t="shared" si="13"/>
        <v>18</v>
      </c>
      <c r="BO36" s="20" t="str">
        <f t="shared" si="14"/>
        <v>H2</v>
      </c>
      <c r="BP36" s="20" t="str">
        <f t="shared" si="15"/>
        <v>=</v>
      </c>
      <c r="BQ36" s="20">
        <f t="shared" si="16"/>
        <v>1</v>
      </c>
      <c r="BR36" s="20" t="str">
        <f t="shared" si="17"/>
        <v>C9H18</v>
      </c>
      <c r="BS36" s="20" t="str">
        <f t="shared" si="18"/>
        <v>+</v>
      </c>
      <c r="BT36" s="20">
        <f t="shared" si="23"/>
        <v>9</v>
      </c>
      <c r="BU36" s="20" t="str">
        <f t="shared" si="19"/>
        <v>H2O</v>
      </c>
      <c r="BW36">
        <f t="shared" si="20"/>
        <v>1.2376224580960295E-2</v>
      </c>
      <c r="BX36">
        <f t="shared" si="21"/>
        <v>4.0278133818695869E-2</v>
      </c>
    </row>
    <row r="37" spans="5:76" x14ac:dyDescent="0.25">
      <c r="E37">
        <f>+'5% CO Elab'!R37</f>
        <v>32</v>
      </c>
      <c r="F37">
        <f>+'5% CO Elab'!S37</f>
        <v>9</v>
      </c>
      <c r="G37" t="str">
        <f>+'5% CO Elab'!T37</f>
        <v>ISOPROPYLCYCLOHEXANE</v>
      </c>
      <c r="H37" t="str">
        <f>+'5% CO Elab'!U37</f>
        <v>C9H18-2</v>
      </c>
      <c r="I37" t="str">
        <f>+'5% CO Elab'!V37</f>
        <v>C9-N</v>
      </c>
      <c r="J37">
        <f>+'5% CO Elab'!W37</f>
        <v>2.631232685715016E-2</v>
      </c>
      <c r="L37">
        <f>+'5% CO Elab'!AB37</f>
        <v>7.0766422222527019E-4</v>
      </c>
      <c r="M37" s="20">
        <v>9</v>
      </c>
      <c r="N37" s="20" t="s">
        <v>354</v>
      </c>
      <c r="O37" s="20" t="s">
        <v>355</v>
      </c>
      <c r="P37" s="20">
        <v>27</v>
      </c>
      <c r="Q37" s="20" t="s">
        <v>356</v>
      </c>
      <c r="R37" s="20" t="s">
        <v>357</v>
      </c>
      <c r="S37" s="20">
        <v>1</v>
      </c>
      <c r="T37" s="20" t="s">
        <v>373</v>
      </c>
      <c r="U37" s="20" t="s">
        <v>355</v>
      </c>
      <c r="V37" s="20">
        <v>18</v>
      </c>
      <c r="W37" s="20" t="s">
        <v>358</v>
      </c>
      <c r="X37" s="1"/>
      <c r="Y37">
        <f>+'5% CO Elab'!AA37</f>
        <v>2.2795536357613283E-3</v>
      </c>
      <c r="Z37" s="20">
        <f t="shared" si="0"/>
        <v>9</v>
      </c>
      <c r="AA37" s="20" t="s">
        <v>29</v>
      </c>
      <c r="AB37" s="20" t="str">
        <f t="shared" si="1"/>
        <v>+</v>
      </c>
      <c r="AC37" s="20">
        <f t="shared" si="2"/>
        <v>18</v>
      </c>
      <c r="AD37" s="20" t="str">
        <f t="shared" si="3"/>
        <v>H2</v>
      </c>
      <c r="AE37" s="20" t="str">
        <f t="shared" si="4"/>
        <v>=</v>
      </c>
      <c r="AF37" s="20">
        <f t="shared" si="5"/>
        <v>1</v>
      </c>
      <c r="AG37" s="20" t="str">
        <f t="shared" si="6"/>
        <v>C9H18</v>
      </c>
      <c r="AH37" s="20" t="str">
        <f t="shared" si="7"/>
        <v>+</v>
      </c>
      <c r="AI37" s="20">
        <f t="shared" si="22"/>
        <v>9</v>
      </c>
      <c r="AJ37" s="20" t="str">
        <f t="shared" si="8"/>
        <v>H2O</v>
      </c>
      <c r="AL37">
        <f t="shared" si="9"/>
        <v>1.2737956000054864E-2</v>
      </c>
      <c r="AM37">
        <f t="shared" si="10"/>
        <v>2.0515982721851955E-2</v>
      </c>
      <c r="AP37">
        <f>+'10% CO Elab'!S37</f>
        <v>9</v>
      </c>
      <c r="AQ37" t="str">
        <f>+'10% CO Elab'!T37</f>
        <v>ISOPROPYLCYCLOHEXANE</v>
      </c>
      <c r="AR37" t="str">
        <f>+'10% CO Elab'!U37</f>
        <v>C9H18-2</v>
      </c>
      <c r="AS37" t="str">
        <f>+'10% CO Elab'!V37</f>
        <v>C9-N</v>
      </c>
      <c r="AT37">
        <f>+'10% CO Elab'!W37</f>
        <v>2.9039779374151295E-2</v>
      </c>
      <c r="AU37">
        <f>+'10% CO Elab'!X37</f>
        <v>0.26135801436736167</v>
      </c>
      <c r="AW37">
        <f>+'10% CO Elab'!AB37</f>
        <v>3.8760329087807394E-4</v>
      </c>
      <c r="AX37" s="20">
        <v>9</v>
      </c>
      <c r="AY37" s="20" t="s">
        <v>354</v>
      </c>
      <c r="AZ37" s="20" t="s">
        <v>355</v>
      </c>
      <c r="BA37" s="20">
        <v>27</v>
      </c>
      <c r="BB37" s="20" t="s">
        <v>356</v>
      </c>
      <c r="BC37" s="20" t="s">
        <v>357</v>
      </c>
      <c r="BD37" s="20">
        <v>1</v>
      </c>
      <c r="BE37" s="20" t="s">
        <v>373</v>
      </c>
      <c r="BF37" s="20" t="s">
        <v>355</v>
      </c>
      <c r="BG37" s="20">
        <v>18</v>
      </c>
      <c r="BH37" s="20" t="s">
        <v>358</v>
      </c>
      <c r="BI37" s="1"/>
      <c r="BJ37">
        <f>+'10% CO Elab'!AA37</f>
        <v>2.5228917132889654E-3</v>
      </c>
      <c r="BK37" s="20">
        <f t="shared" si="11"/>
        <v>9</v>
      </c>
      <c r="BL37" s="20" t="s">
        <v>29</v>
      </c>
      <c r="BM37" s="20" t="str">
        <f t="shared" si="12"/>
        <v>+</v>
      </c>
      <c r="BN37" s="20">
        <f t="shared" si="13"/>
        <v>18</v>
      </c>
      <c r="BO37" s="20" t="str">
        <f t="shared" si="14"/>
        <v>H2</v>
      </c>
      <c r="BP37" s="20" t="str">
        <f t="shared" si="15"/>
        <v>=</v>
      </c>
      <c r="BQ37" s="20">
        <f t="shared" si="16"/>
        <v>1</v>
      </c>
      <c r="BR37" s="20" t="str">
        <f t="shared" si="17"/>
        <v>C9H18</v>
      </c>
      <c r="BS37" s="20" t="str">
        <f t="shared" si="18"/>
        <v>+</v>
      </c>
      <c r="BT37" s="20">
        <f t="shared" si="23"/>
        <v>9</v>
      </c>
      <c r="BU37" s="20" t="str">
        <f t="shared" si="19"/>
        <v>H2O</v>
      </c>
      <c r="BW37">
        <f t="shared" si="20"/>
        <v>6.9768592358053312E-3</v>
      </c>
      <c r="BX37">
        <f t="shared" si="21"/>
        <v>2.2706025419600689E-2</v>
      </c>
    </row>
    <row r="38" spans="5:76" x14ac:dyDescent="0.25">
      <c r="E38">
        <f>+'5% CO Elab'!R38</f>
        <v>33</v>
      </c>
      <c r="F38">
        <f>+'5% CO Elab'!S38</f>
        <v>9</v>
      </c>
      <c r="G38" t="str">
        <f>+'5% CO Elab'!T38</f>
        <v>INDANE</v>
      </c>
      <c r="H38" t="str">
        <f>+'5% CO Elab'!U38</f>
        <v>C9H10-E1</v>
      </c>
      <c r="I38" t="str">
        <f>+'5% CO Elab'!V38</f>
        <v>C9-A</v>
      </c>
      <c r="J38">
        <f>+'5% CO Elab'!W38</f>
        <v>9.6083936741219886E-2</v>
      </c>
      <c r="L38">
        <f>+'5% CO Elab'!AB38</f>
        <v>2.5841562675723716E-3</v>
      </c>
      <c r="M38" s="20">
        <v>9</v>
      </c>
      <c r="N38" s="20" t="s">
        <v>354</v>
      </c>
      <c r="O38" s="20" t="s">
        <v>355</v>
      </c>
      <c r="P38" s="20">
        <v>23</v>
      </c>
      <c r="Q38" s="20" t="s">
        <v>356</v>
      </c>
      <c r="R38" s="20" t="s">
        <v>357</v>
      </c>
      <c r="S38" s="20">
        <v>1</v>
      </c>
      <c r="T38" s="20" t="s">
        <v>374</v>
      </c>
      <c r="U38" s="20" t="s">
        <v>355</v>
      </c>
      <c r="V38" s="20">
        <v>18</v>
      </c>
      <c r="W38" s="20" t="s">
        <v>358</v>
      </c>
      <c r="X38" s="1"/>
      <c r="Y38">
        <f>+'5% CO Elab'!AA38</f>
        <v>8.3241778093521238E-3</v>
      </c>
      <c r="Z38" s="20">
        <f t="shared" ref="Z38:Z73" si="24">M38</f>
        <v>9</v>
      </c>
      <c r="AA38" s="20" t="s">
        <v>29</v>
      </c>
      <c r="AB38" s="20" t="str">
        <f t="shared" ref="AB38:AB73" si="25">O38</f>
        <v>+</v>
      </c>
      <c r="AC38" s="20">
        <f t="shared" ref="AC38:AC73" si="26">+P38-Z38</f>
        <v>14</v>
      </c>
      <c r="AD38" s="20" t="str">
        <f t="shared" ref="AD38:AD73" si="27">Q38</f>
        <v>H2</v>
      </c>
      <c r="AE38" s="20" t="str">
        <f t="shared" ref="AE38:AE73" si="28">R38</f>
        <v>=</v>
      </c>
      <c r="AF38" s="20">
        <f t="shared" ref="AF38:AF73" si="29">S38</f>
        <v>1</v>
      </c>
      <c r="AG38" s="20" t="str">
        <f t="shared" ref="AG38:AG73" si="30">T38</f>
        <v>C9H10</v>
      </c>
      <c r="AH38" s="20" t="str">
        <f t="shared" ref="AH38:AH73" si="31">U38</f>
        <v>+</v>
      </c>
      <c r="AI38" s="20">
        <f t="shared" si="22"/>
        <v>9</v>
      </c>
      <c r="AJ38" s="20" t="str">
        <f t="shared" ref="AJ38:AJ73" si="32">+W38</f>
        <v>H2O</v>
      </c>
      <c r="AL38">
        <f t="shared" ref="AL38:AL73" si="33">+V38*L38</f>
        <v>4.6514812816302688E-2</v>
      </c>
      <c r="AM38">
        <f t="shared" ref="AM38:AM73" si="34">+AI38*Y38</f>
        <v>7.491760028416912E-2</v>
      </c>
      <c r="AP38">
        <f>+'10% CO Elab'!S38</f>
        <v>9</v>
      </c>
      <c r="AQ38" t="str">
        <f>+'10% CO Elab'!T38</f>
        <v>INDANE</v>
      </c>
      <c r="AR38" t="str">
        <f>+'10% CO Elab'!U38</f>
        <v>C9H10-E1</v>
      </c>
      <c r="AS38" t="str">
        <f>+'10% CO Elab'!V38</f>
        <v>C9-A</v>
      </c>
      <c r="AT38">
        <f>+'10% CO Elab'!W38</f>
        <v>7.2879304054369987E-2</v>
      </c>
      <c r="AU38">
        <f>+'10% CO Elab'!X38</f>
        <v>0.65591373648932993</v>
      </c>
      <c r="AW38">
        <f>+'10% CO Elab'!AB38</f>
        <v>9.7274355030127155E-4</v>
      </c>
      <c r="AX38" s="20">
        <v>9</v>
      </c>
      <c r="AY38" s="20" t="s">
        <v>354</v>
      </c>
      <c r="AZ38" s="20" t="s">
        <v>355</v>
      </c>
      <c r="BA38" s="20">
        <v>23</v>
      </c>
      <c r="BB38" s="20" t="s">
        <v>356</v>
      </c>
      <c r="BC38" s="20" t="s">
        <v>357</v>
      </c>
      <c r="BD38" s="20">
        <v>1</v>
      </c>
      <c r="BE38" s="20" t="s">
        <v>374</v>
      </c>
      <c r="BF38" s="20" t="s">
        <v>355</v>
      </c>
      <c r="BG38" s="20">
        <v>18</v>
      </c>
      <c r="BH38" s="20" t="s">
        <v>358</v>
      </c>
      <c r="BI38" s="1"/>
      <c r="BJ38">
        <f>+'10% CO Elab'!AA38</f>
        <v>6.3315423268228786E-3</v>
      </c>
      <c r="BK38" s="20">
        <f t="shared" ref="BK38:BK73" si="35">AX38</f>
        <v>9</v>
      </c>
      <c r="BL38" s="20" t="s">
        <v>29</v>
      </c>
      <c r="BM38" s="20" t="str">
        <f t="shared" ref="BM38:BM73" si="36">AZ38</f>
        <v>+</v>
      </c>
      <c r="BN38" s="20">
        <f t="shared" ref="BN38:BN73" si="37">+BA38-BK38</f>
        <v>14</v>
      </c>
      <c r="BO38" s="20" t="str">
        <f t="shared" ref="BO38:BO73" si="38">BB38</f>
        <v>H2</v>
      </c>
      <c r="BP38" s="20" t="str">
        <f t="shared" ref="BP38:BP73" si="39">BC38</f>
        <v>=</v>
      </c>
      <c r="BQ38" s="20">
        <f t="shared" ref="BQ38:BQ73" si="40">BD38</f>
        <v>1</v>
      </c>
      <c r="BR38" s="20" t="str">
        <f t="shared" ref="BR38:BR73" si="41">BE38</f>
        <v>C9H10</v>
      </c>
      <c r="BS38" s="20" t="str">
        <f t="shared" ref="BS38:BS73" si="42">BF38</f>
        <v>+</v>
      </c>
      <c r="BT38" s="20">
        <f t="shared" si="23"/>
        <v>9</v>
      </c>
      <c r="BU38" s="20" t="str">
        <f t="shared" ref="BU38:BU73" si="43">+BH38</f>
        <v>H2O</v>
      </c>
      <c r="BW38">
        <f t="shared" ref="BW38:BW73" si="44">+BG38*AW38</f>
        <v>1.7509383905422889E-2</v>
      </c>
      <c r="BX38">
        <f t="shared" ref="BX38:BX73" si="45">+BT38*BJ38</f>
        <v>5.6983880941405905E-2</v>
      </c>
    </row>
    <row r="39" spans="5:76" x14ac:dyDescent="0.25">
      <c r="E39">
        <f>+'5% CO Elab'!R39</f>
        <v>34</v>
      </c>
      <c r="F39">
        <f>+'5% CO Elab'!S39</f>
        <v>10</v>
      </c>
      <c r="G39" t="str">
        <f>+'5% CO Elab'!T39</f>
        <v>N-DECANE</v>
      </c>
      <c r="H39" t="str">
        <f>+'5% CO Elab'!U39</f>
        <v>C10H22-1</v>
      </c>
      <c r="I39" t="str">
        <f>+'5% CO Elab'!V39</f>
        <v>C10</v>
      </c>
      <c r="J39">
        <f>+'5% CO Elab'!W39</f>
        <v>5.4094226948684793E-2</v>
      </c>
      <c r="L39">
        <f>+'5% CO Elab'!AB39</f>
        <v>1.6165025468583896E-3</v>
      </c>
      <c r="M39" s="20">
        <v>10</v>
      </c>
      <c r="N39" s="20" t="s">
        <v>354</v>
      </c>
      <c r="O39" s="20" t="s">
        <v>355</v>
      </c>
      <c r="P39" s="20">
        <v>31</v>
      </c>
      <c r="Q39" s="20" t="s">
        <v>356</v>
      </c>
      <c r="R39" s="20" t="s">
        <v>357</v>
      </c>
      <c r="S39" s="20">
        <v>1</v>
      </c>
      <c r="T39" s="20" t="s">
        <v>375</v>
      </c>
      <c r="U39" s="20" t="s">
        <v>355</v>
      </c>
      <c r="V39" s="20">
        <v>20</v>
      </c>
      <c r="W39" s="20" t="s">
        <v>358</v>
      </c>
      <c r="X39" s="1"/>
      <c r="Y39">
        <f>+'5% CO Elab'!AA39</f>
        <v>5.2071365800028776E-3</v>
      </c>
      <c r="Z39" s="20">
        <f t="shared" si="24"/>
        <v>10</v>
      </c>
      <c r="AA39" s="20" t="s">
        <v>29</v>
      </c>
      <c r="AB39" s="20" t="str">
        <f t="shared" si="25"/>
        <v>+</v>
      </c>
      <c r="AC39" s="20">
        <f t="shared" si="26"/>
        <v>21</v>
      </c>
      <c r="AD39" s="20" t="str">
        <f t="shared" si="27"/>
        <v>H2</v>
      </c>
      <c r="AE39" s="20" t="str">
        <f t="shared" si="28"/>
        <v>=</v>
      </c>
      <c r="AF39" s="20">
        <f t="shared" si="29"/>
        <v>1</v>
      </c>
      <c r="AG39" s="20" t="str">
        <f t="shared" si="30"/>
        <v>C10H22</v>
      </c>
      <c r="AH39" s="20" t="str">
        <f t="shared" si="31"/>
        <v>+</v>
      </c>
      <c r="AI39" s="20">
        <f t="shared" si="22"/>
        <v>10</v>
      </c>
      <c r="AJ39" s="20" t="str">
        <f t="shared" si="32"/>
        <v>H2O</v>
      </c>
      <c r="AL39">
        <f t="shared" si="33"/>
        <v>3.2330050937167794E-2</v>
      </c>
      <c r="AM39">
        <f t="shared" si="34"/>
        <v>5.2071365800028774E-2</v>
      </c>
      <c r="AP39">
        <f>+'10% CO Elab'!S39</f>
        <v>10</v>
      </c>
      <c r="AQ39" t="str">
        <f>+'10% CO Elab'!T39</f>
        <v>N-DECANE</v>
      </c>
      <c r="AR39" t="str">
        <f>+'10% CO Elab'!U39</f>
        <v>C10H22-1</v>
      </c>
      <c r="AS39" t="str">
        <f>+'10% CO Elab'!V39</f>
        <v>C10</v>
      </c>
      <c r="AT39">
        <f>+'10% CO Elab'!W39</f>
        <v>7.7932189982597905E-2</v>
      </c>
      <c r="AU39">
        <f>+'10% CO Elab'!X39</f>
        <v>0.77932189982597899</v>
      </c>
      <c r="AW39">
        <f>+'10% CO Elab'!AB39</f>
        <v>1.1557622740480398E-3</v>
      </c>
      <c r="AX39" s="20">
        <v>10</v>
      </c>
      <c r="AY39" s="20" t="s">
        <v>354</v>
      </c>
      <c r="AZ39" s="20" t="s">
        <v>355</v>
      </c>
      <c r="BA39" s="20">
        <v>31</v>
      </c>
      <c r="BB39" s="20" t="s">
        <v>356</v>
      </c>
      <c r="BC39" s="20" t="s">
        <v>357</v>
      </c>
      <c r="BD39" s="20">
        <v>1</v>
      </c>
      <c r="BE39" s="20" t="s">
        <v>375</v>
      </c>
      <c r="BF39" s="20" t="s">
        <v>355</v>
      </c>
      <c r="BG39" s="20">
        <v>20</v>
      </c>
      <c r="BH39" s="20" t="s">
        <v>358</v>
      </c>
      <c r="BI39" s="1"/>
      <c r="BJ39">
        <f>+'10% CO Elab'!AA39</f>
        <v>7.5228026499007073E-3</v>
      </c>
      <c r="BK39" s="20">
        <f t="shared" si="35"/>
        <v>10</v>
      </c>
      <c r="BL39" s="20" t="s">
        <v>29</v>
      </c>
      <c r="BM39" s="20" t="str">
        <f t="shared" si="36"/>
        <v>+</v>
      </c>
      <c r="BN39" s="20">
        <f t="shared" si="37"/>
        <v>21</v>
      </c>
      <c r="BO39" s="20" t="str">
        <f t="shared" si="38"/>
        <v>H2</v>
      </c>
      <c r="BP39" s="20" t="str">
        <f t="shared" si="39"/>
        <v>=</v>
      </c>
      <c r="BQ39" s="20">
        <f t="shared" si="40"/>
        <v>1</v>
      </c>
      <c r="BR39" s="20" t="str">
        <f t="shared" si="41"/>
        <v>C10H22</v>
      </c>
      <c r="BS39" s="20" t="str">
        <f t="shared" si="42"/>
        <v>+</v>
      </c>
      <c r="BT39" s="20">
        <f t="shared" si="23"/>
        <v>10</v>
      </c>
      <c r="BU39" s="20" t="str">
        <f t="shared" si="43"/>
        <v>H2O</v>
      </c>
      <c r="BW39">
        <f t="shared" si="44"/>
        <v>2.3115245480960795E-2</v>
      </c>
      <c r="BX39">
        <f t="shared" si="45"/>
        <v>7.5228026499007075E-2</v>
      </c>
    </row>
    <row r="40" spans="5:76" x14ac:dyDescent="0.25">
      <c r="E40">
        <f>+'5% CO Elab'!R40</f>
        <v>35</v>
      </c>
      <c r="F40">
        <f>+'5% CO Elab'!S40</f>
        <v>10</v>
      </c>
      <c r="G40" t="str">
        <f>+'5% CO Elab'!T40</f>
        <v>2-METHYLNONANE</v>
      </c>
      <c r="H40" t="str">
        <f>+'5% CO Elab'!U40</f>
        <v>C10H22-E2</v>
      </c>
      <c r="I40" t="str">
        <f>+'5% CO Elab'!V40</f>
        <v>C10-IP</v>
      </c>
      <c r="J40">
        <f>+'5% CO Elab'!W40</f>
        <v>8.609871548541978E-2</v>
      </c>
      <c r="L40">
        <f>+'5% CO Elab'!AB40</f>
        <v>2.5728954957697356E-3</v>
      </c>
      <c r="M40" s="20">
        <v>10</v>
      </c>
      <c r="N40" s="20" t="s">
        <v>354</v>
      </c>
      <c r="O40" s="20" t="s">
        <v>355</v>
      </c>
      <c r="P40" s="20">
        <v>31</v>
      </c>
      <c r="Q40" s="20" t="s">
        <v>356</v>
      </c>
      <c r="R40" s="20" t="s">
        <v>357</v>
      </c>
      <c r="S40" s="20">
        <v>1</v>
      </c>
      <c r="T40" s="20" t="s">
        <v>375</v>
      </c>
      <c r="U40" s="20" t="s">
        <v>355</v>
      </c>
      <c r="V40" s="20">
        <v>20</v>
      </c>
      <c r="W40" s="20" t="s">
        <v>358</v>
      </c>
      <c r="X40" s="1"/>
      <c r="Y40">
        <f>+'5% CO Elab'!AA40</f>
        <v>8.2879042031728262E-3</v>
      </c>
      <c r="Z40" s="20">
        <f t="shared" si="24"/>
        <v>10</v>
      </c>
      <c r="AA40" s="20" t="s">
        <v>29</v>
      </c>
      <c r="AB40" s="20" t="str">
        <f t="shared" si="25"/>
        <v>+</v>
      </c>
      <c r="AC40" s="20">
        <f t="shared" si="26"/>
        <v>21</v>
      </c>
      <c r="AD40" s="20" t="str">
        <f t="shared" si="27"/>
        <v>H2</v>
      </c>
      <c r="AE40" s="20" t="str">
        <f t="shared" si="28"/>
        <v>=</v>
      </c>
      <c r="AF40" s="20">
        <f t="shared" si="29"/>
        <v>1</v>
      </c>
      <c r="AG40" s="20" t="str">
        <f t="shared" si="30"/>
        <v>C10H22</v>
      </c>
      <c r="AH40" s="20" t="str">
        <f t="shared" si="31"/>
        <v>+</v>
      </c>
      <c r="AI40" s="20">
        <f t="shared" ref="AI40:AI73" si="46">+Z40</f>
        <v>10</v>
      </c>
      <c r="AJ40" s="20" t="str">
        <f t="shared" si="32"/>
        <v>H2O</v>
      </c>
      <c r="AL40">
        <f t="shared" si="33"/>
        <v>5.1457909915394714E-2</v>
      </c>
      <c r="AM40">
        <f t="shared" si="34"/>
        <v>8.2879042031728259E-2</v>
      </c>
      <c r="AP40">
        <f>+'10% CO Elab'!S40</f>
        <v>10</v>
      </c>
      <c r="AQ40" t="str">
        <f>+'10% CO Elab'!T40</f>
        <v>2-METHYLNONANE</v>
      </c>
      <c r="AR40" t="str">
        <f>+'10% CO Elab'!U40</f>
        <v>C10H22-E2</v>
      </c>
      <c r="AS40" t="str">
        <f>+'10% CO Elab'!V40</f>
        <v>C10-IP</v>
      </c>
      <c r="AT40">
        <f>+'10% CO Elab'!W40</f>
        <v>9.5023435808945997E-2</v>
      </c>
      <c r="AU40">
        <f>+'10% CO Elab'!X40</f>
        <v>0.95023435808946</v>
      </c>
      <c r="AW40">
        <f>+'10% CO Elab'!AB40</f>
        <v>1.4092315676350036E-3</v>
      </c>
      <c r="AX40" s="20">
        <v>10</v>
      </c>
      <c r="AY40" s="20" t="s">
        <v>354</v>
      </c>
      <c r="AZ40" s="20" t="s">
        <v>355</v>
      </c>
      <c r="BA40" s="20">
        <v>31</v>
      </c>
      <c r="BB40" s="20" t="s">
        <v>356</v>
      </c>
      <c r="BC40" s="20" t="s">
        <v>357</v>
      </c>
      <c r="BD40" s="20">
        <v>1</v>
      </c>
      <c r="BE40" s="20" t="s">
        <v>375</v>
      </c>
      <c r="BF40" s="20" t="s">
        <v>355</v>
      </c>
      <c r="BG40" s="20">
        <v>20</v>
      </c>
      <c r="BH40" s="20" t="s">
        <v>358</v>
      </c>
      <c r="BI40" s="1"/>
      <c r="BJ40">
        <f>+'10% CO Elab'!AA40</f>
        <v>9.1726224409429749E-3</v>
      </c>
      <c r="BK40" s="20">
        <f t="shared" si="35"/>
        <v>10</v>
      </c>
      <c r="BL40" s="20" t="s">
        <v>29</v>
      </c>
      <c r="BM40" s="20" t="str">
        <f t="shared" si="36"/>
        <v>+</v>
      </c>
      <c r="BN40" s="20">
        <f t="shared" si="37"/>
        <v>21</v>
      </c>
      <c r="BO40" s="20" t="str">
        <f t="shared" si="38"/>
        <v>H2</v>
      </c>
      <c r="BP40" s="20" t="str">
        <f t="shared" si="39"/>
        <v>=</v>
      </c>
      <c r="BQ40" s="20">
        <f t="shared" si="40"/>
        <v>1</v>
      </c>
      <c r="BR40" s="20" t="str">
        <f t="shared" si="41"/>
        <v>C10H22</v>
      </c>
      <c r="BS40" s="20" t="str">
        <f t="shared" si="42"/>
        <v>+</v>
      </c>
      <c r="BT40" s="20">
        <f t="shared" ref="BT40:BT73" si="47">+BK40</f>
        <v>10</v>
      </c>
      <c r="BU40" s="20" t="str">
        <f t="shared" si="43"/>
        <v>H2O</v>
      </c>
      <c r="BW40">
        <f t="shared" si="44"/>
        <v>2.8184631352700072E-2</v>
      </c>
      <c r="BX40">
        <f t="shared" si="45"/>
        <v>9.1726224409429749E-2</v>
      </c>
    </row>
    <row r="41" spans="5:76" x14ac:dyDescent="0.25">
      <c r="E41">
        <f>+'5% CO Elab'!R41</f>
        <v>36</v>
      </c>
      <c r="F41">
        <f>+'5% CO Elab'!S41</f>
        <v>10</v>
      </c>
      <c r="G41" t="str">
        <f>+'5% CO Elab'!T41</f>
        <v>1-DECENE</v>
      </c>
      <c r="H41" t="str">
        <f>+'5% CO Elab'!U41</f>
        <v>C10H20-5</v>
      </c>
      <c r="I41" t="str">
        <f>+'5% CO Elab'!V41</f>
        <v>C10-O</v>
      </c>
      <c r="J41">
        <f>+'5% CO Elab'!W41</f>
        <v>9.3934821032975041E-2</v>
      </c>
      <c r="L41">
        <f>+'5% CO Elab'!AB41</f>
        <v>2.8070625278097824E-3</v>
      </c>
      <c r="M41" s="20">
        <v>10</v>
      </c>
      <c r="N41" s="20" t="s">
        <v>354</v>
      </c>
      <c r="O41" s="20" t="s">
        <v>355</v>
      </c>
      <c r="P41" s="20">
        <v>30</v>
      </c>
      <c r="Q41" s="20" t="s">
        <v>356</v>
      </c>
      <c r="R41" s="20" t="s">
        <v>357</v>
      </c>
      <c r="S41" s="20">
        <v>1</v>
      </c>
      <c r="T41" s="20" t="s">
        <v>376</v>
      </c>
      <c r="U41" s="20" t="s">
        <v>355</v>
      </c>
      <c r="V41" s="20">
        <v>20</v>
      </c>
      <c r="W41" s="20" t="s">
        <v>358</v>
      </c>
      <c r="X41" s="1"/>
      <c r="Y41">
        <f>+'5% CO Elab'!AA41</f>
        <v>9.0422115321257997E-3</v>
      </c>
      <c r="Z41" s="20">
        <f t="shared" si="24"/>
        <v>10</v>
      </c>
      <c r="AA41" s="20" t="s">
        <v>29</v>
      </c>
      <c r="AB41" s="20" t="str">
        <f t="shared" si="25"/>
        <v>+</v>
      </c>
      <c r="AC41" s="20">
        <f t="shared" si="26"/>
        <v>20</v>
      </c>
      <c r="AD41" s="20" t="str">
        <f t="shared" si="27"/>
        <v>H2</v>
      </c>
      <c r="AE41" s="20" t="str">
        <f t="shared" si="28"/>
        <v>=</v>
      </c>
      <c r="AF41" s="20">
        <f t="shared" si="29"/>
        <v>1</v>
      </c>
      <c r="AG41" s="20" t="str">
        <f t="shared" si="30"/>
        <v>C10H20</v>
      </c>
      <c r="AH41" s="20" t="str">
        <f t="shared" si="31"/>
        <v>+</v>
      </c>
      <c r="AI41" s="20">
        <f t="shared" si="46"/>
        <v>10</v>
      </c>
      <c r="AJ41" s="20" t="str">
        <f t="shared" si="32"/>
        <v>H2O</v>
      </c>
      <c r="AL41">
        <f t="shared" si="33"/>
        <v>5.6141250556195649E-2</v>
      </c>
      <c r="AM41">
        <f t="shared" si="34"/>
        <v>9.042211532125799E-2</v>
      </c>
      <c r="AP41">
        <f>+'10% CO Elab'!S41</f>
        <v>10</v>
      </c>
      <c r="AQ41" t="str">
        <f>+'10% CO Elab'!T41</f>
        <v>1-DECENE</v>
      </c>
      <c r="AR41" t="str">
        <f>+'10% CO Elab'!U41</f>
        <v>C10H20-5</v>
      </c>
      <c r="AS41" t="str">
        <f>+'10% CO Elab'!V41</f>
        <v>C10-O</v>
      </c>
      <c r="AT41">
        <f>+'10% CO Elab'!W41</f>
        <v>0.10367126552184425</v>
      </c>
      <c r="AU41">
        <f>+'10% CO Elab'!X41</f>
        <v>1.0367126552184425</v>
      </c>
      <c r="AW41">
        <f>+'10% CO Elab'!AB41</f>
        <v>1.5374819778543405E-3</v>
      </c>
      <c r="AX41" s="20">
        <v>10</v>
      </c>
      <c r="AY41" s="20" t="s">
        <v>354</v>
      </c>
      <c r="AZ41" s="20" t="s">
        <v>355</v>
      </c>
      <c r="BA41" s="20">
        <v>30</v>
      </c>
      <c r="BB41" s="20" t="s">
        <v>356</v>
      </c>
      <c r="BC41" s="20" t="s">
        <v>357</v>
      </c>
      <c r="BD41" s="20">
        <v>1</v>
      </c>
      <c r="BE41" s="20" t="s">
        <v>376</v>
      </c>
      <c r="BF41" s="20" t="s">
        <v>355</v>
      </c>
      <c r="BG41" s="20">
        <v>20</v>
      </c>
      <c r="BH41" s="20" t="s">
        <v>358</v>
      </c>
      <c r="BI41" s="1"/>
      <c r="BJ41">
        <f>+'10% CO Elab'!AA41</f>
        <v>1.0007398369793528E-2</v>
      </c>
      <c r="BK41" s="20">
        <f t="shared" si="35"/>
        <v>10</v>
      </c>
      <c r="BL41" s="20" t="s">
        <v>29</v>
      </c>
      <c r="BM41" s="20" t="str">
        <f t="shared" si="36"/>
        <v>+</v>
      </c>
      <c r="BN41" s="20">
        <f t="shared" si="37"/>
        <v>20</v>
      </c>
      <c r="BO41" s="20" t="str">
        <f t="shared" si="38"/>
        <v>H2</v>
      </c>
      <c r="BP41" s="20" t="str">
        <f t="shared" si="39"/>
        <v>=</v>
      </c>
      <c r="BQ41" s="20">
        <f t="shared" si="40"/>
        <v>1</v>
      </c>
      <c r="BR41" s="20" t="str">
        <f t="shared" si="41"/>
        <v>C10H20</v>
      </c>
      <c r="BS41" s="20" t="str">
        <f t="shared" si="42"/>
        <v>+</v>
      </c>
      <c r="BT41" s="20">
        <f t="shared" si="47"/>
        <v>10</v>
      </c>
      <c r="BU41" s="20" t="str">
        <f t="shared" si="43"/>
        <v>H2O</v>
      </c>
      <c r="BW41">
        <f t="shared" si="44"/>
        <v>3.0749639557086809E-2</v>
      </c>
      <c r="BX41">
        <f t="shared" si="45"/>
        <v>0.10007398369793528</v>
      </c>
    </row>
    <row r="42" spans="5:76" x14ac:dyDescent="0.25">
      <c r="E42">
        <f>+'5% CO Elab'!R42</f>
        <v>37</v>
      </c>
      <c r="F42">
        <f>+'5% CO Elab'!S42</f>
        <v>10</v>
      </c>
      <c r="G42" t="str">
        <f>+'5% CO Elab'!T42</f>
        <v>1-PROPYL-1-METHYLCYCLOHEXANE</v>
      </c>
      <c r="H42" t="str">
        <f>+'5% CO Elab'!U42</f>
        <v>C10H20-N24</v>
      </c>
      <c r="I42" t="str">
        <f>+'5% CO Elab'!V42</f>
        <v>C10-N</v>
      </c>
      <c r="J42">
        <f>+'5% CO Elab'!W42</f>
        <v>5.464911263880029E-2</v>
      </c>
      <c r="L42">
        <f>+'5% CO Elab'!AB42</f>
        <v>1.6330842447933257E-3</v>
      </c>
      <c r="M42" s="20">
        <v>10</v>
      </c>
      <c r="N42" s="20" t="s">
        <v>354</v>
      </c>
      <c r="O42" s="20" t="s">
        <v>355</v>
      </c>
      <c r="P42" s="20">
        <v>30</v>
      </c>
      <c r="Q42" s="20" t="s">
        <v>356</v>
      </c>
      <c r="R42" s="20" t="s">
        <v>357</v>
      </c>
      <c r="S42" s="20">
        <v>1</v>
      </c>
      <c r="T42" s="20" t="s">
        <v>376</v>
      </c>
      <c r="U42" s="20" t="s">
        <v>355</v>
      </c>
      <c r="V42" s="20">
        <v>20</v>
      </c>
      <c r="W42" s="20" t="s">
        <v>358</v>
      </c>
      <c r="X42" s="1"/>
      <c r="Y42">
        <f>+'5% CO Elab'!AA42</f>
        <v>5.2605501462501857E-3</v>
      </c>
      <c r="Z42" s="20">
        <f t="shared" si="24"/>
        <v>10</v>
      </c>
      <c r="AA42" s="20" t="s">
        <v>29</v>
      </c>
      <c r="AB42" s="20" t="str">
        <f t="shared" si="25"/>
        <v>+</v>
      </c>
      <c r="AC42" s="20">
        <f t="shared" si="26"/>
        <v>20</v>
      </c>
      <c r="AD42" s="20" t="str">
        <f t="shared" si="27"/>
        <v>H2</v>
      </c>
      <c r="AE42" s="20" t="str">
        <f t="shared" si="28"/>
        <v>=</v>
      </c>
      <c r="AF42" s="20">
        <f t="shared" si="29"/>
        <v>1</v>
      </c>
      <c r="AG42" s="20" t="str">
        <f t="shared" si="30"/>
        <v>C10H20</v>
      </c>
      <c r="AH42" s="20" t="str">
        <f t="shared" si="31"/>
        <v>+</v>
      </c>
      <c r="AI42" s="20">
        <f t="shared" si="46"/>
        <v>10</v>
      </c>
      <c r="AJ42" s="20" t="str">
        <f t="shared" si="32"/>
        <v>H2O</v>
      </c>
      <c r="AL42">
        <f t="shared" si="33"/>
        <v>3.2661684895866516E-2</v>
      </c>
      <c r="AM42">
        <f t="shared" si="34"/>
        <v>5.2605501462501855E-2</v>
      </c>
      <c r="AP42">
        <f>+'10% CO Elab'!S42</f>
        <v>10</v>
      </c>
      <c r="AQ42" t="str">
        <f>+'10% CO Elab'!T42</f>
        <v>1-PROPYL-1-METHYLCYCLOHEXANE</v>
      </c>
      <c r="AR42" t="str">
        <f>+'10% CO Elab'!U42</f>
        <v>C10H20-N24</v>
      </c>
      <c r="AS42" t="str">
        <f>+'10% CO Elab'!V42</f>
        <v>C10-N</v>
      </c>
      <c r="AT42">
        <f>+'10% CO Elab'!W42</f>
        <v>6.0313866677003905E-2</v>
      </c>
      <c r="AU42">
        <f>+'10% CO Elab'!X42</f>
        <v>0.60313866677003902</v>
      </c>
      <c r="AW42">
        <f>+'10% CO Elab'!AB42</f>
        <v>8.9447623277120894E-4</v>
      </c>
      <c r="AX42" s="20">
        <v>10</v>
      </c>
      <c r="AY42" s="20" t="s">
        <v>354</v>
      </c>
      <c r="AZ42" s="20" t="s">
        <v>355</v>
      </c>
      <c r="BA42" s="20">
        <v>30</v>
      </c>
      <c r="BB42" s="20" t="s">
        <v>356</v>
      </c>
      <c r="BC42" s="20" t="s">
        <v>357</v>
      </c>
      <c r="BD42" s="20">
        <v>1</v>
      </c>
      <c r="BE42" s="20" t="s">
        <v>376</v>
      </c>
      <c r="BF42" s="20" t="s">
        <v>355</v>
      </c>
      <c r="BG42" s="20">
        <v>20</v>
      </c>
      <c r="BH42" s="20" t="s">
        <v>358</v>
      </c>
      <c r="BI42" s="1"/>
      <c r="BJ42">
        <f>+'10% CO Elab'!AA42</f>
        <v>5.8221040133074635E-3</v>
      </c>
      <c r="BK42" s="20">
        <f t="shared" si="35"/>
        <v>10</v>
      </c>
      <c r="BL42" s="20" t="s">
        <v>29</v>
      </c>
      <c r="BM42" s="20" t="str">
        <f t="shared" si="36"/>
        <v>+</v>
      </c>
      <c r="BN42" s="20">
        <f t="shared" si="37"/>
        <v>20</v>
      </c>
      <c r="BO42" s="20" t="str">
        <f t="shared" si="38"/>
        <v>H2</v>
      </c>
      <c r="BP42" s="20" t="str">
        <f t="shared" si="39"/>
        <v>=</v>
      </c>
      <c r="BQ42" s="20">
        <f t="shared" si="40"/>
        <v>1</v>
      </c>
      <c r="BR42" s="20" t="str">
        <f t="shared" si="41"/>
        <v>C10H20</v>
      </c>
      <c r="BS42" s="20" t="str">
        <f t="shared" si="42"/>
        <v>+</v>
      </c>
      <c r="BT42" s="20">
        <f t="shared" si="47"/>
        <v>10</v>
      </c>
      <c r="BU42" s="20" t="str">
        <f t="shared" si="43"/>
        <v>H2O</v>
      </c>
      <c r="BW42">
        <f t="shared" si="44"/>
        <v>1.7889524655424177E-2</v>
      </c>
      <c r="BX42">
        <f t="shared" si="45"/>
        <v>5.8221040133074636E-2</v>
      </c>
    </row>
    <row r="43" spans="5:76" x14ac:dyDescent="0.25">
      <c r="E43">
        <f>+'5% CO Elab'!R43</f>
        <v>38</v>
      </c>
      <c r="F43">
        <f>+'5% CO Elab'!S43</f>
        <v>10</v>
      </c>
      <c r="G43" t="str">
        <f>+'5% CO Elab'!T43</f>
        <v>1,2-DIMETHYL-3-ETHYLBENZENE</v>
      </c>
      <c r="H43" t="str">
        <f>+'5% CO Elab'!U43</f>
        <v>C10H14-D3</v>
      </c>
      <c r="I43" t="str">
        <f>+'5% CO Elab'!V43</f>
        <v>C10-A</v>
      </c>
      <c r="J43">
        <f>+'5% CO Elab'!W43</f>
        <v>6.6897371090092667E-2</v>
      </c>
      <c r="L43">
        <f>+'5% CO Elab'!AB43</f>
        <v>1.999100030542073E-3</v>
      </c>
      <c r="M43" s="20">
        <v>10</v>
      </c>
      <c r="N43" s="20" t="s">
        <v>354</v>
      </c>
      <c r="O43" s="20" t="s">
        <v>355</v>
      </c>
      <c r="P43" s="20">
        <v>27</v>
      </c>
      <c r="Q43" s="20" t="s">
        <v>356</v>
      </c>
      <c r="R43" s="20" t="s">
        <v>357</v>
      </c>
      <c r="S43" s="20">
        <v>1</v>
      </c>
      <c r="T43" s="20" t="s">
        <v>377</v>
      </c>
      <c r="U43" s="20" t="s">
        <v>355</v>
      </c>
      <c r="V43" s="20">
        <v>20</v>
      </c>
      <c r="W43" s="20" t="s">
        <v>358</v>
      </c>
      <c r="X43" s="1"/>
      <c r="Y43">
        <f>+'5% CO Elab'!AA43</f>
        <v>6.4395734583599182E-3</v>
      </c>
      <c r="Z43" s="20">
        <f t="shared" si="24"/>
        <v>10</v>
      </c>
      <c r="AA43" s="20" t="s">
        <v>29</v>
      </c>
      <c r="AB43" s="20" t="str">
        <f t="shared" si="25"/>
        <v>+</v>
      </c>
      <c r="AC43" s="20">
        <f t="shared" si="26"/>
        <v>17</v>
      </c>
      <c r="AD43" s="20" t="str">
        <f t="shared" si="27"/>
        <v>H2</v>
      </c>
      <c r="AE43" s="20" t="str">
        <f t="shared" si="28"/>
        <v>=</v>
      </c>
      <c r="AF43" s="20">
        <f t="shared" si="29"/>
        <v>1</v>
      </c>
      <c r="AG43" s="20" t="str">
        <f t="shared" si="30"/>
        <v>C10H14</v>
      </c>
      <c r="AH43" s="20" t="str">
        <f t="shared" si="31"/>
        <v>+</v>
      </c>
      <c r="AI43" s="20">
        <f t="shared" si="46"/>
        <v>10</v>
      </c>
      <c r="AJ43" s="20" t="str">
        <f t="shared" si="32"/>
        <v>H2O</v>
      </c>
      <c r="AL43">
        <f t="shared" si="33"/>
        <v>3.9982000610841457E-2</v>
      </c>
      <c r="AM43">
        <f t="shared" si="34"/>
        <v>6.4395734583599179E-2</v>
      </c>
      <c r="AP43">
        <f>+'10% CO Elab'!S43</f>
        <v>10</v>
      </c>
      <c r="AQ43" t="str">
        <f>+'10% CO Elab'!T43</f>
        <v>1,2-DIMETHYL-3-ETHYLBENZENE</v>
      </c>
      <c r="AR43" t="str">
        <f>+'10% CO Elab'!U43</f>
        <v>C10H14-D3</v>
      </c>
      <c r="AS43" t="str">
        <f>+'10% CO Elab'!V43</f>
        <v>C10-A</v>
      </c>
      <c r="AT43">
        <f>+'10% CO Elab'!W43</f>
        <v>7.3831740830595113E-2</v>
      </c>
      <c r="AU43">
        <f>+'10% CO Elab'!X43</f>
        <v>0.73831740830595116</v>
      </c>
      <c r="AW43">
        <f>+'10% CO Elab'!AB43</f>
        <v>1.0949511453270924E-3</v>
      </c>
      <c r="AX43" s="20">
        <v>10</v>
      </c>
      <c r="AY43" s="20" t="s">
        <v>354</v>
      </c>
      <c r="AZ43" s="20" t="s">
        <v>355</v>
      </c>
      <c r="BA43" s="20">
        <v>27</v>
      </c>
      <c r="BB43" s="20" t="s">
        <v>356</v>
      </c>
      <c r="BC43" s="20" t="s">
        <v>357</v>
      </c>
      <c r="BD43" s="20">
        <v>1</v>
      </c>
      <c r="BE43" s="20" t="s">
        <v>377</v>
      </c>
      <c r="BF43" s="20" t="s">
        <v>355</v>
      </c>
      <c r="BG43" s="20">
        <v>20</v>
      </c>
      <c r="BH43" s="20" t="s">
        <v>358</v>
      </c>
      <c r="BI43" s="1"/>
      <c r="BJ43">
        <f>+'10% CO Elab'!AA43</f>
        <v>7.126985853871266E-3</v>
      </c>
      <c r="BK43" s="20">
        <f t="shared" si="35"/>
        <v>10</v>
      </c>
      <c r="BL43" s="20" t="s">
        <v>29</v>
      </c>
      <c r="BM43" s="20" t="str">
        <f t="shared" si="36"/>
        <v>+</v>
      </c>
      <c r="BN43" s="20">
        <f t="shared" si="37"/>
        <v>17</v>
      </c>
      <c r="BO43" s="20" t="str">
        <f t="shared" si="38"/>
        <v>H2</v>
      </c>
      <c r="BP43" s="20" t="str">
        <f t="shared" si="39"/>
        <v>=</v>
      </c>
      <c r="BQ43" s="20">
        <f t="shared" si="40"/>
        <v>1</v>
      </c>
      <c r="BR43" s="20" t="str">
        <f t="shared" si="41"/>
        <v>C10H14</v>
      </c>
      <c r="BS43" s="20" t="str">
        <f t="shared" si="42"/>
        <v>+</v>
      </c>
      <c r="BT43" s="20">
        <f t="shared" si="47"/>
        <v>10</v>
      </c>
      <c r="BU43" s="20" t="str">
        <f t="shared" si="43"/>
        <v>H2O</v>
      </c>
      <c r="BW43">
        <f t="shared" si="44"/>
        <v>2.1899022906541849E-2</v>
      </c>
      <c r="BX43">
        <f t="shared" si="45"/>
        <v>7.1269858538712663E-2</v>
      </c>
    </row>
    <row r="44" spans="5:76" x14ac:dyDescent="0.25">
      <c r="E44">
        <f>+'5% CO Elab'!R44</f>
        <v>39</v>
      </c>
      <c r="F44">
        <f>+'5% CO Elab'!S44</f>
        <v>11</v>
      </c>
      <c r="G44" t="str">
        <f>+'5% CO Elab'!T44</f>
        <v>N-UNDECANE</v>
      </c>
      <c r="H44" t="str">
        <f>+'5% CO Elab'!U44</f>
        <v>C11H24</v>
      </c>
      <c r="I44" t="str">
        <f>+'5% CO Elab'!V44</f>
        <v>C11</v>
      </c>
      <c r="J44">
        <f>+'5% CO Elab'!W44</f>
        <v>5.9630685257132596E-2</v>
      </c>
      <c r="L44">
        <f>+'5% CO Elab'!AB44</f>
        <v>1.9601439197672174E-3</v>
      </c>
      <c r="M44" s="20">
        <v>11</v>
      </c>
      <c r="N44" s="20" t="s">
        <v>354</v>
      </c>
      <c r="O44" s="20" t="s">
        <v>355</v>
      </c>
      <c r="P44" s="20">
        <v>34</v>
      </c>
      <c r="Q44" s="20" t="s">
        <v>356</v>
      </c>
      <c r="R44" s="20" t="s">
        <v>357</v>
      </c>
      <c r="S44" s="20">
        <v>1</v>
      </c>
      <c r="T44" s="20" t="s">
        <v>245</v>
      </c>
      <c r="U44" s="20" t="s">
        <v>355</v>
      </c>
      <c r="V44" s="20">
        <v>22</v>
      </c>
      <c r="W44" s="20" t="s">
        <v>358</v>
      </c>
      <c r="X44" s="1"/>
      <c r="Y44">
        <f>+'5% CO Elab'!AA44</f>
        <v>6.3140866227068436E-3</v>
      </c>
      <c r="Z44" s="20">
        <f t="shared" si="24"/>
        <v>11</v>
      </c>
      <c r="AA44" s="20" t="s">
        <v>29</v>
      </c>
      <c r="AB44" s="20" t="str">
        <f t="shared" si="25"/>
        <v>+</v>
      </c>
      <c r="AC44" s="20">
        <f t="shared" si="26"/>
        <v>23</v>
      </c>
      <c r="AD44" s="20" t="str">
        <f t="shared" si="27"/>
        <v>H2</v>
      </c>
      <c r="AE44" s="20" t="str">
        <f t="shared" si="28"/>
        <v>=</v>
      </c>
      <c r="AF44" s="20">
        <f t="shared" si="29"/>
        <v>1</v>
      </c>
      <c r="AG44" s="20" t="str">
        <f t="shared" si="30"/>
        <v>C11H24</v>
      </c>
      <c r="AH44" s="20" t="str">
        <f t="shared" si="31"/>
        <v>+</v>
      </c>
      <c r="AI44" s="20">
        <f t="shared" si="46"/>
        <v>11</v>
      </c>
      <c r="AJ44" s="20" t="str">
        <f t="shared" si="32"/>
        <v>H2O</v>
      </c>
      <c r="AL44">
        <f t="shared" si="33"/>
        <v>4.3123166234878781E-2</v>
      </c>
      <c r="AM44">
        <f t="shared" si="34"/>
        <v>6.9454952849775278E-2</v>
      </c>
      <c r="AP44">
        <f>+'10% CO Elab'!S44</f>
        <v>11</v>
      </c>
      <c r="AQ44" t="str">
        <f>+'10% CO Elab'!T44</f>
        <v>N-UNDECANE</v>
      </c>
      <c r="AR44" t="str">
        <f>+'10% CO Elab'!U44</f>
        <v>C11H24</v>
      </c>
      <c r="AS44" t="str">
        <f>+'10% CO Elab'!V44</f>
        <v>C11</v>
      </c>
      <c r="AT44">
        <f>+'10% CO Elab'!W44</f>
        <v>8.9984230827715853E-2</v>
      </c>
      <c r="AU44">
        <f>+'10% CO Elab'!X44</f>
        <v>0.98982653910487439</v>
      </c>
      <c r="AW44">
        <f>+'10% CO Elab'!AB44</f>
        <v>1.4679481893225437E-3</v>
      </c>
      <c r="AX44" s="20">
        <v>11</v>
      </c>
      <c r="AY44" s="20" t="s">
        <v>354</v>
      </c>
      <c r="AZ44" s="20" t="s">
        <v>355</v>
      </c>
      <c r="BA44" s="20">
        <v>34</v>
      </c>
      <c r="BB44" s="20" t="s">
        <v>356</v>
      </c>
      <c r="BC44" s="20" t="s">
        <v>357</v>
      </c>
      <c r="BD44" s="20">
        <v>1</v>
      </c>
      <c r="BE44" s="20" t="s">
        <v>245</v>
      </c>
      <c r="BF44" s="20" t="s">
        <v>355</v>
      </c>
      <c r="BG44" s="20">
        <v>22</v>
      </c>
      <c r="BH44" s="20" t="s">
        <v>358</v>
      </c>
      <c r="BI44" s="1"/>
      <c r="BJ44">
        <f>+'10% CO Elab'!AA44</f>
        <v>9.5548061885376671E-3</v>
      </c>
      <c r="BK44" s="20">
        <f t="shared" si="35"/>
        <v>11</v>
      </c>
      <c r="BL44" s="20" t="s">
        <v>29</v>
      </c>
      <c r="BM44" s="20" t="str">
        <f t="shared" si="36"/>
        <v>+</v>
      </c>
      <c r="BN44" s="20">
        <f t="shared" si="37"/>
        <v>23</v>
      </c>
      <c r="BO44" s="20" t="str">
        <f t="shared" si="38"/>
        <v>H2</v>
      </c>
      <c r="BP44" s="20" t="str">
        <f t="shared" si="39"/>
        <v>=</v>
      </c>
      <c r="BQ44" s="20">
        <f t="shared" si="40"/>
        <v>1</v>
      </c>
      <c r="BR44" s="20" t="str">
        <f t="shared" si="41"/>
        <v>C11H24</v>
      </c>
      <c r="BS44" s="20" t="str">
        <f t="shared" si="42"/>
        <v>+</v>
      </c>
      <c r="BT44" s="20">
        <f t="shared" si="47"/>
        <v>11</v>
      </c>
      <c r="BU44" s="20" t="str">
        <f t="shared" si="43"/>
        <v>H2O</v>
      </c>
      <c r="BW44">
        <f t="shared" si="44"/>
        <v>3.2294860165095959E-2</v>
      </c>
      <c r="BX44">
        <f t="shared" si="45"/>
        <v>0.10510286807391434</v>
      </c>
    </row>
    <row r="45" spans="5:76" x14ac:dyDescent="0.25">
      <c r="E45">
        <f>+'5% CO Elab'!R45</f>
        <v>40</v>
      </c>
      <c r="F45">
        <f>+'5% CO Elab'!S45</f>
        <v>11</v>
      </c>
      <c r="G45" t="str">
        <f>+'5% CO Elab'!T45</f>
        <v>3-ETHYLNONANE</v>
      </c>
      <c r="H45" t="str">
        <f>+'5% CO Elab'!U45</f>
        <v>C11H24-N8</v>
      </c>
      <c r="I45" t="str">
        <f>+'5% CO Elab'!V45</f>
        <v>C11-IP</v>
      </c>
      <c r="J45">
        <f>+'5% CO Elab'!W45</f>
        <v>8.9186156324316007E-2</v>
      </c>
      <c r="L45">
        <f>+'5% CO Elab'!AB45</f>
        <v>2.931673538425523E-3</v>
      </c>
      <c r="M45" s="20">
        <v>11</v>
      </c>
      <c r="N45" s="20" t="s">
        <v>354</v>
      </c>
      <c r="O45" s="20" t="s">
        <v>355</v>
      </c>
      <c r="P45" s="20">
        <v>34</v>
      </c>
      <c r="Q45" s="20" t="s">
        <v>356</v>
      </c>
      <c r="R45" s="20" t="s">
        <v>357</v>
      </c>
      <c r="S45" s="20">
        <v>1</v>
      </c>
      <c r="T45" s="20" t="s">
        <v>245</v>
      </c>
      <c r="U45" s="20" t="s">
        <v>355</v>
      </c>
      <c r="V45" s="20">
        <v>22</v>
      </c>
      <c r="W45" s="20" t="s">
        <v>358</v>
      </c>
      <c r="X45" s="1"/>
      <c r="Y45">
        <f>+'5% CO Elab'!AA45</f>
        <v>9.4436130349625259E-3</v>
      </c>
      <c r="Z45" s="20">
        <f t="shared" si="24"/>
        <v>11</v>
      </c>
      <c r="AA45" s="20" t="s">
        <v>29</v>
      </c>
      <c r="AB45" s="20" t="str">
        <f t="shared" si="25"/>
        <v>+</v>
      </c>
      <c r="AC45" s="20">
        <f t="shared" si="26"/>
        <v>23</v>
      </c>
      <c r="AD45" s="20" t="str">
        <f t="shared" si="27"/>
        <v>H2</v>
      </c>
      <c r="AE45" s="20" t="str">
        <f t="shared" si="28"/>
        <v>=</v>
      </c>
      <c r="AF45" s="20">
        <f t="shared" si="29"/>
        <v>1</v>
      </c>
      <c r="AG45" s="20" t="str">
        <f t="shared" si="30"/>
        <v>C11H24</v>
      </c>
      <c r="AH45" s="20" t="str">
        <f t="shared" si="31"/>
        <v>+</v>
      </c>
      <c r="AI45" s="20">
        <f t="shared" si="46"/>
        <v>11</v>
      </c>
      <c r="AJ45" s="20" t="str">
        <f t="shared" si="32"/>
        <v>H2O</v>
      </c>
      <c r="AL45">
        <f t="shared" si="33"/>
        <v>6.4496817845361501E-2</v>
      </c>
      <c r="AM45">
        <f t="shared" si="34"/>
        <v>0.10387974338458779</v>
      </c>
      <c r="AP45">
        <f>+'10% CO Elab'!S45</f>
        <v>11</v>
      </c>
      <c r="AQ45" t="str">
        <f>+'10% CO Elab'!T45</f>
        <v>3-ETHYLNONANE</v>
      </c>
      <c r="AR45" t="str">
        <f>+'10% CO Elab'!U45</f>
        <v>C11H24-N8</v>
      </c>
      <c r="AS45" t="str">
        <f>+'10% CO Elab'!V45</f>
        <v>C11-IP</v>
      </c>
      <c r="AT45">
        <f>+'10% CO Elab'!W45</f>
        <v>9.8430910992689663E-2</v>
      </c>
      <c r="AU45">
        <f>+'10% CO Elab'!X45</f>
        <v>1.0827400209195863</v>
      </c>
      <c r="AW45">
        <f>+'10% CO Elab'!AB45</f>
        <v>1.6057422087846832E-3</v>
      </c>
      <c r="AX45" s="20">
        <v>11</v>
      </c>
      <c r="AY45" s="20" t="s">
        <v>354</v>
      </c>
      <c r="AZ45" s="20" t="s">
        <v>355</v>
      </c>
      <c r="BA45" s="20">
        <v>34</v>
      </c>
      <c r="BB45" s="20" t="s">
        <v>356</v>
      </c>
      <c r="BC45" s="20" t="s">
        <v>357</v>
      </c>
      <c r="BD45" s="20">
        <v>1</v>
      </c>
      <c r="BE45" s="20" t="s">
        <v>245</v>
      </c>
      <c r="BF45" s="20" t="s">
        <v>355</v>
      </c>
      <c r="BG45" s="20">
        <v>22</v>
      </c>
      <c r="BH45" s="20" t="s">
        <v>358</v>
      </c>
      <c r="BI45" s="1"/>
      <c r="BJ45">
        <f>+'10% CO Elab'!AA45</f>
        <v>1.0451701024116257E-2</v>
      </c>
      <c r="BK45" s="20">
        <f t="shared" si="35"/>
        <v>11</v>
      </c>
      <c r="BL45" s="20" t="s">
        <v>29</v>
      </c>
      <c r="BM45" s="20" t="str">
        <f t="shared" si="36"/>
        <v>+</v>
      </c>
      <c r="BN45" s="20">
        <f t="shared" si="37"/>
        <v>23</v>
      </c>
      <c r="BO45" s="20" t="str">
        <f t="shared" si="38"/>
        <v>H2</v>
      </c>
      <c r="BP45" s="20" t="str">
        <f t="shared" si="39"/>
        <v>=</v>
      </c>
      <c r="BQ45" s="20">
        <f t="shared" si="40"/>
        <v>1</v>
      </c>
      <c r="BR45" s="20" t="str">
        <f t="shared" si="41"/>
        <v>C11H24</v>
      </c>
      <c r="BS45" s="20" t="str">
        <f t="shared" si="42"/>
        <v>+</v>
      </c>
      <c r="BT45" s="20">
        <f t="shared" si="47"/>
        <v>11</v>
      </c>
      <c r="BU45" s="20" t="str">
        <f t="shared" si="43"/>
        <v>H2O</v>
      </c>
      <c r="BW45">
        <f t="shared" si="44"/>
        <v>3.5326328593263033E-2</v>
      </c>
      <c r="BX45">
        <f t="shared" si="45"/>
        <v>0.11496871126527883</v>
      </c>
    </row>
    <row r="46" spans="5:76" x14ac:dyDescent="0.25">
      <c r="E46">
        <f>+'5% CO Elab'!R46</f>
        <v>41</v>
      </c>
      <c r="F46">
        <f>+'5% CO Elab'!S46</f>
        <v>11</v>
      </c>
      <c r="G46" t="str">
        <f>+'5% CO Elab'!T46</f>
        <v>1-ETHYL-2-ISOPROPYLBENZENE</v>
      </c>
      <c r="H46" t="str">
        <f>+'5% CO Elab'!U46</f>
        <v>C11H16-D1</v>
      </c>
      <c r="I46" t="str">
        <f>+'5% CO Elab'!V46</f>
        <v>C11-A</v>
      </c>
      <c r="J46">
        <f>+'5% CO Elab'!W46</f>
        <v>3.5749463375675833E-2</v>
      </c>
      <c r="L46">
        <f>+'5% CO Elab'!AB46</f>
        <v>1.1751347979418035E-3</v>
      </c>
      <c r="M46" s="20">
        <v>11</v>
      </c>
      <c r="N46" s="20" t="s">
        <v>354</v>
      </c>
      <c r="O46" s="20" t="s">
        <v>355</v>
      </c>
      <c r="P46" s="20">
        <v>30</v>
      </c>
      <c r="Q46" s="20" t="s">
        <v>356</v>
      </c>
      <c r="R46" s="20" t="s">
        <v>357</v>
      </c>
      <c r="S46" s="20">
        <v>1</v>
      </c>
      <c r="T46" s="20" t="s">
        <v>378</v>
      </c>
      <c r="U46" s="20" t="s">
        <v>355</v>
      </c>
      <c r="V46" s="20">
        <v>22</v>
      </c>
      <c r="W46" s="20" t="s">
        <v>358</v>
      </c>
      <c r="X46" s="1"/>
      <c r="Y46">
        <f>+'5% CO Elab'!AA46</f>
        <v>3.7853867936609598E-3</v>
      </c>
      <c r="Z46" s="20">
        <f t="shared" si="24"/>
        <v>11</v>
      </c>
      <c r="AA46" s="20" t="s">
        <v>29</v>
      </c>
      <c r="AB46" s="20" t="str">
        <f t="shared" si="25"/>
        <v>+</v>
      </c>
      <c r="AC46" s="20">
        <f t="shared" si="26"/>
        <v>19</v>
      </c>
      <c r="AD46" s="20" t="str">
        <f t="shared" si="27"/>
        <v>H2</v>
      </c>
      <c r="AE46" s="20" t="str">
        <f t="shared" si="28"/>
        <v>=</v>
      </c>
      <c r="AF46" s="20">
        <f t="shared" si="29"/>
        <v>1</v>
      </c>
      <c r="AG46" s="20" t="str">
        <f t="shared" si="30"/>
        <v>C11H16</v>
      </c>
      <c r="AH46" s="20" t="str">
        <f t="shared" si="31"/>
        <v>+</v>
      </c>
      <c r="AI46" s="20">
        <f t="shared" si="46"/>
        <v>11</v>
      </c>
      <c r="AJ46" s="20" t="str">
        <f t="shared" si="32"/>
        <v>H2O</v>
      </c>
      <c r="AL46">
        <f t="shared" si="33"/>
        <v>2.5852965554719678E-2</v>
      </c>
      <c r="AM46">
        <f t="shared" si="34"/>
        <v>4.163925473027056E-2</v>
      </c>
      <c r="AP46">
        <f>+'10% CO Elab'!S46</f>
        <v>11</v>
      </c>
      <c r="AQ46" t="str">
        <f>+'10% CO Elab'!T46</f>
        <v>1-ETHYL-2-ISOPROPYLBENZENE</v>
      </c>
      <c r="AR46" t="str">
        <f>+'10% CO Elab'!U46</f>
        <v>C11H16-D1</v>
      </c>
      <c r="AS46" t="str">
        <f>+'10% CO Elab'!V46</f>
        <v>C11-A</v>
      </c>
      <c r="AT46">
        <f>+'10% CO Elab'!W46</f>
        <v>3.945513959332022E-2</v>
      </c>
      <c r="AU46">
        <f>+'10% CO Elab'!X46</f>
        <v>0.43400653552652241</v>
      </c>
      <c r="AW46">
        <f>+'10% CO Elab'!AB46</f>
        <v>6.4364722788343685E-4</v>
      </c>
      <c r="AX46" s="20">
        <v>11</v>
      </c>
      <c r="AY46" s="20" t="s">
        <v>354</v>
      </c>
      <c r="AZ46" s="20" t="s">
        <v>355</v>
      </c>
      <c r="BA46" s="20">
        <v>30</v>
      </c>
      <c r="BB46" s="20" t="s">
        <v>356</v>
      </c>
      <c r="BC46" s="20" t="s">
        <v>357</v>
      </c>
      <c r="BD46" s="20">
        <v>1</v>
      </c>
      <c r="BE46" s="20" t="s">
        <v>378</v>
      </c>
      <c r="BF46" s="20" t="s">
        <v>355</v>
      </c>
      <c r="BG46" s="20">
        <v>22</v>
      </c>
      <c r="BH46" s="20" t="s">
        <v>358</v>
      </c>
      <c r="BI46" s="1"/>
      <c r="BJ46">
        <f>+'10% CO Elab'!AA46</f>
        <v>4.1894697380661372E-3</v>
      </c>
      <c r="BK46" s="20">
        <f t="shared" si="35"/>
        <v>11</v>
      </c>
      <c r="BL46" s="20" t="s">
        <v>29</v>
      </c>
      <c r="BM46" s="20" t="str">
        <f t="shared" si="36"/>
        <v>+</v>
      </c>
      <c r="BN46" s="20">
        <f t="shared" si="37"/>
        <v>19</v>
      </c>
      <c r="BO46" s="20" t="str">
        <f t="shared" si="38"/>
        <v>H2</v>
      </c>
      <c r="BP46" s="20" t="str">
        <f t="shared" si="39"/>
        <v>=</v>
      </c>
      <c r="BQ46" s="20">
        <f t="shared" si="40"/>
        <v>1</v>
      </c>
      <c r="BR46" s="20" t="str">
        <f t="shared" si="41"/>
        <v>C11H16</v>
      </c>
      <c r="BS46" s="20" t="str">
        <f t="shared" si="42"/>
        <v>+</v>
      </c>
      <c r="BT46" s="20">
        <f t="shared" si="47"/>
        <v>11</v>
      </c>
      <c r="BU46" s="20" t="str">
        <f t="shared" si="43"/>
        <v>H2O</v>
      </c>
      <c r="BW46">
        <f t="shared" si="44"/>
        <v>1.416023901343561E-2</v>
      </c>
      <c r="BX46">
        <f t="shared" si="45"/>
        <v>4.6084167118727509E-2</v>
      </c>
    </row>
    <row r="47" spans="5:76" x14ac:dyDescent="0.25">
      <c r="E47">
        <f>+'5% CO Elab'!R47</f>
        <v>42</v>
      </c>
      <c r="F47">
        <f>+'5% CO Elab'!S47</f>
        <v>11</v>
      </c>
      <c r="G47" t="str">
        <f>+'5% CO Elab'!T47</f>
        <v>Undecene-1</v>
      </c>
      <c r="H47">
        <f>+'5% CO Elab'!U47</f>
        <v>0</v>
      </c>
      <c r="I47" t="str">
        <f>+'5% CO Elab'!V47</f>
        <v>C11-O</v>
      </c>
      <c r="J47">
        <f>+'5% CO Elab'!W47</f>
        <v>5.7420760442119918E-2</v>
      </c>
      <c r="L47">
        <f>+'5% CO Elab'!AB47</f>
        <v>1.8875006041552832E-3</v>
      </c>
      <c r="M47" s="20">
        <v>11</v>
      </c>
      <c r="N47" s="20" t="s">
        <v>354</v>
      </c>
      <c r="O47" s="20" t="s">
        <v>355</v>
      </c>
      <c r="P47" s="20">
        <v>33</v>
      </c>
      <c r="Q47" s="20" t="s">
        <v>356</v>
      </c>
      <c r="R47" s="20" t="s">
        <v>357</v>
      </c>
      <c r="S47" s="20">
        <v>1</v>
      </c>
      <c r="T47" s="20" t="s">
        <v>379</v>
      </c>
      <c r="U47" s="20" t="s">
        <v>355</v>
      </c>
      <c r="V47" s="20">
        <v>22</v>
      </c>
      <c r="W47" s="20" t="s">
        <v>358</v>
      </c>
      <c r="X47" s="1"/>
      <c r="Y47">
        <f>+'5% CO Elab'!AA47</f>
        <v>6.0800853421330908E-3</v>
      </c>
      <c r="Z47" s="20">
        <f t="shared" si="24"/>
        <v>11</v>
      </c>
      <c r="AA47" s="20" t="s">
        <v>29</v>
      </c>
      <c r="AB47" s="20" t="str">
        <f t="shared" si="25"/>
        <v>+</v>
      </c>
      <c r="AC47" s="20">
        <f t="shared" si="26"/>
        <v>22</v>
      </c>
      <c r="AD47" s="20" t="str">
        <f t="shared" si="27"/>
        <v>H2</v>
      </c>
      <c r="AE47" s="20" t="str">
        <f t="shared" si="28"/>
        <v>=</v>
      </c>
      <c r="AF47" s="20">
        <f t="shared" si="29"/>
        <v>1</v>
      </c>
      <c r="AG47" s="20" t="str">
        <f t="shared" si="30"/>
        <v>C11H22</v>
      </c>
      <c r="AH47" s="20" t="str">
        <f t="shared" si="31"/>
        <v>+</v>
      </c>
      <c r="AI47" s="20">
        <f t="shared" si="46"/>
        <v>11</v>
      </c>
      <c r="AJ47" s="20" t="str">
        <f t="shared" si="32"/>
        <v>H2O</v>
      </c>
      <c r="AL47">
        <f t="shared" si="33"/>
        <v>4.1525013291416231E-2</v>
      </c>
      <c r="AM47">
        <f t="shared" si="34"/>
        <v>6.6880938763464001E-2</v>
      </c>
      <c r="AP47">
        <f>+'10% CO Elab'!S47</f>
        <v>11</v>
      </c>
      <c r="AQ47" t="str">
        <f>+'10% CO Elab'!T47</f>
        <v>Undecene-1</v>
      </c>
      <c r="AR47">
        <f>+'10% CO Elab'!U47</f>
        <v>0</v>
      </c>
      <c r="AS47" t="str">
        <f>+'10% CO Elab'!V47</f>
        <v>C11-O</v>
      </c>
      <c r="AT47">
        <f>+'10% CO Elab'!W47</f>
        <v>6.3372814718666015E-2</v>
      </c>
      <c r="AU47">
        <f>+'10% CO Elab'!X47</f>
        <v>0.69710096190532611</v>
      </c>
      <c r="AW47">
        <f>+'10% CO Elab'!AB47</f>
        <v>1.0338256799310823E-3</v>
      </c>
      <c r="AX47" s="20">
        <v>11</v>
      </c>
      <c r="AY47" s="20" t="s">
        <v>354</v>
      </c>
      <c r="AZ47" s="20" t="s">
        <v>355</v>
      </c>
      <c r="BA47" s="20">
        <v>33</v>
      </c>
      <c r="BB47" s="20" t="s">
        <v>356</v>
      </c>
      <c r="BC47" s="20" t="s">
        <v>357</v>
      </c>
      <c r="BD47" s="20">
        <v>1</v>
      </c>
      <c r="BE47" s="20" t="s">
        <v>379</v>
      </c>
      <c r="BF47" s="20" t="s">
        <v>355</v>
      </c>
      <c r="BG47" s="20">
        <v>22</v>
      </c>
      <c r="BH47" s="20" t="s">
        <v>358</v>
      </c>
      <c r="BI47" s="1"/>
      <c r="BJ47">
        <f>+'10% CO Elab'!AA47</f>
        <v>6.7291230551082019E-3</v>
      </c>
      <c r="BK47" s="20">
        <f t="shared" si="35"/>
        <v>11</v>
      </c>
      <c r="BL47" s="20" t="s">
        <v>29</v>
      </c>
      <c r="BM47" s="20" t="str">
        <f t="shared" si="36"/>
        <v>+</v>
      </c>
      <c r="BN47" s="20">
        <f t="shared" si="37"/>
        <v>22</v>
      </c>
      <c r="BO47" s="20" t="str">
        <f t="shared" si="38"/>
        <v>H2</v>
      </c>
      <c r="BP47" s="20" t="str">
        <f t="shared" si="39"/>
        <v>=</v>
      </c>
      <c r="BQ47" s="20">
        <f t="shared" si="40"/>
        <v>1</v>
      </c>
      <c r="BR47" s="20" t="str">
        <f t="shared" si="41"/>
        <v>C11H22</v>
      </c>
      <c r="BS47" s="20" t="str">
        <f t="shared" si="42"/>
        <v>+</v>
      </c>
      <c r="BT47" s="20">
        <f t="shared" si="47"/>
        <v>11</v>
      </c>
      <c r="BU47" s="20" t="str">
        <f t="shared" si="43"/>
        <v>H2O</v>
      </c>
      <c r="BW47">
        <f t="shared" si="44"/>
        <v>2.274416495848381E-2</v>
      </c>
      <c r="BX47">
        <f t="shared" si="45"/>
        <v>7.402035360619022E-2</v>
      </c>
    </row>
    <row r="48" spans="5:76" x14ac:dyDescent="0.25">
      <c r="E48">
        <f>+'5% CO Elab'!R48</f>
        <v>43</v>
      </c>
      <c r="F48">
        <f>+'5% CO Elab'!S48</f>
        <v>12</v>
      </c>
      <c r="G48" t="str">
        <f>+'5% CO Elab'!T48</f>
        <v>2-METHYLUNDECANE</v>
      </c>
      <c r="H48" t="str">
        <f>+'5% CO Elab'!U48</f>
        <v>C12H26-N9</v>
      </c>
      <c r="I48" t="str">
        <f>+'5% CO Elab'!V48</f>
        <v>C12-IP</v>
      </c>
      <c r="J48">
        <f>+'5% CO Elab'!W48</f>
        <v>6.2865370725141437E-2</v>
      </c>
      <c r="L48">
        <f>+'5% CO Elab'!AB48</f>
        <v>2.2543336903464244E-3</v>
      </c>
      <c r="M48" s="20">
        <v>12</v>
      </c>
      <c r="N48" s="20" t="s">
        <v>354</v>
      </c>
      <c r="O48" s="20" t="s">
        <v>355</v>
      </c>
      <c r="P48" s="20">
        <v>37</v>
      </c>
      <c r="Q48" s="20" t="s">
        <v>356</v>
      </c>
      <c r="R48" s="20" t="s">
        <v>357</v>
      </c>
      <c r="S48" s="20">
        <v>1</v>
      </c>
      <c r="T48" s="20" t="s">
        <v>258</v>
      </c>
      <c r="U48" s="20" t="s">
        <v>355</v>
      </c>
      <c r="V48" s="20">
        <v>24</v>
      </c>
      <c r="W48" s="20" t="s">
        <v>358</v>
      </c>
      <c r="X48" s="1"/>
      <c r="Y48">
        <f>+'5% CO Elab'!AA48</f>
        <v>7.2617413720438024E-3</v>
      </c>
      <c r="Z48" s="20">
        <f t="shared" si="24"/>
        <v>12</v>
      </c>
      <c r="AA48" s="20" t="s">
        <v>29</v>
      </c>
      <c r="AB48" s="20" t="str">
        <f t="shared" si="25"/>
        <v>+</v>
      </c>
      <c r="AC48" s="20">
        <f t="shared" si="26"/>
        <v>25</v>
      </c>
      <c r="AD48" s="20" t="str">
        <f t="shared" si="27"/>
        <v>H2</v>
      </c>
      <c r="AE48" s="20" t="str">
        <f t="shared" si="28"/>
        <v>=</v>
      </c>
      <c r="AF48" s="20">
        <f t="shared" si="29"/>
        <v>1</v>
      </c>
      <c r="AG48" s="20" t="str">
        <f t="shared" si="30"/>
        <v>C12H26</v>
      </c>
      <c r="AH48" s="20" t="str">
        <f t="shared" si="31"/>
        <v>+</v>
      </c>
      <c r="AI48" s="20">
        <f t="shared" si="46"/>
        <v>12</v>
      </c>
      <c r="AJ48" s="20" t="str">
        <f t="shared" si="32"/>
        <v>H2O</v>
      </c>
      <c r="AL48">
        <f t="shared" si="33"/>
        <v>5.4104008568314182E-2</v>
      </c>
      <c r="AM48">
        <f t="shared" si="34"/>
        <v>8.7140896464525636E-2</v>
      </c>
      <c r="AP48">
        <f>+'10% CO Elab'!S48</f>
        <v>12</v>
      </c>
      <c r="AQ48" t="str">
        <f>+'10% CO Elab'!T48</f>
        <v>2-METHYLUNDECANE</v>
      </c>
      <c r="AR48" t="str">
        <f>+'10% CO Elab'!U48</f>
        <v>C12H26-N9</v>
      </c>
      <c r="AS48" t="str">
        <f>+'10% CO Elab'!V48</f>
        <v>C12-IP</v>
      </c>
      <c r="AT48">
        <f>+'10% CO Elab'!W48</f>
        <v>6.9381796070089721E-2</v>
      </c>
      <c r="AU48">
        <f>+'10% CO Elab'!X48</f>
        <v>0.83258155284107671</v>
      </c>
      <c r="AW48">
        <f>+'10% CO Elab'!AB48</f>
        <v>1.2347482459519271E-3</v>
      </c>
      <c r="AX48" s="20">
        <v>12</v>
      </c>
      <c r="AY48" s="20" t="s">
        <v>354</v>
      </c>
      <c r="AZ48" s="20" t="s">
        <v>355</v>
      </c>
      <c r="BA48" s="20">
        <v>37</v>
      </c>
      <c r="BB48" s="20" t="s">
        <v>356</v>
      </c>
      <c r="BC48" s="20" t="s">
        <v>357</v>
      </c>
      <c r="BD48" s="20">
        <v>1</v>
      </c>
      <c r="BE48" s="20" t="s">
        <v>258</v>
      </c>
      <c r="BF48" s="20" t="s">
        <v>355</v>
      </c>
      <c r="BG48" s="20">
        <v>24</v>
      </c>
      <c r="BH48" s="20" t="s">
        <v>358</v>
      </c>
      <c r="BI48" s="1"/>
      <c r="BJ48">
        <f>+'10% CO Elab'!AA48</f>
        <v>8.0369186511631344E-3</v>
      </c>
      <c r="BK48" s="20">
        <f t="shared" si="35"/>
        <v>12</v>
      </c>
      <c r="BL48" s="20" t="s">
        <v>29</v>
      </c>
      <c r="BM48" s="20" t="str">
        <f t="shared" si="36"/>
        <v>+</v>
      </c>
      <c r="BN48" s="20">
        <f t="shared" si="37"/>
        <v>25</v>
      </c>
      <c r="BO48" s="20" t="str">
        <f t="shared" si="38"/>
        <v>H2</v>
      </c>
      <c r="BP48" s="20" t="str">
        <f t="shared" si="39"/>
        <v>=</v>
      </c>
      <c r="BQ48" s="20">
        <f t="shared" si="40"/>
        <v>1</v>
      </c>
      <c r="BR48" s="20" t="str">
        <f t="shared" si="41"/>
        <v>C12H26</v>
      </c>
      <c r="BS48" s="20" t="str">
        <f t="shared" si="42"/>
        <v>+</v>
      </c>
      <c r="BT48" s="20">
        <f t="shared" si="47"/>
        <v>12</v>
      </c>
      <c r="BU48" s="20" t="str">
        <f t="shared" si="43"/>
        <v>H2O</v>
      </c>
      <c r="BW48">
        <f t="shared" si="44"/>
        <v>2.9633957902846252E-2</v>
      </c>
      <c r="BX48">
        <f t="shared" si="45"/>
        <v>9.6443023813957612E-2</v>
      </c>
    </row>
    <row r="49" spans="5:76" x14ac:dyDescent="0.25">
      <c r="E49">
        <f>+'5% CO Elab'!R49</f>
        <v>44</v>
      </c>
      <c r="F49">
        <f>+'5% CO Elab'!S49</f>
        <v>12</v>
      </c>
      <c r="G49" t="str">
        <f>+'5% CO Elab'!T49</f>
        <v>N-DODECANE</v>
      </c>
      <c r="H49" t="str">
        <f>+'5% CO Elab'!U49</f>
        <v>C12H26</v>
      </c>
      <c r="I49" t="str">
        <f>+'5% CO Elab'!V49</f>
        <v>C12</v>
      </c>
      <c r="J49">
        <f>+'5% CO Elab'!W49</f>
        <v>6.6130373010524227E-2</v>
      </c>
      <c r="L49">
        <f>+'5% CO Elab'!AB49</f>
        <v>2.3714157112761582E-3</v>
      </c>
      <c r="M49" s="20">
        <v>12</v>
      </c>
      <c r="N49" s="20" t="s">
        <v>354</v>
      </c>
      <c r="O49" s="20" t="s">
        <v>355</v>
      </c>
      <c r="P49" s="20">
        <v>37</v>
      </c>
      <c r="Q49" s="20" t="s">
        <v>356</v>
      </c>
      <c r="R49" s="20" t="s">
        <v>357</v>
      </c>
      <c r="S49" s="20">
        <v>1</v>
      </c>
      <c r="T49" s="20" t="s">
        <v>258</v>
      </c>
      <c r="U49" s="20" t="s">
        <v>355</v>
      </c>
      <c r="V49" s="20">
        <v>24</v>
      </c>
      <c r="W49" s="20" t="s">
        <v>358</v>
      </c>
      <c r="X49" s="1"/>
      <c r="Y49">
        <f>+'5% CO Elab'!AA49</f>
        <v>7.6388902204812727E-3</v>
      </c>
      <c r="Z49" s="20">
        <f t="shared" si="24"/>
        <v>12</v>
      </c>
      <c r="AA49" s="20" t="s">
        <v>29</v>
      </c>
      <c r="AB49" s="20" t="str">
        <f t="shared" si="25"/>
        <v>+</v>
      </c>
      <c r="AC49" s="20">
        <f t="shared" si="26"/>
        <v>25</v>
      </c>
      <c r="AD49" s="20" t="str">
        <f t="shared" si="27"/>
        <v>H2</v>
      </c>
      <c r="AE49" s="20" t="str">
        <f t="shared" si="28"/>
        <v>=</v>
      </c>
      <c r="AF49" s="20">
        <f t="shared" si="29"/>
        <v>1</v>
      </c>
      <c r="AG49" s="20" t="str">
        <f t="shared" si="30"/>
        <v>C12H26</v>
      </c>
      <c r="AH49" s="20" t="str">
        <f t="shared" si="31"/>
        <v>+</v>
      </c>
      <c r="AI49" s="20">
        <f t="shared" si="46"/>
        <v>12</v>
      </c>
      <c r="AJ49" s="20" t="str">
        <f t="shared" si="32"/>
        <v>H2O</v>
      </c>
      <c r="AL49">
        <f t="shared" si="33"/>
        <v>5.69139770706278E-2</v>
      </c>
      <c r="AM49">
        <f t="shared" si="34"/>
        <v>9.1666682645775266E-2</v>
      </c>
      <c r="AP49">
        <f>+'10% CO Elab'!S49</f>
        <v>12</v>
      </c>
      <c r="AQ49" t="str">
        <f>+'10% CO Elab'!T49</f>
        <v>N-DODECANE</v>
      </c>
      <c r="AR49" t="str">
        <f>+'10% CO Elab'!U49</f>
        <v>C12H26</v>
      </c>
      <c r="AS49" t="str">
        <f>+'10% CO Elab'!V49</f>
        <v>C12</v>
      </c>
      <c r="AT49">
        <f>+'10% CO Elab'!W49</f>
        <v>0.10087648909937995</v>
      </c>
      <c r="AU49">
        <f>+'10% CO Elab'!X49</f>
        <v>1.2105178691925593</v>
      </c>
      <c r="AW49">
        <f>+'10% CO Elab'!AB49</f>
        <v>1.7952413317092585E-3</v>
      </c>
      <c r="AX49" s="20">
        <v>12</v>
      </c>
      <c r="AY49" s="20" t="s">
        <v>354</v>
      </c>
      <c r="AZ49" s="20" t="s">
        <v>355</v>
      </c>
      <c r="BA49" s="20">
        <v>37</v>
      </c>
      <c r="BB49" s="20" t="s">
        <v>356</v>
      </c>
      <c r="BC49" s="20" t="s">
        <v>357</v>
      </c>
      <c r="BD49" s="20">
        <v>1</v>
      </c>
      <c r="BE49" s="20" t="s">
        <v>258</v>
      </c>
      <c r="BF49" s="20" t="s">
        <v>355</v>
      </c>
      <c r="BG49" s="20">
        <v>24</v>
      </c>
      <c r="BH49" s="20" t="s">
        <v>358</v>
      </c>
      <c r="BI49" s="1"/>
      <c r="BJ49">
        <f>+'10% CO Elab'!AA49</f>
        <v>1.1685141962708099E-2</v>
      </c>
      <c r="BK49" s="20">
        <f t="shared" si="35"/>
        <v>12</v>
      </c>
      <c r="BL49" s="20" t="s">
        <v>29</v>
      </c>
      <c r="BM49" s="20" t="str">
        <f t="shared" si="36"/>
        <v>+</v>
      </c>
      <c r="BN49" s="20">
        <f t="shared" si="37"/>
        <v>25</v>
      </c>
      <c r="BO49" s="20" t="str">
        <f t="shared" si="38"/>
        <v>H2</v>
      </c>
      <c r="BP49" s="20" t="str">
        <f t="shared" si="39"/>
        <v>=</v>
      </c>
      <c r="BQ49" s="20">
        <f t="shared" si="40"/>
        <v>1</v>
      </c>
      <c r="BR49" s="20" t="str">
        <f t="shared" si="41"/>
        <v>C12H26</v>
      </c>
      <c r="BS49" s="20" t="str">
        <f t="shared" si="42"/>
        <v>+</v>
      </c>
      <c r="BT49" s="20">
        <f t="shared" si="47"/>
        <v>12</v>
      </c>
      <c r="BU49" s="20" t="str">
        <f t="shared" si="43"/>
        <v>H2O</v>
      </c>
      <c r="BW49">
        <f t="shared" si="44"/>
        <v>4.3085791961022205E-2</v>
      </c>
      <c r="BX49">
        <f t="shared" si="45"/>
        <v>0.14022170355249719</v>
      </c>
    </row>
    <row r="50" spans="5:76" x14ac:dyDescent="0.25">
      <c r="E50">
        <f>+'5% CO Elab'!R50</f>
        <v>45</v>
      </c>
      <c r="F50">
        <f>+'5% CO Elab'!S50</f>
        <v>12</v>
      </c>
      <c r="G50" t="str">
        <f>+'5% CO Elab'!T50</f>
        <v>1-DODECENE</v>
      </c>
      <c r="H50" t="str">
        <f>+'5% CO Elab'!U50</f>
        <v>C12H24-2</v>
      </c>
      <c r="I50" t="str">
        <f>+'5% CO Elab'!V50</f>
        <v>C12-O</v>
      </c>
      <c r="J50">
        <f>+'5% CO Elab'!W50</f>
        <v>6.1748816777924195E-3</v>
      </c>
      <c r="L50">
        <f>+'5% CO Elab'!AB50</f>
        <v>2.214294394446838E-4</v>
      </c>
      <c r="M50" s="20">
        <v>12</v>
      </c>
      <c r="N50" s="20" t="s">
        <v>354</v>
      </c>
      <c r="O50" s="20" t="s">
        <v>355</v>
      </c>
      <c r="P50" s="20">
        <v>36</v>
      </c>
      <c r="Q50" s="20" t="s">
        <v>356</v>
      </c>
      <c r="R50" s="20" t="s">
        <v>357</v>
      </c>
      <c r="S50" s="20">
        <v>1</v>
      </c>
      <c r="T50" s="20" t="s">
        <v>380</v>
      </c>
      <c r="U50" s="20" t="s">
        <v>355</v>
      </c>
      <c r="V50" s="20">
        <v>24</v>
      </c>
      <c r="W50" s="20" t="s">
        <v>358</v>
      </c>
      <c r="X50" s="1"/>
      <c r="Y50">
        <f>+'5% CO Elab'!AA50</f>
        <v>7.1327653412163309E-4</v>
      </c>
      <c r="Z50" s="20">
        <f t="shared" si="24"/>
        <v>12</v>
      </c>
      <c r="AA50" s="20" t="s">
        <v>29</v>
      </c>
      <c r="AB50" s="20" t="str">
        <f t="shared" si="25"/>
        <v>+</v>
      </c>
      <c r="AC50" s="20">
        <f t="shared" si="26"/>
        <v>24</v>
      </c>
      <c r="AD50" s="20" t="str">
        <f t="shared" si="27"/>
        <v>H2</v>
      </c>
      <c r="AE50" s="20" t="str">
        <f t="shared" si="28"/>
        <v>=</v>
      </c>
      <c r="AF50" s="20">
        <f t="shared" si="29"/>
        <v>1</v>
      </c>
      <c r="AG50" s="20" t="str">
        <f t="shared" si="30"/>
        <v>C12H24</v>
      </c>
      <c r="AH50" s="20" t="str">
        <f t="shared" si="31"/>
        <v>+</v>
      </c>
      <c r="AI50" s="20">
        <f t="shared" si="46"/>
        <v>12</v>
      </c>
      <c r="AJ50" s="20" t="str">
        <f t="shared" si="32"/>
        <v>H2O</v>
      </c>
      <c r="AL50">
        <f t="shared" si="33"/>
        <v>5.3143065466724117E-3</v>
      </c>
      <c r="AM50">
        <f t="shared" si="34"/>
        <v>8.559318409459598E-3</v>
      </c>
      <c r="AP50">
        <f>+'10% CO Elab'!S50</f>
        <v>12</v>
      </c>
      <c r="AQ50" t="str">
        <f>+'10% CO Elab'!T50</f>
        <v>1-DODECENE</v>
      </c>
      <c r="AR50" t="str">
        <f>+'10% CO Elab'!U50</f>
        <v>C12H24-2</v>
      </c>
      <c r="AS50" t="str">
        <f>+'10% CO Elab'!V50</f>
        <v>C12-O</v>
      </c>
      <c r="AT50">
        <f>+'10% CO Elab'!W50</f>
        <v>6.8149503674872864E-3</v>
      </c>
      <c r="AU50">
        <f>+'10% CO Elab'!X50</f>
        <v>8.1779404409847434E-2</v>
      </c>
      <c r="AW50">
        <f>+'10% CO Elab'!AB50</f>
        <v>1.2128178411529965E-4</v>
      </c>
      <c r="AX50" s="20">
        <v>12</v>
      </c>
      <c r="AY50" s="20" t="s">
        <v>354</v>
      </c>
      <c r="AZ50" s="20" t="s">
        <v>355</v>
      </c>
      <c r="BA50" s="20">
        <v>36</v>
      </c>
      <c r="BB50" s="20" t="s">
        <v>356</v>
      </c>
      <c r="BC50" s="20" t="s">
        <v>357</v>
      </c>
      <c r="BD50" s="20">
        <v>1</v>
      </c>
      <c r="BE50" s="20" t="s">
        <v>380</v>
      </c>
      <c r="BF50" s="20" t="s">
        <v>355</v>
      </c>
      <c r="BG50" s="20">
        <v>24</v>
      </c>
      <c r="BH50" s="20" t="s">
        <v>358</v>
      </c>
      <c r="BI50" s="1"/>
      <c r="BJ50">
        <f>+'10% CO Elab'!AA50</f>
        <v>7.8941746708141667E-4</v>
      </c>
      <c r="BK50" s="20">
        <f t="shared" si="35"/>
        <v>12</v>
      </c>
      <c r="BL50" s="20" t="s">
        <v>29</v>
      </c>
      <c r="BM50" s="20" t="str">
        <f t="shared" si="36"/>
        <v>+</v>
      </c>
      <c r="BN50" s="20">
        <f t="shared" si="37"/>
        <v>24</v>
      </c>
      <c r="BO50" s="20" t="str">
        <f t="shared" si="38"/>
        <v>H2</v>
      </c>
      <c r="BP50" s="20" t="str">
        <f t="shared" si="39"/>
        <v>=</v>
      </c>
      <c r="BQ50" s="20">
        <f t="shared" si="40"/>
        <v>1</v>
      </c>
      <c r="BR50" s="20" t="str">
        <f t="shared" si="41"/>
        <v>C12H24</v>
      </c>
      <c r="BS50" s="20" t="str">
        <f t="shared" si="42"/>
        <v>+</v>
      </c>
      <c r="BT50" s="20">
        <f t="shared" si="47"/>
        <v>12</v>
      </c>
      <c r="BU50" s="20" t="str">
        <f t="shared" si="43"/>
        <v>H2O</v>
      </c>
      <c r="BW50">
        <f t="shared" si="44"/>
        <v>2.9107628187671915E-3</v>
      </c>
      <c r="BX50">
        <f t="shared" si="45"/>
        <v>9.473009604977E-3</v>
      </c>
    </row>
    <row r="51" spans="5:76" x14ac:dyDescent="0.25">
      <c r="E51">
        <f>+'5% CO Elab'!R51</f>
        <v>46</v>
      </c>
      <c r="F51">
        <f>+'5% CO Elab'!S51</f>
        <v>12</v>
      </c>
      <c r="G51" t="str">
        <f>+'5% CO Elab'!T51</f>
        <v>1,2,4-TRIETHYLBENZENE</v>
      </c>
      <c r="H51" t="str">
        <f>+'5% CO Elab'!U51</f>
        <v>C12H18-D6</v>
      </c>
      <c r="I51" t="str">
        <f>+'5% CO Elab'!V51</f>
        <v>C12-A</v>
      </c>
      <c r="J51">
        <f>+'5% CO Elab'!W51</f>
        <v>2.1764343228712183E-2</v>
      </c>
      <c r="L51">
        <f>+'5% CO Elab'!AB51</f>
        <v>7.8046294204270057E-4</v>
      </c>
      <c r="M51" s="20">
        <v>12</v>
      </c>
      <c r="N51" s="20" t="s">
        <v>354</v>
      </c>
      <c r="O51" s="20" t="s">
        <v>355</v>
      </c>
      <c r="P51" s="20">
        <v>33</v>
      </c>
      <c r="Q51" s="20" t="s">
        <v>356</v>
      </c>
      <c r="R51" s="20" t="s">
        <v>357</v>
      </c>
      <c r="S51" s="20">
        <v>1</v>
      </c>
      <c r="T51" s="20" t="s">
        <v>381</v>
      </c>
      <c r="U51" s="20" t="s">
        <v>355</v>
      </c>
      <c r="V51" s="20">
        <v>24</v>
      </c>
      <c r="W51" s="20" t="s">
        <v>358</v>
      </c>
      <c r="X51" s="1"/>
      <c r="Y51">
        <f>+'5% CO Elab'!AA51</f>
        <v>2.5140555099930984E-3</v>
      </c>
      <c r="Z51" s="20">
        <f t="shared" si="24"/>
        <v>12</v>
      </c>
      <c r="AA51" s="20" t="s">
        <v>29</v>
      </c>
      <c r="AB51" s="20" t="str">
        <f t="shared" si="25"/>
        <v>+</v>
      </c>
      <c r="AC51" s="20">
        <f t="shared" si="26"/>
        <v>21</v>
      </c>
      <c r="AD51" s="20" t="str">
        <f t="shared" si="27"/>
        <v>H2</v>
      </c>
      <c r="AE51" s="20" t="str">
        <f t="shared" si="28"/>
        <v>=</v>
      </c>
      <c r="AF51" s="20">
        <f t="shared" si="29"/>
        <v>1</v>
      </c>
      <c r="AG51" s="20" t="str">
        <f t="shared" si="30"/>
        <v>C12H18</v>
      </c>
      <c r="AH51" s="20" t="str">
        <f t="shared" si="31"/>
        <v>+</v>
      </c>
      <c r="AI51" s="20">
        <f t="shared" si="46"/>
        <v>12</v>
      </c>
      <c r="AJ51" s="20" t="str">
        <f t="shared" si="32"/>
        <v>H2O</v>
      </c>
      <c r="AL51">
        <f t="shared" si="33"/>
        <v>1.8731110609024812E-2</v>
      </c>
      <c r="AM51">
        <f t="shared" si="34"/>
        <v>3.0168666119917181E-2</v>
      </c>
      <c r="AP51">
        <f>+'10% CO Elab'!S51</f>
        <v>12</v>
      </c>
      <c r="AQ51" t="str">
        <f>+'10% CO Elab'!T51</f>
        <v>1,2,4-TRIETHYLBENZENE</v>
      </c>
      <c r="AR51" t="str">
        <f>+'10% CO Elab'!U51</f>
        <v>C12H18-D6</v>
      </c>
      <c r="AS51" t="str">
        <f>+'10% CO Elab'!V51</f>
        <v>C12-A</v>
      </c>
      <c r="AT51">
        <f>+'10% CO Elab'!W51</f>
        <v>2.4020366158280529E-2</v>
      </c>
      <c r="AU51">
        <f>+'10% CO Elab'!X51</f>
        <v>0.28824439389936635</v>
      </c>
      <c r="AW51">
        <f>+'10% CO Elab'!AB51</f>
        <v>4.2747675414885744E-4</v>
      </c>
      <c r="AX51" s="20">
        <v>12</v>
      </c>
      <c r="AY51" s="20" t="s">
        <v>354</v>
      </c>
      <c r="AZ51" s="20" t="s">
        <v>355</v>
      </c>
      <c r="BA51" s="20">
        <v>33</v>
      </c>
      <c r="BB51" s="20" t="s">
        <v>356</v>
      </c>
      <c r="BC51" s="20" t="s">
        <v>357</v>
      </c>
      <c r="BD51" s="20">
        <v>1</v>
      </c>
      <c r="BE51" s="20" t="s">
        <v>381</v>
      </c>
      <c r="BF51" s="20" t="s">
        <v>355</v>
      </c>
      <c r="BG51" s="20">
        <v>24</v>
      </c>
      <c r="BH51" s="20" t="s">
        <v>358</v>
      </c>
      <c r="BI51" s="1"/>
      <c r="BJ51">
        <f>+'10% CO Elab'!AA51</f>
        <v>2.7824262230143632E-3</v>
      </c>
      <c r="BK51" s="20">
        <f t="shared" si="35"/>
        <v>12</v>
      </c>
      <c r="BL51" s="20" t="s">
        <v>29</v>
      </c>
      <c r="BM51" s="20" t="str">
        <f t="shared" si="36"/>
        <v>+</v>
      </c>
      <c r="BN51" s="20">
        <f t="shared" si="37"/>
        <v>21</v>
      </c>
      <c r="BO51" s="20" t="str">
        <f t="shared" si="38"/>
        <v>H2</v>
      </c>
      <c r="BP51" s="20" t="str">
        <f t="shared" si="39"/>
        <v>=</v>
      </c>
      <c r="BQ51" s="20">
        <f t="shared" si="40"/>
        <v>1</v>
      </c>
      <c r="BR51" s="20" t="str">
        <f t="shared" si="41"/>
        <v>C12H18</v>
      </c>
      <c r="BS51" s="20" t="str">
        <f t="shared" si="42"/>
        <v>+</v>
      </c>
      <c r="BT51" s="20">
        <f t="shared" si="47"/>
        <v>12</v>
      </c>
      <c r="BU51" s="20" t="str">
        <f t="shared" si="43"/>
        <v>H2O</v>
      </c>
      <c r="BW51">
        <f t="shared" si="44"/>
        <v>1.0259442099572578E-2</v>
      </c>
      <c r="BX51">
        <f t="shared" si="45"/>
        <v>3.3389114676172359E-2</v>
      </c>
    </row>
    <row r="52" spans="5:76" x14ac:dyDescent="0.25">
      <c r="E52">
        <f>+'5% CO Elab'!R52</f>
        <v>47</v>
      </c>
      <c r="F52">
        <f>+'5% CO Elab'!S52</f>
        <v>12</v>
      </c>
      <c r="G52">
        <f>+'5% CO Elab'!T52</f>
        <v>0</v>
      </c>
      <c r="H52">
        <f>+'5% CO Elab'!U52</f>
        <v>0</v>
      </c>
      <c r="I52" t="str">
        <f>+'5% CO Elab'!V52</f>
        <v>C12-N</v>
      </c>
      <c r="J52">
        <f>+'5% CO Elab'!W52</f>
        <v>5.6560788336308641E-3</v>
      </c>
      <c r="L52">
        <f>+'5% CO Elab'!AB52</f>
        <v>2.0282532215800715E-4</v>
      </c>
      <c r="M52" s="20">
        <v>12</v>
      </c>
      <c r="N52" s="20" t="s">
        <v>354</v>
      </c>
      <c r="O52" s="20" t="s">
        <v>355</v>
      </c>
      <c r="P52" s="20">
        <v>36</v>
      </c>
      <c r="Q52" s="20" t="s">
        <v>356</v>
      </c>
      <c r="R52" s="20" t="s">
        <v>357</v>
      </c>
      <c r="S52" s="20">
        <v>1</v>
      </c>
      <c r="T52" s="20" t="s">
        <v>380</v>
      </c>
      <c r="U52" s="20" t="s">
        <v>355</v>
      </c>
      <c r="V52" s="20">
        <v>24</v>
      </c>
      <c r="W52" s="20" t="s">
        <v>358</v>
      </c>
      <c r="X52" s="1"/>
      <c r="Y52">
        <f>+'5% CO Elab'!AA52</f>
        <v>6.5334827737351412E-4</v>
      </c>
      <c r="Z52" s="20">
        <f t="shared" si="24"/>
        <v>12</v>
      </c>
      <c r="AA52" s="20" t="s">
        <v>29</v>
      </c>
      <c r="AB52" s="20" t="str">
        <f t="shared" si="25"/>
        <v>+</v>
      </c>
      <c r="AC52" s="20">
        <f t="shared" si="26"/>
        <v>24</v>
      </c>
      <c r="AD52" s="20" t="str">
        <f t="shared" si="27"/>
        <v>H2</v>
      </c>
      <c r="AE52" s="20" t="str">
        <f t="shared" si="28"/>
        <v>=</v>
      </c>
      <c r="AF52" s="20">
        <f t="shared" si="29"/>
        <v>1</v>
      </c>
      <c r="AG52" s="20" t="str">
        <f t="shared" si="30"/>
        <v>C12H24</v>
      </c>
      <c r="AH52" s="20" t="str">
        <f t="shared" si="31"/>
        <v>+</v>
      </c>
      <c r="AI52" s="20">
        <f t="shared" si="46"/>
        <v>12</v>
      </c>
      <c r="AJ52" s="20" t="str">
        <f t="shared" si="32"/>
        <v>H2O</v>
      </c>
      <c r="AL52">
        <f t="shared" si="33"/>
        <v>4.867807731792172E-3</v>
      </c>
      <c r="AM52">
        <f t="shared" si="34"/>
        <v>7.8401793284821695E-3</v>
      </c>
      <c r="AP52">
        <f>+'10% CO Elab'!S52</f>
        <v>12</v>
      </c>
      <c r="AQ52">
        <f>+'10% CO Elab'!T52</f>
        <v>0</v>
      </c>
      <c r="AR52">
        <f>+'10% CO Elab'!U52</f>
        <v>0</v>
      </c>
      <c r="AS52" t="str">
        <f>+'10% CO Elab'!V52</f>
        <v>C12-N</v>
      </c>
      <c r="AT52">
        <f>+'10% CO Elab'!W52</f>
        <v>6.2423700626390377E-3</v>
      </c>
      <c r="AU52">
        <f>+'10% CO Elab'!X52</f>
        <v>7.4908440751668456E-2</v>
      </c>
      <c r="AW52">
        <f>+'10% CO Elab'!AB52</f>
        <v>1.1109189905721051E-4</v>
      </c>
      <c r="AX52" s="20">
        <v>12</v>
      </c>
      <c r="AY52" s="20" t="s">
        <v>354</v>
      </c>
      <c r="AZ52" s="20" t="s">
        <v>355</v>
      </c>
      <c r="BA52" s="20">
        <v>36</v>
      </c>
      <c r="BB52" s="20" t="s">
        <v>356</v>
      </c>
      <c r="BC52" s="20" t="s">
        <v>357</v>
      </c>
      <c r="BD52" s="20">
        <v>1</v>
      </c>
      <c r="BE52" s="20" t="s">
        <v>380</v>
      </c>
      <c r="BF52" s="20" t="s">
        <v>355</v>
      </c>
      <c r="BG52" s="20">
        <v>24</v>
      </c>
      <c r="BH52" s="20" t="s">
        <v>358</v>
      </c>
      <c r="BI52" s="1"/>
      <c r="BJ52">
        <f>+'10% CO Elab'!AA52</f>
        <v>7.2309198126270394E-4</v>
      </c>
      <c r="BK52" s="20">
        <f t="shared" si="35"/>
        <v>12</v>
      </c>
      <c r="BL52" s="20" t="s">
        <v>29</v>
      </c>
      <c r="BM52" s="20" t="str">
        <f t="shared" si="36"/>
        <v>+</v>
      </c>
      <c r="BN52" s="20">
        <f t="shared" si="37"/>
        <v>24</v>
      </c>
      <c r="BO52" s="20" t="str">
        <f t="shared" si="38"/>
        <v>H2</v>
      </c>
      <c r="BP52" s="20" t="str">
        <f t="shared" si="39"/>
        <v>=</v>
      </c>
      <c r="BQ52" s="20">
        <f t="shared" si="40"/>
        <v>1</v>
      </c>
      <c r="BR52" s="20" t="str">
        <f t="shared" si="41"/>
        <v>C12H24</v>
      </c>
      <c r="BS52" s="20" t="str">
        <f t="shared" si="42"/>
        <v>+</v>
      </c>
      <c r="BT52" s="20">
        <f t="shared" si="47"/>
        <v>12</v>
      </c>
      <c r="BU52" s="20" t="str">
        <f t="shared" si="43"/>
        <v>H2O</v>
      </c>
      <c r="BW52">
        <f t="shared" si="44"/>
        <v>2.6662055773730522E-3</v>
      </c>
      <c r="BX52">
        <f t="shared" si="45"/>
        <v>8.6771037751524477E-3</v>
      </c>
    </row>
    <row r="53" spans="5:76" x14ac:dyDescent="0.25">
      <c r="E53">
        <f>+'5% CO Elab'!R53</f>
        <v>48</v>
      </c>
      <c r="F53">
        <f>+'5% CO Elab'!S53</f>
        <v>13</v>
      </c>
      <c r="G53" t="str">
        <f>+'5% CO Elab'!T53</f>
        <v>2-METHYLDODECANE</v>
      </c>
      <c r="H53" t="str">
        <f>+'5% CO Elab'!U53</f>
        <v>C13H28-N1</v>
      </c>
      <c r="I53" t="str">
        <f>+'5% CO Elab'!V53</f>
        <v>C13-IP</v>
      </c>
      <c r="J53">
        <f>+'5% CO Elab'!W53</f>
        <v>2.2708902754767189E-2</v>
      </c>
      <c r="L53">
        <f>+'5% CO Elab'!AB53</f>
        <v>8.8219578267645675E-4</v>
      </c>
      <c r="M53" s="20">
        <v>13</v>
      </c>
      <c r="N53" s="20" t="s">
        <v>354</v>
      </c>
      <c r="O53" s="20" t="s">
        <v>355</v>
      </c>
      <c r="P53" s="20">
        <v>40</v>
      </c>
      <c r="Q53" s="20" t="s">
        <v>356</v>
      </c>
      <c r="R53" s="20" t="s">
        <v>357</v>
      </c>
      <c r="S53" s="20">
        <v>1</v>
      </c>
      <c r="T53" s="20" t="s">
        <v>274</v>
      </c>
      <c r="U53" s="20" t="s">
        <v>355</v>
      </c>
      <c r="V53" s="20">
        <v>26</v>
      </c>
      <c r="W53" s="20" t="s">
        <v>358</v>
      </c>
      <c r="X53" s="1"/>
      <c r="Y53">
        <f>+'5% CO Elab'!AA53</f>
        <v>2.8417610226637454E-3</v>
      </c>
      <c r="Z53" s="20">
        <f t="shared" si="24"/>
        <v>13</v>
      </c>
      <c r="AA53" s="20" t="s">
        <v>29</v>
      </c>
      <c r="AB53" s="20" t="str">
        <f t="shared" si="25"/>
        <v>+</v>
      </c>
      <c r="AC53" s="20">
        <f t="shared" si="26"/>
        <v>27</v>
      </c>
      <c r="AD53" s="20" t="str">
        <f t="shared" si="27"/>
        <v>H2</v>
      </c>
      <c r="AE53" s="20" t="str">
        <f t="shared" si="28"/>
        <v>=</v>
      </c>
      <c r="AF53" s="20">
        <f t="shared" si="29"/>
        <v>1</v>
      </c>
      <c r="AG53" s="20" t="str">
        <f t="shared" si="30"/>
        <v>C13H28</v>
      </c>
      <c r="AH53" s="20" t="str">
        <f t="shared" si="31"/>
        <v>+</v>
      </c>
      <c r="AI53" s="20">
        <f t="shared" si="46"/>
        <v>13</v>
      </c>
      <c r="AJ53" s="20" t="str">
        <f t="shared" si="32"/>
        <v>H2O</v>
      </c>
      <c r="AL53">
        <f t="shared" si="33"/>
        <v>2.2937090349587876E-2</v>
      </c>
      <c r="AM53">
        <f t="shared" si="34"/>
        <v>3.6942893294628687E-2</v>
      </c>
      <c r="AP53">
        <f>+'10% CO Elab'!S53</f>
        <v>13</v>
      </c>
      <c r="AQ53" t="str">
        <f>+'10% CO Elab'!T53</f>
        <v>2-METHYLDODECANE</v>
      </c>
      <c r="AR53" t="str">
        <f>+'10% CO Elab'!U53</f>
        <v>C13H28-N1</v>
      </c>
      <c r="AS53" t="str">
        <f>+'10% CO Elab'!V53</f>
        <v>C13-IP</v>
      </c>
      <c r="AT53">
        <f>+'10% CO Elab'!W53</f>
        <v>2.5062835735042286E-2</v>
      </c>
      <c r="AU53">
        <f>+'10% CO Elab'!X53</f>
        <v>0.3258168645555497</v>
      </c>
      <c r="AW53">
        <f>+'10% CO Elab'!AB53</f>
        <v>4.831980730761074E-4</v>
      </c>
      <c r="AX53" s="20">
        <v>13</v>
      </c>
      <c r="AY53" s="20" t="s">
        <v>354</v>
      </c>
      <c r="AZ53" s="20" t="s">
        <v>355</v>
      </c>
      <c r="BA53" s="20">
        <v>40</v>
      </c>
      <c r="BB53" s="20" t="s">
        <v>356</v>
      </c>
      <c r="BC53" s="20" t="s">
        <v>357</v>
      </c>
      <c r="BD53" s="20">
        <v>1</v>
      </c>
      <c r="BE53" s="20" t="s">
        <v>274</v>
      </c>
      <c r="BF53" s="20" t="s">
        <v>355</v>
      </c>
      <c r="BG53" s="20">
        <v>26</v>
      </c>
      <c r="BH53" s="20" t="s">
        <v>358</v>
      </c>
      <c r="BI53" s="1"/>
      <c r="BJ53">
        <f>+'10% CO Elab'!AA53</f>
        <v>3.1451136848690449E-3</v>
      </c>
      <c r="BK53" s="20">
        <f t="shared" si="35"/>
        <v>13</v>
      </c>
      <c r="BL53" s="20" t="s">
        <v>29</v>
      </c>
      <c r="BM53" s="20" t="str">
        <f t="shared" si="36"/>
        <v>+</v>
      </c>
      <c r="BN53" s="20">
        <f t="shared" si="37"/>
        <v>27</v>
      </c>
      <c r="BO53" s="20" t="str">
        <f t="shared" si="38"/>
        <v>H2</v>
      </c>
      <c r="BP53" s="20" t="str">
        <f t="shared" si="39"/>
        <v>=</v>
      </c>
      <c r="BQ53" s="20">
        <f t="shared" si="40"/>
        <v>1</v>
      </c>
      <c r="BR53" s="20" t="str">
        <f t="shared" si="41"/>
        <v>C13H28</v>
      </c>
      <c r="BS53" s="20" t="str">
        <f t="shared" si="42"/>
        <v>+</v>
      </c>
      <c r="BT53" s="20">
        <f t="shared" si="47"/>
        <v>13</v>
      </c>
      <c r="BU53" s="20" t="str">
        <f t="shared" si="43"/>
        <v>H2O</v>
      </c>
      <c r="BW53">
        <f t="shared" si="44"/>
        <v>1.2563149899978792E-2</v>
      </c>
      <c r="BX53">
        <f t="shared" si="45"/>
        <v>4.088647790329758E-2</v>
      </c>
    </row>
    <row r="54" spans="5:76" x14ac:dyDescent="0.25">
      <c r="E54">
        <f>+'5% CO Elab'!R54</f>
        <v>49</v>
      </c>
      <c r="F54">
        <f>+'5% CO Elab'!S54</f>
        <v>13</v>
      </c>
      <c r="G54" t="str">
        <f>+'5% CO Elab'!T54</f>
        <v>1-TRIDECENE</v>
      </c>
      <c r="H54" t="str">
        <f>+'5% CO Elab'!U54</f>
        <v>C13H26-2</v>
      </c>
      <c r="I54" t="str">
        <f>+'5% CO Elab'!V54</f>
        <v>C13-O</v>
      </c>
      <c r="J54">
        <f>+'5% CO Elab'!W54</f>
        <v>1.9624281496545765E-3</v>
      </c>
      <c r="L54">
        <f>+'5% CO Elab'!AB54</f>
        <v>7.6236437142142248E-5</v>
      </c>
      <c r="M54" s="20">
        <v>13</v>
      </c>
      <c r="N54" s="20" t="s">
        <v>354</v>
      </c>
      <c r="O54" s="20" t="s">
        <v>355</v>
      </c>
      <c r="P54" s="20">
        <v>39</v>
      </c>
      <c r="Q54" s="20" t="s">
        <v>356</v>
      </c>
      <c r="R54" s="20" t="s">
        <v>357</v>
      </c>
      <c r="S54" s="20">
        <v>1</v>
      </c>
      <c r="T54" s="20" t="s">
        <v>382</v>
      </c>
      <c r="U54" s="20" t="s">
        <v>355</v>
      </c>
      <c r="V54" s="20">
        <v>26</v>
      </c>
      <c r="W54" s="20" t="s">
        <v>358</v>
      </c>
      <c r="X54" s="1"/>
      <c r="Y54">
        <f>+'5% CO Elab'!AA54</f>
        <v>2.4557557384826995E-4</v>
      </c>
      <c r="Z54" s="20">
        <f t="shared" si="24"/>
        <v>13</v>
      </c>
      <c r="AA54" s="20" t="s">
        <v>29</v>
      </c>
      <c r="AB54" s="20" t="str">
        <f t="shared" si="25"/>
        <v>+</v>
      </c>
      <c r="AC54" s="20">
        <f t="shared" si="26"/>
        <v>26</v>
      </c>
      <c r="AD54" s="20" t="str">
        <f t="shared" si="27"/>
        <v>H2</v>
      </c>
      <c r="AE54" s="20" t="str">
        <f t="shared" si="28"/>
        <v>=</v>
      </c>
      <c r="AF54" s="20">
        <f t="shared" si="29"/>
        <v>1</v>
      </c>
      <c r="AG54" s="20" t="str">
        <f t="shared" si="30"/>
        <v>C13H26</v>
      </c>
      <c r="AH54" s="20" t="str">
        <f t="shared" si="31"/>
        <v>+</v>
      </c>
      <c r="AI54" s="20">
        <f t="shared" si="46"/>
        <v>13</v>
      </c>
      <c r="AJ54" s="20" t="str">
        <f t="shared" si="32"/>
        <v>H2O</v>
      </c>
      <c r="AL54">
        <f t="shared" si="33"/>
        <v>1.9821473656956986E-3</v>
      </c>
      <c r="AM54">
        <f t="shared" si="34"/>
        <v>3.1924824600275091E-3</v>
      </c>
      <c r="AP54">
        <f>+'10% CO Elab'!S54</f>
        <v>13</v>
      </c>
      <c r="AQ54" t="str">
        <f>+'10% CO Elab'!T54</f>
        <v>1-TRIDECENE</v>
      </c>
      <c r="AR54" t="str">
        <f>+'10% CO Elab'!U54</f>
        <v>C13H26-2</v>
      </c>
      <c r="AS54" t="str">
        <f>+'10% CO Elab'!V54</f>
        <v>C13-O</v>
      </c>
      <c r="AT54">
        <f>+'10% CO Elab'!W54</f>
        <v>2.1658472400781508E-3</v>
      </c>
      <c r="AU54">
        <f>+'10% CO Elab'!X54</f>
        <v>2.8156014121015961E-2</v>
      </c>
      <c r="AW54">
        <f>+'10% CO Elab'!AB54</f>
        <v>4.1756376814125988E-5</v>
      </c>
      <c r="AX54" s="20">
        <v>13</v>
      </c>
      <c r="AY54" s="20" t="s">
        <v>354</v>
      </c>
      <c r="AZ54" s="20" t="s">
        <v>355</v>
      </c>
      <c r="BA54" s="20">
        <v>39</v>
      </c>
      <c r="BB54" s="20" t="s">
        <v>356</v>
      </c>
      <c r="BC54" s="20" t="s">
        <v>357</v>
      </c>
      <c r="BD54" s="20">
        <v>1</v>
      </c>
      <c r="BE54" s="20" t="s">
        <v>382</v>
      </c>
      <c r="BF54" s="20" t="s">
        <v>355</v>
      </c>
      <c r="BG54" s="20">
        <v>26</v>
      </c>
      <c r="BH54" s="20" t="s">
        <v>358</v>
      </c>
      <c r="BI54" s="1"/>
      <c r="BJ54">
        <f>+'10% CO Elab'!AA54</f>
        <v>2.7179030601798542E-4</v>
      </c>
      <c r="BK54" s="20">
        <f t="shared" si="35"/>
        <v>13</v>
      </c>
      <c r="BL54" s="20" t="s">
        <v>29</v>
      </c>
      <c r="BM54" s="20" t="str">
        <f t="shared" si="36"/>
        <v>+</v>
      </c>
      <c r="BN54" s="20">
        <f t="shared" si="37"/>
        <v>26</v>
      </c>
      <c r="BO54" s="20" t="str">
        <f t="shared" si="38"/>
        <v>H2</v>
      </c>
      <c r="BP54" s="20" t="str">
        <f t="shared" si="39"/>
        <v>=</v>
      </c>
      <c r="BQ54" s="20">
        <f t="shared" si="40"/>
        <v>1</v>
      </c>
      <c r="BR54" s="20" t="str">
        <f t="shared" si="41"/>
        <v>C13H26</v>
      </c>
      <c r="BS54" s="20" t="str">
        <f t="shared" si="42"/>
        <v>+</v>
      </c>
      <c r="BT54" s="20">
        <f t="shared" si="47"/>
        <v>13</v>
      </c>
      <c r="BU54" s="20" t="str">
        <f t="shared" si="43"/>
        <v>H2O</v>
      </c>
      <c r="BW54">
        <f t="shared" si="44"/>
        <v>1.0856657971672757E-3</v>
      </c>
      <c r="BX54">
        <f t="shared" si="45"/>
        <v>3.5332739782338103E-3</v>
      </c>
    </row>
    <row r="55" spans="5:76" x14ac:dyDescent="0.25">
      <c r="E55">
        <f>+'5% CO Elab'!R55</f>
        <v>50</v>
      </c>
      <c r="F55">
        <f>+'5% CO Elab'!S55</f>
        <v>13</v>
      </c>
      <c r="G55" t="str">
        <f>+'5% CO Elab'!T55</f>
        <v>N-TRIDECANE</v>
      </c>
      <c r="H55" t="str">
        <f>+'5% CO Elab'!U55</f>
        <v>C13H28</v>
      </c>
      <c r="I55" t="str">
        <f>+'5% CO Elab'!V55</f>
        <v>C13</v>
      </c>
      <c r="J55">
        <f>+'5% CO Elab'!W55</f>
        <v>6.8649625315687066E-2</v>
      </c>
      <c r="L55">
        <f>+'5% CO Elab'!AB55</f>
        <v>2.6669016372050129E-3</v>
      </c>
      <c r="M55" s="20">
        <v>13</v>
      </c>
      <c r="N55" s="20" t="s">
        <v>354</v>
      </c>
      <c r="O55" s="20" t="s">
        <v>355</v>
      </c>
      <c r="P55" s="20">
        <v>40</v>
      </c>
      <c r="Q55" s="20" t="s">
        <v>356</v>
      </c>
      <c r="R55" s="20" t="s">
        <v>357</v>
      </c>
      <c r="S55" s="20">
        <v>1</v>
      </c>
      <c r="T55" s="20" t="s">
        <v>274</v>
      </c>
      <c r="U55" s="20" t="s">
        <v>355</v>
      </c>
      <c r="V55" s="20">
        <v>26</v>
      </c>
      <c r="W55" s="20" t="s">
        <v>358</v>
      </c>
      <c r="X55" s="1"/>
      <c r="Y55">
        <f>+'5% CO Elab'!AA55</f>
        <v>8.590720192398385E-3</v>
      </c>
      <c r="Z55" s="20">
        <f t="shared" si="24"/>
        <v>13</v>
      </c>
      <c r="AA55" s="20" t="s">
        <v>29</v>
      </c>
      <c r="AB55" s="20" t="str">
        <f t="shared" si="25"/>
        <v>+</v>
      </c>
      <c r="AC55" s="20">
        <f t="shared" si="26"/>
        <v>27</v>
      </c>
      <c r="AD55" s="20" t="str">
        <f t="shared" si="27"/>
        <v>H2</v>
      </c>
      <c r="AE55" s="20" t="str">
        <f t="shared" si="28"/>
        <v>=</v>
      </c>
      <c r="AF55" s="20">
        <f t="shared" si="29"/>
        <v>1</v>
      </c>
      <c r="AG55" s="20" t="str">
        <f t="shared" si="30"/>
        <v>C13H28</v>
      </c>
      <c r="AH55" s="20" t="str">
        <f t="shared" si="31"/>
        <v>+</v>
      </c>
      <c r="AI55" s="20">
        <f t="shared" si="46"/>
        <v>13</v>
      </c>
      <c r="AJ55" s="20" t="str">
        <f t="shared" si="32"/>
        <v>H2O</v>
      </c>
      <c r="AL55">
        <f t="shared" si="33"/>
        <v>6.9339442567330337E-2</v>
      </c>
      <c r="AM55">
        <f t="shared" si="34"/>
        <v>0.11167936250117901</v>
      </c>
      <c r="AP55">
        <f>+'10% CO Elab'!S55</f>
        <v>13</v>
      </c>
      <c r="AQ55" t="str">
        <f>+'10% CO Elab'!T55</f>
        <v>N-TRIDECANE</v>
      </c>
      <c r="AR55" t="str">
        <f>+'10% CO Elab'!U55</f>
        <v>C13H28</v>
      </c>
      <c r="AS55" t="str">
        <f>+'10% CO Elab'!V55</f>
        <v>C13</v>
      </c>
      <c r="AT55">
        <f>+'10% CO Elab'!W55</f>
        <v>0.10471940296983252</v>
      </c>
      <c r="AU55">
        <f>+'10% CO Elab'!X55</f>
        <v>1.3613522386078227</v>
      </c>
      <c r="AW55">
        <f>+'10% CO Elab'!AB55</f>
        <v>2.0189341008190632E-3</v>
      </c>
      <c r="AX55" s="20">
        <v>13</v>
      </c>
      <c r="AY55" s="20" t="s">
        <v>354</v>
      </c>
      <c r="AZ55" s="20" t="s">
        <v>355</v>
      </c>
      <c r="BA55" s="20">
        <v>40</v>
      </c>
      <c r="BB55" s="20" t="s">
        <v>356</v>
      </c>
      <c r="BC55" s="20" t="s">
        <v>357</v>
      </c>
      <c r="BD55" s="20">
        <v>1</v>
      </c>
      <c r="BE55" s="20" t="s">
        <v>274</v>
      </c>
      <c r="BF55" s="20" t="s">
        <v>355</v>
      </c>
      <c r="BG55" s="20">
        <v>26</v>
      </c>
      <c r="BH55" s="20" t="s">
        <v>358</v>
      </c>
      <c r="BI55" s="1"/>
      <c r="BJ55">
        <f>+'10% CO Elab'!AA55</f>
        <v>1.3141147746950297E-2</v>
      </c>
      <c r="BK55" s="20">
        <f t="shared" si="35"/>
        <v>13</v>
      </c>
      <c r="BL55" s="20" t="s">
        <v>29</v>
      </c>
      <c r="BM55" s="20" t="str">
        <f t="shared" si="36"/>
        <v>+</v>
      </c>
      <c r="BN55" s="20">
        <f t="shared" si="37"/>
        <v>27</v>
      </c>
      <c r="BO55" s="20" t="str">
        <f t="shared" si="38"/>
        <v>H2</v>
      </c>
      <c r="BP55" s="20" t="str">
        <f t="shared" si="39"/>
        <v>=</v>
      </c>
      <c r="BQ55" s="20">
        <f t="shared" si="40"/>
        <v>1</v>
      </c>
      <c r="BR55" s="20" t="str">
        <f t="shared" si="41"/>
        <v>C13H28</v>
      </c>
      <c r="BS55" s="20" t="str">
        <f t="shared" si="42"/>
        <v>+</v>
      </c>
      <c r="BT55" s="20">
        <f t="shared" si="47"/>
        <v>13</v>
      </c>
      <c r="BU55" s="20" t="str">
        <f t="shared" si="43"/>
        <v>H2O</v>
      </c>
      <c r="BW55">
        <f t="shared" si="44"/>
        <v>5.2492286621295639E-2</v>
      </c>
      <c r="BX55">
        <f t="shared" si="45"/>
        <v>0.17083492071035386</v>
      </c>
    </row>
    <row r="56" spans="5:76" x14ac:dyDescent="0.25">
      <c r="E56">
        <f>+'5% CO Elab'!R56</f>
        <v>51</v>
      </c>
      <c r="F56">
        <f>+'5% CO Elab'!S56</f>
        <v>14</v>
      </c>
      <c r="G56" t="str">
        <f>+'5% CO Elab'!T56</f>
        <v>2-METHYLTRIDECANE</v>
      </c>
      <c r="H56" t="str">
        <f>+'5% CO Elab'!U56</f>
        <v>C14H30-N1</v>
      </c>
      <c r="I56" t="str">
        <f>+'5% CO Elab'!V56</f>
        <v>C14-IP</v>
      </c>
      <c r="J56">
        <f>+'5% CO Elab'!W56</f>
        <v>5.1654717962172168E-3</v>
      </c>
      <c r="L56">
        <f>+'5% CO Elab'!AB56</f>
        <v>2.1610434790248276E-4</v>
      </c>
      <c r="M56" s="20">
        <v>14</v>
      </c>
      <c r="N56" s="20" t="s">
        <v>354</v>
      </c>
      <c r="O56" s="20" t="s">
        <v>355</v>
      </c>
      <c r="P56" s="20">
        <v>43</v>
      </c>
      <c r="Q56" s="20" t="s">
        <v>356</v>
      </c>
      <c r="R56" s="20" t="s">
        <v>357</v>
      </c>
      <c r="S56" s="20">
        <v>1</v>
      </c>
      <c r="T56" s="20" t="s">
        <v>280</v>
      </c>
      <c r="U56" s="20" t="s">
        <v>355</v>
      </c>
      <c r="V56" s="20">
        <v>28</v>
      </c>
      <c r="W56" s="20" t="s">
        <v>358</v>
      </c>
      <c r="X56" s="1"/>
      <c r="Y56">
        <f>+'5% CO Elab'!AA56</f>
        <v>6.9612315628430873E-4</v>
      </c>
      <c r="Z56" s="20">
        <f t="shared" si="24"/>
        <v>14</v>
      </c>
      <c r="AA56" s="20" t="s">
        <v>29</v>
      </c>
      <c r="AB56" s="20" t="str">
        <f t="shared" si="25"/>
        <v>+</v>
      </c>
      <c r="AC56" s="20">
        <f t="shared" si="26"/>
        <v>29</v>
      </c>
      <c r="AD56" s="20" t="str">
        <f t="shared" si="27"/>
        <v>H2</v>
      </c>
      <c r="AE56" s="20" t="str">
        <f t="shared" si="28"/>
        <v>=</v>
      </c>
      <c r="AF56" s="20">
        <f t="shared" si="29"/>
        <v>1</v>
      </c>
      <c r="AG56" s="20" t="str">
        <f t="shared" si="30"/>
        <v>C14H30</v>
      </c>
      <c r="AH56" s="20" t="str">
        <f t="shared" si="31"/>
        <v>+</v>
      </c>
      <c r="AI56" s="20">
        <f t="shared" si="46"/>
        <v>14</v>
      </c>
      <c r="AJ56" s="20" t="str">
        <f t="shared" si="32"/>
        <v>H2O</v>
      </c>
      <c r="AL56">
        <f t="shared" si="33"/>
        <v>6.050921741269517E-3</v>
      </c>
      <c r="AM56">
        <f t="shared" si="34"/>
        <v>9.745724187980323E-3</v>
      </c>
      <c r="AP56">
        <f>+'10% CO Elab'!S56</f>
        <v>14</v>
      </c>
      <c r="AQ56" t="str">
        <f>+'10% CO Elab'!T56</f>
        <v>2-METHYLTRIDECANE</v>
      </c>
      <c r="AR56" t="str">
        <f>+'10% CO Elab'!U56</f>
        <v>C14H30-N1</v>
      </c>
      <c r="AS56" t="str">
        <f>+'10% CO Elab'!V56</f>
        <v>C14-IP</v>
      </c>
      <c r="AT56">
        <f>+'10% CO Elab'!W56</f>
        <v>5.7009082526194976E-3</v>
      </c>
      <c r="AU56">
        <f>+'10% CO Elab'!X56</f>
        <v>7.9812715536672962E-2</v>
      </c>
      <c r="AW56">
        <f>+'10% CO Elab'!AB56</f>
        <v>1.1836511411678854E-4</v>
      </c>
      <c r="AX56" s="20">
        <v>14</v>
      </c>
      <c r="AY56" s="20" t="s">
        <v>354</v>
      </c>
      <c r="AZ56" s="20" t="s">
        <v>355</v>
      </c>
      <c r="BA56" s="20">
        <v>43</v>
      </c>
      <c r="BB56" s="20" t="s">
        <v>356</v>
      </c>
      <c r="BC56" s="20" t="s">
        <v>357</v>
      </c>
      <c r="BD56" s="20">
        <v>1</v>
      </c>
      <c r="BE56" s="20" t="s">
        <v>280</v>
      </c>
      <c r="BF56" s="20" t="s">
        <v>355</v>
      </c>
      <c r="BG56" s="20">
        <v>28</v>
      </c>
      <c r="BH56" s="20" t="s">
        <v>358</v>
      </c>
      <c r="BI56" s="1"/>
      <c r="BJ56">
        <f>+'10% CO Elab'!AA56</f>
        <v>7.7043299831446575E-4</v>
      </c>
      <c r="BK56" s="20">
        <f t="shared" si="35"/>
        <v>14</v>
      </c>
      <c r="BL56" s="20" t="s">
        <v>29</v>
      </c>
      <c r="BM56" s="20" t="str">
        <f t="shared" si="36"/>
        <v>+</v>
      </c>
      <c r="BN56" s="20">
        <f t="shared" si="37"/>
        <v>29</v>
      </c>
      <c r="BO56" s="20" t="str">
        <f t="shared" si="38"/>
        <v>H2</v>
      </c>
      <c r="BP56" s="20" t="str">
        <f t="shared" si="39"/>
        <v>=</v>
      </c>
      <c r="BQ56" s="20">
        <f t="shared" si="40"/>
        <v>1</v>
      </c>
      <c r="BR56" s="20" t="str">
        <f t="shared" si="41"/>
        <v>C14H30</v>
      </c>
      <c r="BS56" s="20" t="str">
        <f t="shared" si="42"/>
        <v>+</v>
      </c>
      <c r="BT56" s="20">
        <f t="shared" si="47"/>
        <v>14</v>
      </c>
      <c r="BU56" s="20" t="str">
        <f t="shared" si="43"/>
        <v>H2O</v>
      </c>
      <c r="BW56">
        <f t="shared" si="44"/>
        <v>3.314223195270079E-3</v>
      </c>
      <c r="BX56">
        <f t="shared" si="45"/>
        <v>1.0786061976402521E-2</v>
      </c>
    </row>
    <row r="57" spans="5:76" x14ac:dyDescent="0.25">
      <c r="E57">
        <f>+'5% CO Elab'!R57</f>
        <v>52</v>
      </c>
      <c r="F57">
        <f>+'5% CO Elab'!S57</f>
        <v>14</v>
      </c>
      <c r="G57" t="str">
        <f>+'5% CO Elab'!T57</f>
        <v>N-TETRADECANE</v>
      </c>
      <c r="H57" t="str">
        <f>+'5% CO Elab'!U57</f>
        <v>C14H30</v>
      </c>
      <c r="I57" t="str">
        <f>+'5% CO Elab'!V57</f>
        <v xml:space="preserve"> C14 </v>
      </c>
      <c r="J57">
        <f>+'5% CO Elab'!W57</f>
        <v>6.7389999163105632E-2</v>
      </c>
      <c r="L57">
        <f>+'5% CO Elab'!AB57</f>
        <v>2.8193497900727655E-3</v>
      </c>
      <c r="M57" s="20">
        <v>14</v>
      </c>
      <c r="N57" s="20" t="s">
        <v>354</v>
      </c>
      <c r="O57" s="20" t="s">
        <v>355</v>
      </c>
      <c r="P57" s="20">
        <v>43</v>
      </c>
      <c r="Q57" s="20" t="s">
        <v>356</v>
      </c>
      <c r="R57" s="20" t="s">
        <v>357</v>
      </c>
      <c r="S57" s="20">
        <v>1</v>
      </c>
      <c r="T57" s="20" t="s">
        <v>280</v>
      </c>
      <c r="U57" s="20" t="s">
        <v>355</v>
      </c>
      <c r="V57" s="20">
        <v>28</v>
      </c>
      <c r="W57" s="20" t="s">
        <v>358</v>
      </c>
      <c r="X57" s="1"/>
      <c r="Y57">
        <f>+'5% CO Elab'!AA57</f>
        <v>9.081791706572178E-3</v>
      </c>
      <c r="Z57" s="20">
        <f t="shared" si="24"/>
        <v>14</v>
      </c>
      <c r="AA57" s="20" t="s">
        <v>29</v>
      </c>
      <c r="AB57" s="20" t="str">
        <f t="shared" si="25"/>
        <v>+</v>
      </c>
      <c r="AC57" s="20">
        <f t="shared" si="26"/>
        <v>29</v>
      </c>
      <c r="AD57" s="20" t="str">
        <f t="shared" si="27"/>
        <v>H2</v>
      </c>
      <c r="AE57" s="20" t="str">
        <f t="shared" si="28"/>
        <v>=</v>
      </c>
      <c r="AF57" s="20">
        <f t="shared" si="29"/>
        <v>1</v>
      </c>
      <c r="AG57" s="20" t="str">
        <f t="shared" si="30"/>
        <v>C14H30</v>
      </c>
      <c r="AH57" s="20" t="str">
        <f t="shared" si="31"/>
        <v>+</v>
      </c>
      <c r="AI57" s="20">
        <f t="shared" si="46"/>
        <v>14</v>
      </c>
      <c r="AJ57" s="20" t="str">
        <f t="shared" si="32"/>
        <v>H2O</v>
      </c>
      <c r="AL57">
        <f t="shared" si="33"/>
        <v>7.8941794122037431E-2</v>
      </c>
      <c r="AM57">
        <f t="shared" si="34"/>
        <v>0.12714508389201049</v>
      </c>
      <c r="AP57">
        <f>+'10% CO Elab'!S57</f>
        <v>14</v>
      </c>
      <c r="AQ57" t="str">
        <f>+'10% CO Elab'!T57</f>
        <v>N-TETRADECANE</v>
      </c>
      <c r="AR57" t="str">
        <f>+'10% CO Elab'!U57</f>
        <v>C14H30</v>
      </c>
      <c r="AS57" t="str">
        <f>+'10% CO Elab'!V57</f>
        <v xml:space="preserve"> C14 </v>
      </c>
      <c r="AT57">
        <f>+'10% CO Elab'!W57</f>
        <v>0.10279794603460621</v>
      </c>
      <c r="AU57">
        <f>+'10% CO Elab'!X57</f>
        <v>1.4391712444844869</v>
      </c>
      <c r="AW57">
        <f>+'10% CO Elab'!AB57</f>
        <v>2.134342472143229E-3</v>
      </c>
      <c r="AX57" s="20">
        <v>14</v>
      </c>
      <c r="AY57" s="20" t="s">
        <v>354</v>
      </c>
      <c r="AZ57" s="20" t="s">
        <v>355</v>
      </c>
      <c r="BA57" s="20">
        <v>43</v>
      </c>
      <c r="BB57" s="20" t="s">
        <v>356</v>
      </c>
      <c r="BC57" s="20" t="s">
        <v>357</v>
      </c>
      <c r="BD57" s="20">
        <v>1</v>
      </c>
      <c r="BE57" s="20" t="s">
        <v>280</v>
      </c>
      <c r="BF57" s="20" t="s">
        <v>355</v>
      </c>
      <c r="BG57" s="20">
        <v>28</v>
      </c>
      <c r="BH57" s="20" t="s">
        <v>358</v>
      </c>
      <c r="BI57" s="1"/>
      <c r="BJ57">
        <f>+'10% CO Elab'!AA57</f>
        <v>1.3892335444552957E-2</v>
      </c>
      <c r="BK57" s="20">
        <f t="shared" si="35"/>
        <v>14</v>
      </c>
      <c r="BL57" s="20" t="s">
        <v>29</v>
      </c>
      <c r="BM57" s="20" t="str">
        <f t="shared" si="36"/>
        <v>+</v>
      </c>
      <c r="BN57" s="20">
        <f t="shared" si="37"/>
        <v>29</v>
      </c>
      <c r="BO57" s="20" t="str">
        <f t="shared" si="38"/>
        <v>H2</v>
      </c>
      <c r="BP57" s="20" t="str">
        <f t="shared" si="39"/>
        <v>=</v>
      </c>
      <c r="BQ57" s="20">
        <f t="shared" si="40"/>
        <v>1</v>
      </c>
      <c r="BR57" s="20" t="str">
        <f t="shared" si="41"/>
        <v>C14H30</v>
      </c>
      <c r="BS57" s="20" t="str">
        <f t="shared" si="42"/>
        <v>+</v>
      </c>
      <c r="BT57" s="20">
        <f t="shared" si="47"/>
        <v>14</v>
      </c>
      <c r="BU57" s="20" t="str">
        <f t="shared" si="43"/>
        <v>H2O</v>
      </c>
      <c r="BW57">
        <f t="shared" si="44"/>
        <v>5.9761589220010417E-2</v>
      </c>
      <c r="BX57">
        <f t="shared" si="45"/>
        <v>0.19449269622374141</v>
      </c>
    </row>
    <row r="58" spans="5:76" x14ac:dyDescent="0.25">
      <c r="E58">
        <f>+'5% CO Elab'!R58</f>
        <v>53</v>
      </c>
      <c r="F58">
        <f>+'5% CO Elab'!S58</f>
        <v>15</v>
      </c>
      <c r="G58" t="str">
        <f>+'5% CO Elab'!T58</f>
        <v>2-METHYLTETRADECANE</v>
      </c>
      <c r="H58" t="str">
        <f>+'5% CO Elab'!U58</f>
        <v>C15H32-N1</v>
      </c>
      <c r="I58" t="str">
        <f>+'5% CO Elab'!V58</f>
        <v xml:space="preserve">C15-IP </v>
      </c>
      <c r="J58">
        <f>+'5% CO Elab'!W58</f>
        <v>4.0742940750730806E-3</v>
      </c>
      <c r="L58">
        <f>+'5% CO Elab'!AB58</f>
        <v>1.8262873287532426E-4</v>
      </c>
      <c r="M58" s="20">
        <v>15</v>
      </c>
      <c r="N58" s="20" t="s">
        <v>354</v>
      </c>
      <c r="O58" s="20" t="s">
        <v>355</v>
      </c>
      <c r="P58" s="20">
        <v>46</v>
      </c>
      <c r="Q58" s="20" t="s">
        <v>356</v>
      </c>
      <c r="R58" s="20" t="s">
        <v>357</v>
      </c>
      <c r="S58" s="20">
        <v>1</v>
      </c>
      <c r="T58" s="20" t="s">
        <v>286</v>
      </c>
      <c r="U58" s="20" t="s">
        <v>355</v>
      </c>
      <c r="V58" s="20">
        <v>30</v>
      </c>
      <c r="W58" s="20" t="s">
        <v>358</v>
      </c>
      <c r="X58" s="1"/>
      <c r="Y58">
        <f>+'5% CO Elab'!AA58</f>
        <v>5.8829029212657531E-4</v>
      </c>
      <c r="Z58" s="20">
        <f t="shared" si="24"/>
        <v>15</v>
      </c>
      <c r="AA58" s="20" t="s">
        <v>29</v>
      </c>
      <c r="AB58" s="20" t="str">
        <f t="shared" si="25"/>
        <v>+</v>
      </c>
      <c r="AC58" s="20">
        <f t="shared" si="26"/>
        <v>31</v>
      </c>
      <c r="AD58" s="20" t="str">
        <f t="shared" si="27"/>
        <v>H2</v>
      </c>
      <c r="AE58" s="20" t="str">
        <f t="shared" si="28"/>
        <v>=</v>
      </c>
      <c r="AF58" s="20">
        <f t="shared" si="29"/>
        <v>1</v>
      </c>
      <c r="AG58" s="20" t="str">
        <f t="shared" si="30"/>
        <v>C15H32</v>
      </c>
      <c r="AH58" s="20" t="str">
        <f t="shared" si="31"/>
        <v>+</v>
      </c>
      <c r="AI58" s="20">
        <f t="shared" si="46"/>
        <v>15</v>
      </c>
      <c r="AJ58" s="20" t="str">
        <f t="shared" si="32"/>
        <v>H2O</v>
      </c>
      <c r="AL58">
        <f t="shared" si="33"/>
        <v>5.4788619862597273E-3</v>
      </c>
      <c r="AM58">
        <f t="shared" si="34"/>
        <v>8.8243543818986303E-3</v>
      </c>
      <c r="AP58">
        <f>+'10% CO Elab'!S58</f>
        <v>15</v>
      </c>
      <c r="AQ58" t="str">
        <f>+'10% CO Elab'!T58</f>
        <v>2-METHYLTETRADECANE</v>
      </c>
      <c r="AR58" t="str">
        <f>+'10% CO Elab'!U58</f>
        <v>C15H32-N1</v>
      </c>
      <c r="AS58" t="str">
        <f>+'10% CO Elab'!V58</f>
        <v xml:space="preserve">C15-IP </v>
      </c>
      <c r="AT58">
        <f>+'10% CO Elab'!W58</f>
        <v>4.4966225027484596E-3</v>
      </c>
      <c r="AU58">
        <f>+'10% CO Elab'!X58</f>
        <v>6.7449337541226895E-2</v>
      </c>
      <c r="AW58">
        <f>+'10% CO Elab'!AB58</f>
        <v>1.0002978199007302E-4</v>
      </c>
      <c r="AX58" s="20">
        <v>15</v>
      </c>
      <c r="AY58" s="20" t="s">
        <v>354</v>
      </c>
      <c r="AZ58" s="20" t="s">
        <v>355</v>
      </c>
      <c r="BA58" s="20">
        <v>46</v>
      </c>
      <c r="BB58" s="20" t="s">
        <v>356</v>
      </c>
      <c r="BC58" s="20" t="s">
        <v>357</v>
      </c>
      <c r="BD58" s="20">
        <v>1</v>
      </c>
      <c r="BE58" s="20" t="s">
        <v>286</v>
      </c>
      <c r="BF58" s="20" t="s">
        <v>355</v>
      </c>
      <c r="BG58" s="20">
        <v>30</v>
      </c>
      <c r="BH58" s="20" t="s">
        <v>358</v>
      </c>
      <c r="BI58" s="1"/>
      <c r="BJ58">
        <f>+'10% CO Elab'!AA58</f>
        <v>6.5108917804374824E-4</v>
      </c>
      <c r="BK58" s="20">
        <f t="shared" si="35"/>
        <v>15</v>
      </c>
      <c r="BL58" s="20" t="s">
        <v>29</v>
      </c>
      <c r="BM58" s="20" t="str">
        <f t="shared" si="36"/>
        <v>+</v>
      </c>
      <c r="BN58" s="20">
        <f t="shared" si="37"/>
        <v>31</v>
      </c>
      <c r="BO58" s="20" t="str">
        <f t="shared" si="38"/>
        <v>H2</v>
      </c>
      <c r="BP58" s="20" t="str">
        <f t="shared" si="39"/>
        <v>=</v>
      </c>
      <c r="BQ58" s="20">
        <f t="shared" si="40"/>
        <v>1</v>
      </c>
      <c r="BR58" s="20" t="str">
        <f t="shared" si="41"/>
        <v>C15H32</v>
      </c>
      <c r="BS58" s="20" t="str">
        <f t="shared" si="42"/>
        <v>+</v>
      </c>
      <c r="BT58" s="20">
        <f t="shared" si="47"/>
        <v>15</v>
      </c>
      <c r="BU58" s="20" t="str">
        <f t="shared" si="43"/>
        <v>H2O</v>
      </c>
      <c r="BW58">
        <f t="shared" si="44"/>
        <v>3.0008934597021905E-3</v>
      </c>
      <c r="BX58">
        <f t="shared" si="45"/>
        <v>9.7663376706562232E-3</v>
      </c>
    </row>
    <row r="59" spans="5:76" x14ac:dyDescent="0.25">
      <c r="E59">
        <f>+'5% CO Elab'!R59</f>
        <v>54</v>
      </c>
      <c r="F59">
        <f>+'5% CO Elab'!S59</f>
        <v>15</v>
      </c>
      <c r="G59" t="str">
        <f>+'5% CO Elab'!T59</f>
        <v>N-PENTADECANE</v>
      </c>
      <c r="H59" t="str">
        <f>+'5% CO Elab'!U59</f>
        <v>C15H32</v>
      </c>
      <c r="I59" t="str">
        <f>+'5% CO Elab'!V59</f>
        <v>C15</v>
      </c>
      <c r="J59">
        <f>+'5% CO Elab'!W59</f>
        <v>5.9832242247617157E-2</v>
      </c>
      <c r="L59">
        <f>+'5% CO Elab'!AB59</f>
        <v>2.6819582448956549E-3</v>
      </c>
      <c r="M59" s="20">
        <v>15</v>
      </c>
      <c r="N59" s="20" t="s">
        <v>354</v>
      </c>
      <c r="O59" s="20" t="s">
        <v>355</v>
      </c>
      <c r="P59" s="20">
        <v>46</v>
      </c>
      <c r="Q59" s="20" t="s">
        <v>356</v>
      </c>
      <c r="R59" s="20" t="s">
        <v>357</v>
      </c>
      <c r="S59" s="20">
        <v>1</v>
      </c>
      <c r="T59" s="20" t="s">
        <v>286</v>
      </c>
      <c r="U59" s="20" t="s">
        <v>355</v>
      </c>
      <c r="V59" s="20">
        <v>30</v>
      </c>
      <c r="W59" s="20" t="s">
        <v>358</v>
      </c>
      <c r="X59" s="1"/>
      <c r="Y59">
        <f>+'5% CO Elab'!AA59</f>
        <v>8.639221082687153E-3</v>
      </c>
      <c r="Z59" s="20">
        <f t="shared" si="24"/>
        <v>15</v>
      </c>
      <c r="AA59" s="20" t="s">
        <v>29</v>
      </c>
      <c r="AB59" s="20" t="str">
        <f t="shared" si="25"/>
        <v>+</v>
      </c>
      <c r="AC59" s="20">
        <f t="shared" si="26"/>
        <v>31</v>
      </c>
      <c r="AD59" s="20" t="str">
        <f t="shared" si="27"/>
        <v>H2</v>
      </c>
      <c r="AE59" s="20" t="str">
        <f t="shared" si="28"/>
        <v>=</v>
      </c>
      <c r="AF59" s="20">
        <f t="shared" si="29"/>
        <v>1</v>
      </c>
      <c r="AG59" s="20" t="str">
        <f t="shared" si="30"/>
        <v>C15H32</v>
      </c>
      <c r="AH59" s="20" t="str">
        <f t="shared" si="31"/>
        <v>+</v>
      </c>
      <c r="AI59" s="20">
        <f t="shared" si="46"/>
        <v>15</v>
      </c>
      <c r="AJ59" s="20" t="str">
        <f t="shared" si="32"/>
        <v>H2O</v>
      </c>
      <c r="AL59">
        <f t="shared" si="33"/>
        <v>8.0458747346869641E-2</v>
      </c>
      <c r="AM59">
        <f t="shared" si="34"/>
        <v>0.12958831624030728</v>
      </c>
      <c r="AP59">
        <f>+'10% CO Elab'!S59</f>
        <v>15</v>
      </c>
      <c r="AQ59" t="str">
        <f>+'10% CO Elab'!T59</f>
        <v>N-PENTADECANE</v>
      </c>
      <c r="AR59" t="str">
        <f>+'10% CO Elab'!U59</f>
        <v>C15H32</v>
      </c>
      <c r="AS59" t="str">
        <f>+'10% CO Elab'!V59</f>
        <v>C15</v>
      </c>
      <c r="AT59">
        <f>+'10% CO Elab'!W59</f>
        <v>9.1269204423248526E-2</v>
      </c>
      <c r="AU59">
        <f>+'10% CO Elab'!X59</f>
        <v>1.3690380663487278</v>
      </c>
      <c r="AW59">
        <f>+'10% CO Elab'!AB59</f>
        <v>2.0303324584807088E-3</v>
      </c>
      <c r="AX59" s="20">
        <v>15</v>
      </c>
      <c r="AY59" s="20" t="s">
        <v>354</v>
      </c>
      <c r="AZ59" s="20" t="s">
        <v>355</v>
      </c>
      <c r="BA59" s="20">
        <v>46</v>
      </c>
      <c r="BB59" s="20" t="s">
        <v>356</v>
      </c>
      <c r="BC59" s="20" t="s">
        <v>357</v>
      </c>
      <c r="BD59" s="20">
        <v>1</v>
      </c>
      <c r="BE59" s="20" t="s">
        <v>286</v>
      </c>
      <c r="BF59" s="20" t="s">
        <v>355</v>
      </c>
      <c r="BG59" s="20">
        <v>30</v>
      </c>
      <c r="BH59" s="20" t="s">
        <v>358</v>
      </c>
      <c r="BI59" s="1"/>
      <c r="BJ59">
        <f>+'10% CO Elab'!AA59</f>
        <v>1.3215339124491301E-2</v>
      </c>
      <c r="BK59" s="20">
        <f t="shared" si="35"/>
        <v>15</v>
      </c>
      <c r="BL59" s="20" t="s">
        <v>29</v>
      </c>
      <c r="BM59" s="20" t="str">
        <f t="shared" si="36"/>
        <v>+</v>
      </c>
      <c r="BN59" s="20">
        <f t="shared" si="37"/>
        <v>31</v>
      </c>
      <c r="BO59" s="20" t="str">
        <f t="shared" si="38"/>
        <v>H2</v>
      </c>
      <c r="BP59" s="20" t="str">
        <f t="shared" si="39"/>
        <v>=</v>
      </c>
      <c r="BQ59" s="20">
        <f t="shared" si="40"/>
        <v>1</v>
      </c>
      <c r="BR59" s="20" t="str">
        <f t="shared" si="41"/>
        <v>C15H32</v>
      </c>
      <c r="BS59" s="20" t="str">
        <f t="shared" si="42"/>
        <v>+</v>
      </c>
      <c r="BT59" s="20">
        <f t="shared" si="47"/>
        <v>15</v>
      </c>
      <c r="BU59" s="20" t="str">
        <f t="shared" si="43"/>
        <v>H2O</v>
      </c>
      <c r="BW59">
        <f t="shared" si="44"/>
        <v>6.0909973754421268E-2</v>
      </c>
      <c r="BX59">
        <f t="shared" si="45"/>
        <v>0.19823008686736951</v>
      </c>
    </row>
    <row r="60" spans="5:76" x14ac:dyDescent="0.25">
      <c r="E60">
        <f>+'5% CO Elab'!R60</f>
        <v>55</v>
      </c>
      <c r="F60">
        <f>+'5% CO Elab'!S60</f>
        <v>16</v>
      </c>
      <c r="G60" t="str">
        <f>+'5% CO Elab'!T60</f>
        <v>2-METHYLPENTADECANE</v>
      </c>
      <c r="H60" t="str">
        <f>+'5% CO Elab'!U60</f>
        <v>C16H34-N1</v>
      </c>
      <c r="I60" t="str">
        <f>+'5% CO Elab'!V60</f>
        <v>C16-IP</v>
      </c>
      <c r="J60">
        <f>+'5% CO Elab'!W60</f>
        <v>1.0390154786605049E-2</v>
      </c>
      <c r="L60">
        <f>+'5% CO Elab'!AB60</f>
        <v>4.9678385653190832E-4</v>
      </c>
      <c r="M60" s="20">
        <v>16</v>
      </c>
      <c r="N60" s="20" t="s">
        <v>354</v>
      </c>
      <c r="O60" s="20" t="s">
        <v>355</v>
      </c>
      <c r="P60" s="20">
        <v>49</v>
      </c>
      <c r="Q60" s="20" t="s">
        <v>356</v>
      </c>
      <c r="R60" s="20" t="s">
        <v>357</v>
      </c>
      <c r="S60" s="20">
        <v>1</v>
      </c>
      <c r="T60" s="20" t="s">
        <v>292</v>
      </c>
      <c r="U60" s="20" t="s">
        <v>355</v>
      </c>
      <c r="V60" s="20">
        <v>32</v>
      </c>
      <c r="W60" s="20" t="s">
        <v>358</v>
      </c>
      <c r="X60" s="1"/>
      <c r="Y60">
        <f>+'5% CO Elab'!AA60</f>
        <v>1.6002581602667988E-3</v>
      </c>
      <c r="Z60" s="20">
        <f t="shared" si="24"/>
        <v>16</v>
      </c>
      <c r="AA60" s="20" t="s">
        <v>29</v>
      </c>
      <c r="AB60" s="20" t="str">
        <f t="shared" si="25"/>
        <v>+</v>
      </c>
      <c r="AC60" s="20">
        <f t="shared" si="26"/>
        <v>33</v>
      </c>
      <c r="AD60" s="20" t="str">
        <f t="shared" si="27"/>
        <v>H2</v>
      </c>
      <c r="AE60" s="20" t="str">
        <f t="shared" si="28"/>
        <v>=</v>
      </c>
      <c r="AF60" s="20">
        <f t="shared" si="29"/>
        <v>1</v>
      </c>
      <c r="AG60" s="20" t="str">
        <f t="shared" si="30"/>
        <v>C16H34</v>
      </c>
      <c r="AH60" s="20" t="str">
        <f t="shared" si="31"/>
        <v>+</v>
      </c>
      <c r="AI60" s="20">
        <f t="shared" si="46"/>
        <v>16</v>
      </c>
      <c r="AJ60" s="20" t="str">
        <f t="shared" si="32"/>
        <v>H2O</v>
      </c>
      <c r="AL60">
        <f t="shared" si="33"/>
        <v>1.5897083409021066E-2</v>
      </c>
      <c r="AM60">
        <f t="shared" si="34"/>
        <v>2.560413056426878E-2</v>
      </c>
      <c r="AP60">
        <f>+'10% CO Elab'!S60</f>
        <v>16</v>
      </c>
      <c r="AQ60" t="str">
        <f>+'10% CO Elab'!T60</f>
        <v>2-METHYLPENTADECANE</v>
      </c>
      <c r="AR60" t="str">
        <f>+'10% CO Elab'!U60</f>
        <v>C16H34-N1</v>
      </c>
      <c r="AS60" t="str">
        <f>+'10% CO Elab'!V60</f>
        <v>C16-IP</v>
      </c>
      <c r="AT60">
        <f>+'10% CO Elab'!W60</f>
        <v>1.1467165344379287E-2</v>
      </c>
      <c r="AU60">
        <f>+'10% CO Elab'!X60</f>
        <v>0.18347464551006859</v>
      </c>
      <c r="AW60">
        <f>+'10% CO Elab'!AB60</f>
        <v>2.7209946694969797E-4</v>
      </c>
      <c r="AX60" s="20">
        <v>16</v>
      </c>
      <c r="AY60" s="20" t="s">
        <v>354</v>
      </c>
      <c r="AZ60" s="20" t="s">
        <v>355</v>
      </c>
      <c r="BA60" s="20">
        <v>49</v>
      </c>
      <c r="BB60" s="20" t="s">
        <v>356</v>
      </c>
      <c r="BC60" s="20" t="s">
        <v>357</v>
      </c>
      <c r="BD60" s="20">
        <v>1</v>
      </c>
      <c r="BE60" s="20" t="s">
        <v>292</v>
      </c>
      <c r="BF60" s="20" t="s">
        <v>355</v>
      </c>
      <c r="BG60" s="20">
        <v>32</v>
      </c>
      <c r="BH60" s="20" t="s">
        <v>358</v>
      </c>
      <c r="BI60" s="1"/>
      <c r="BJ60">
        <f>+'10% CO Elab'!AA60</f>
        <v>1.7710827191446084E-3</v>
      </c>
      <c r="BK60" s="20">
        <f t="shared" si="35"/>
        <v>16</v>
      </c>
      <c r="BL60" s="20" t="s">
        <v>29</v>
      </c>
      <c r="BM60" s="20" t="str">
        <f t="shared" si="36"/>
        <v>+</v>
      </c>
      <c r="BN60" s="20">
        <f t="shared" si="37"/>
        <v>33</v>
      </c>
      <c r="BO60" s="20" t="str">
        <f t="shared" si="38"/>
        <v>H2</v>
      </c>
      <c r="BP60" s="20" t="str">
        <f t="shared" si="39"/>
        <v>=</v>
      </c>
      <c r="BQ60" s="20">
        <f t="shared" si="40"/>
        <v>1</v>
      </c>
      <c r="BR60" s="20" t="str">
        <f t="shared" si="41"/>
        <v>C16H34</v>
      </c>
      <c r="BS60" s="20" t="str">
        <f t="shared" si="42"/>
        <v>+</v>
      </c>
      <c r="BT60" s="20">
        <f t="shared" si="47"/>
        <v>16</v>
      </c>
      <c r="BU60" s="20" t="str">
        <f t="shared" si="43"/>
        <v>H2O</v>
      </c>
      <c r="BW60">
        <f t="shared" si="44"/>
        <v>8.707182942390335E-3</v>
      </c>
      <c r="BX60">
        <f t="shared" si="45"/>
        <v>2.8337323506313735E-2</v>
      </c>
    </row>
    <row r="61" spans="5:76" x14ac:dyDescent="0.25">
      <c r="E61">
        <f>+'5% CO Elab'!R61</f>
        <v>56</v>
      </c>
      <c r="F61">
        <f>+'5% CO Elab'!S61</f>
        <v>16</v>
      </c>
      <c r="G61" t="str">
        <f>+'5% CO Elab'!T61</f>
        <v>N-HEXADECANE</v>
      </c>
      <c r="H61" t="str">
        <f>+'5% CO Elab'!U61</f>
        <v>C16H34</v>
      </c>
      <c r="I61" t="str">
        <f>+'5% CO Elab'!V61</f>
        <v>C16</v>
      </c>
      <c r="J61">
        <f>+'5% CO Elab'!W61</f>
        <v>4.849560687438445E-2</v>
      </c>
      <c r="L61">
        <f>+'5% CO Elab'!AB61</f>
        <v>2.3187175843589107E-3</v>
      </c>
      <c r="M61" s="20">
        <v>16</v>
      </c>
      <c r="N61" s="20" t="s">
        <v>354</v>
      </c>
      <c r="O61" s="20" t="s">
        <v>355</v>
      </c>
      <c r="P61" s="20">
        <v>49</v>
      </c>
      <c r="Q61" s="20" t="s">
        <v>356</v>
      </c>
      <c r="R61" s="20" t="s">
        <v>357</v>
      </c>
      <c r="S61" s="20">
        <v>1</v>
      </c>
      <c r="T61" s="20" t="s">
        <v>292</v>
      </c>
      <c r="U61" s="20" t="s">
        <v>355</v>
      </c>
      <c r="V61" s="20">
        <v>32</v>
      </c>
      <c r="W61" s="20" t="s">
        <v>358</v>
      </c>
      <c r="X61" s="1"/>
      <c r="Y61">
        <f>+'5% CO Elab'!AA61</f>
        <v>7.4691371044705804E-3</v>
      </c>
      <c r="Z61" s="20">
        <f t="shared" si="24"/>
        <v>16</v>
      </c>
      <c r="AA61" s="20" t="s">
        <v>29</v>
      </c>
      <c r="AB61" s="20" t="str">
        <f t="shared" si="25"/>
        <v>+</v>
      </c>
      <c r="AC61" s="20">
        <f t="shared" si="26"/>
        <v>33</v>
      </c>
      <c r="AD61" s="20" t="str">
        <f t="shared" si="27"/>
        <v>H2</v>
      </c>
      <c r="AE61" s="20" t="str">
        <f t="shared" si="28"/>
        <v>=</v>
      </c>
      <c r="AF61" s="20">
        <f t="shared" si="29"/>
        <v>1</v>
      </c>
      <c r="AG61" s="20" t="str">
        <f t="shared" si="30"/>
        <v>C16H34</v>
      </c>
      <c r="AH61" s="20" t="str">
        <f t="shared" si="31"/>
        <v>+</v>
      </c>
      <c r="AI61" s="20">
        <f t="shared" si="46"/>
        <v>16</v>
      </c>
      <c r="AJ61" s="20" t="str">
        <f t="shared" si="32"/>
        <v>H2O</v>
      </c>
      <c r="AL61">
        <f t="shared" si="33"/>
        <v>7.4198962699485144E-2</v>
      </c>
      <c r="AM61">
        <f t="shared" si="34"/>
        <v>0.11950619367152929</v>
      </c>
      <c r="AP61">
        <f>+'10% CO Elab'!S61</f>
        <v>16</v>
      </c>
      <c r="AQ61" t="str">
        <f>+'10% CO Elab'!T61</f>
        <v>N-HEXADECANE</v>
      </c>
      <c r="AR61" t="str">
        <f>+'10% CO Elab'!U61</f>
        <v>C16H34</v>
      </c>
      <c r="AS61" t="str">
        <f>+'10% CO Elab'!V61</f>
        <v>C16</v>
      </c>
      <c r="AT61">
        <f>+'10% CO Elab'!W61</f>
        <v>7.3976092006211983E-2</v>
      </c>
      <c r="AU61">
        <f>+'10% CO Elab'!X61</f>
        <v>1.1836174720993917</v>
      </c>
      <c r="AW61">
        <f>+'10% CO Elab'!AB61</f>
        <v>1.7553470798934976E-3</v>
      </c>
      <c r="AX61" s="20">
        <v>16</v>
      </c>
      <c r="AY61" s="20" t="s">
        <v>354</v>
      </c>
      <c r="AZ61" s="20" t="s">
        <v>355</v>
      </c>
      <c r="BA61" s="20">
        <v>49</v>
      </c>
      <c r="BB61" s="20" t="s">
        <v>356</v>
      </c>
      <c r="BC61" s="20" t="s">
        <v>357</v>
      </c>
      <c r="BD61" s="20">
        <v>1</v>
      </c>
      <c r="BE61" s="20" t="s">
        <v>292</v>
      </c>
      <c r="BF61" s="20" t="s">
        <v>355</v>
      </c>
      <c r="BG61" s="20">
        <v>32</v>
      </c>
      <c r="BH61" s="20" t="s">
        <v>358</v>
      </c>
      <c r="BI61" s="1"/>
      <c r="BJ61">
        <f>+'10% CO Elab'!AA61</f>
        <v>1.1425472141314588E-2</v>
      </c>
      <c r="BK61" s="20">
        <f t="shared" si="35"/>
        <v>16</v>
      </c>
      <c r="BL61" s="20" t="s">
        <v>29</v>
      </c>
      <c r="BM61" s="20" t="str">
        <f t="shared" si="36"/>
        <v>+</v>
      </c>
      <c r="BN61" s="20">
        <f t="shared" si="37"/>
        <v>33</v>
      </c>
      <c r="BO61" s="20" t="str">
        <f t="shared" si="38"/>
        <v>H2</v>
      </c>
      <c r="BP61" s="20" t="str">
        <f t="shared" si="39"/>
        <v>=</v>
      </c>
      <c r="BQ61" s="20">
        <f t="shared" si="40"/>
        <v>1</v>
      </c>
      <c r="BR61" s="20" t="str">
        <f t="shared" si="41"/>
        <v>C16H34</v>
      </c>
      <c r="BS61" s="20" t="str">
        <f t="shared" si="42"/>
        <v>+</v>
      </c>
      <c r="BT61" s="20">
        <f t="shared" si="47"/>
        <v>16</v>
      </c>
      <c r="BU61" s="20" t="str">
        <f t="shared" si="43"/>
        <v>H2O</v>
      </c>
      <c r="BW61">
        <f t="shared" si="44"/>
        <v>5.6171106556591924E-2</v>
      </c>
      <c r="BX61">
        <f t="shared" si="45"/>
        <v>0.1828075542610334</v>
      </c>
    </row>
    <row r="62" spans="5:76" x14ac:dyDescent="0.25">
      <c r="E62">
        <f>+'5% CO Elab'!R62</f>
        <v>57</v>
      </c>
      <c r="F62">
        <f>+'5% CO Elab'!S62</f>
        <v>17</v>
      </c>
      <c r="G62" t="str">
        <f>+'5% CO Elab'!T62</f>
        <v>14-METHYLHEXADECANE</v>
      </c>
      <c r="H62" t="str">
        <f>+'5% CO Elab'!U62</f>
        <v>C17H36-N10</v>
      </c>
      <c r="I62" t="str">
        <f>+'5% CO Elab'!V62</f>
        <v>C17-IP</v>
      </c>
      <c r="J62">
        <f>+'5% CO Elab'!W62</f>
        <v>3.8487276210897952E-3</v>
      </c>
      <c r="L62">
        <f>+'5% CO Elab'!AB62</f>
        <v>1.955201728429942E-4</v>
      </c>
      <c r="M62" s="20">
        <v>17</v>
      </c>
      <c r="N62" s="20" t="s">
        <v>354</v>
      </c>
      <c r="O62" s="20" t="s">
        <v>355</v>
      </c>
      <c r="P62" s="20">
        <v>52</v>
      </c>
      <c r="Q62" s="20" t="s">
        <v>356</v>
      </c>
      <c r="R62" s="20" t="s">
        <v>357</v>
      </c>
      <c r="S62" s="20">
        <v>1</v>
      </c>
      <c r="T62" s="20" t="s">
        <v>298</v>
      </c>
      <c r="U62" s="20" t="s">
        <v>355</v>
      </c>
      <c r="V62" s="20">
        <v>34</v>
      </c>
      <c r="W62" s="20" t="s">
        <v>358</v>
      </c>
      <c r="X62" s="1"/>
      <c r="Y62">
        <f>+'5% CO Elab'!AA62</f>
        <v>6.2981666568845093E-4</v>
      </c>
      <c r="Z62" s="20">
        <f t="shared" si="24"/>
        <v>17</v>
      </c>
      <c r="AA62" s="20" t="s">
        <v>29</v>
      </c>
      <c r="AB62" s="20" t="str">
        <f t="shared" si="25"/>
        <v>+</v>
      </c>
      <c r="AC62" s="20">
        <f t="shared" si="26"/>
        <v>35</v>
      </c>
      <c r="AD62" s="20" t="str">
        <f t="shared" si="27"/>
        <v>H2</v>
      </c>
      <c r="AE62" s="20" t="str">
        <f t="shared" si="28"/>
        <v>=</v>
      </c>
      <c r="AF62" s="20">
        <f t="shared" si="29"/>
        <v>1</v>
      </c>
      <c r="AG62" s="20" t="str">
        <f t="shared" si="30"/>
        <v>C17H36</v>
      </c>
      <c r="AH62" s="20" t="str">
        <f t="shared" si="31"/>
        <v>+</v>
      </c>
      <c r="AI62" s="20">
        <f t="shared" si="46"/>
        <v>17</v>
      </c>
      <c r="AJ62" s="20" t="str">
        <f t="shared" si="32"/>
        <v>H2O</v>
      </c>
      <c r="AL62">
        <f t="shared" si="33"/>
        <v>6.6476858766618026E-3</v>
      </c>
      <c r="AM62">
        <f t="shared" si="34"/>
        <v>1.0706883316703665E-2</v>
      </c>
      <c r="AP62">
        <f>+'10% CO Elab'!S62</f>
        <v>17</v>
      </c>
      <c r="AQ62" t="str">
        <f>+'10% CO Elab'!T62</f>
        <v>14-METHYLHEXADECANE</v>
      </c>
      <c r="AR62" t="str">
        <f>+'10% CO Elab'!U62</f>
        <v>C17H36-N10</v>
      </c>
      <c r="AS62" t="str">
        <f>+'10% CO Elab'!V62</f>
        <v>C17-IP</v>
      </c>
      <c r="AT62">
        <f>+'10% CO Elab'!W62</f>
        <v>4.2476745441187872E-3</v>
      </c>
      <c r="AU62">
        <f>+'10% CO Elab'!X62</f>
        <v>7.2210467250019381E-2</v>
      </c>
      <c r="AW62">
        <f>+'10% CO Elab'!AB62</f>
        <v>1.0709070777760759E-4</v>
      </c>
      <c r="AX62" s="20">
        <v>17</v>
      </c>
      <c r="AY62" s="20" t="s">
        <v>354</v>
      </c>
      <c r="AZ62" s="20" t="s">
        <v>355</v>
      </c>
      <c r="BA62" s="20">
        <v>52</v>
      </c>
      <c r="BB62" s="20" t="s">
        <v>356</v>
      </c>
      <c r="BC62" s="20" t="s">
        <v>357</v>
      </c>
      <c r="BD62" s="20">
        <v>1</v>
      </c>
      <c r="BE62" s="20" t="s">
        <v>298</v>
      </c>
      <c r="BF62" s="20" t="s">
        <v>355</v>
      </c>
      <c r="BG62" s="20">
        <v>34</v>
      </c>
      <c r="BH62" s="20" t="s">
        <v>358</v>
      </c>
      <c r="BI62" s="1"/>
      <c r="BJ62">
        <f>+'10% CO Elab'!AA62</f>
        <v>6.9704841414095398E-4</v>
      </c>
      <c r="BK62" s="20">
        <f t="shared" si="35"/>
        <v>17</v>
      </c>
      <c r="BL62" s="20" t="s">
        <v>29</v>
      </c>
      <c r="BM62" s="20" t="str">
        <f t="shared" si="36"/>
        <v>+</v>
      </c>
      <c r="BN62" s="20">
        <f t="shared" si="37"/>
        <v>35</v>
      </c>
      <c r="BO62" s="20" t="str">
        <f t="shared" si="38"/>
        <v>H2</v>
      </c>
      <c r="BP62" s="20" t="str">
        <f t="shared" si="39"/>
        <v>=</v>
      </c>
      <c r="BQ62" s="20">
        <f t="shared" si="40"/>
        <v>1</v>
      </c>
      <c r="BR62" s="20" t="str">
        <f t="shared" si="41"/>
        <v>C17H36</v>
      </c>
      <c r="BS62" s="20" t="str">
        <f t="shared" si="42"/>
        <v>+</v>
      </c>
      <c r="BT62" s="20">
        <f t="shared" si="47"/>
        <v>17</v>
      </c>
      <c r="BU62" s="20" t="str">
        <f t="shared" si="43"/>
        <v>H2O</v>
      </c>
      <c r="BW62">
        <f t="shared" si="44"/>
        <v>3.6410840644386581E-3</v>
      </c>
      <c r="BX62">
        <f t="shared" si="45"/>
        <v>1.1849823040396218E-2</v>
      </c>
    </row>
    <row r="63" spans="5:76" x14ac:dyDescent="0.25">
      <c r="E63">
        <f>+'5% CO Elab'!R63</f>
        <v>58</v>
      </c>
      <c r="F63">
        <f>+'5% CO Elab'!S63</f>
        <v>17</v>
      </c>
      <c r="G63" t="str">
        <f>+'5% CO Elab'!T63</f>
        <v>N-HEPTADECANE</v>
      </c>
      <c r="H63" t="str">
        <f>+'5% CO Elab'!U63</f>
        <v>C17H36</v>
      </c>
      <c r="I63" t="str">
        <f>+'5% CO Elab'!V63</f>
        <v>C17</v>
      </c>
      <c r="J63">
        <f>+'5% CO Elab'!W63</f>
        <v>4.219747611147729E-2</v>
      </c>
      <c r="L63">
        <f>+'5% CO Elab'!AB63</f>
        <v>2.1436845199551899E-3</v>
      </c>
      <c r="M63" s="20">
        <v>17</v>
      </c>
      <c r="N63" s="20" t="s">
        <v>354</v>
      </c>
      <c r="O63" s="20" t="s">
        <v>355</v>
      </c>
      <c r="P63" s="20">
        <v>52</v>
      </c>
      <c r="Q63" s="20" t="s">
        <v>356</v>
      </c>
      <c r="R63" s="20" t="s">
        <v>357</v>
      </c>
      <c r="S63" s="20">
        <v>1</v>
      </c>
      <c r="T63" s="20" t="s">
        <v>298</v>
      </c>
      <c r="U63" s="20" t="s">
        <v>355</v>
      </c>
      <c r="V63" s="20">
        <v>34</v>
      </c>
      <c r="W63" s="20" t="s">
        <v>358</v>
      </c>
      <c r="X63" s="1"/>
      <c r="Y63">
        <f>+'5% CO Elab'!AA63</f>
        <v>6.9053142548636147E-3</v>
      </c>
      <c r="Z63" s="20">
        <f t="shared" si="24"/>
        <v>17</v>
      </c>
      <c r="AA63" s="20" t="s">
        <v>29</v>
      </c>
      <c r="AB63" s="20" t="str">
        <f t="shared" si="25"/>
        <v>+</v>
      </c>
      <c r="AC63" s="20">
        <f t="shared" si="26"/>
        <v>35</v>
      </c>
      <c r="AD63" s="20" t="str">
        <f t="shared" si="27"/>
        <v>H2</v>
      </c>
      <c r="AE63" s="20" t="str">
        <f t="shared" si="28"/>
        <v>=</v>
      </c>
      <c r="AF63" s="20">
        <f t="shared" si="29"/>
        <v>1</v>
      </c>
      <c r="AG63" s="20" t="str">
        <f t="shared" si="30"/>
        <v>C17H36</v>
      </c>
      <c r="AH63" s="20" t="str">
        <f t="shared" si="31"/>
        <v>+</v>
      </c>
      <c r="AI63" s="20">
        <f t="shared" si="46"/>
        <v>17</v>
      </c>
      <c r="AJ63" s="20" t="str">
        <f t="shared" si="32"/>
        <v>H2O</v>
      </c>
      <c r="AL63">
        <f t="shared" si="33"/>
        <v>7.2885273678476456E-2</v>
      </c>
      <c r="AM63">
        <f t="shared" si="34"/>
        <v>0.11739034233268145</v>
      </c>
      <c r="AP63">
        <f>+'10% CO Elab'!S63</f>
        <v>17</v>
      </c>
      <c r="AQ63" t="str">
        <f>+'10% CO Elab'!T63</f>
        <v>N-HEPTADECANE</v>
      </c>
      <c r="AR63" t="str">
        <f>+'10% CO Elab'!U63</f>
        <v>C17H36</v>
      </c>
      <c r="AS63" t="str">
        <f>+'10% CO Elab'!V63</f>
        <v>C17</v>
      </c>
      <c r="AT63">
        <f>+'10% CO Elab'!W63</f>
        <v>6.4368807330080421E-2</v>
      </c>
      <c r="AU63">
        <f>+'10% CO Elab'!X63</f>
        <v>1.0942697246113671</v>
      </c>
      <c r="AW63">
        <f>+'10% CO Elab'!AB63</f>
        <v>1.6228411720768585E-3</v>
      </c>
      <c r="AX63" s="20">
        <v>17</v>
      </c>
      <c r="AY63" s="20" t="s">
        <v>354</v>
      </c>
      <c r="AZ63" s="20" t="s">
        <v>355</v>
      </c>
      <c r="BA63" s="20">
        <v>52</v>
      </c>
      <c r="BB63" s="20" t="s">
        <v>356</v>
      </c>
      <c r="BC63" s="20" t="s">
        <v>357</v>
      </c>
      <c r="BD63" s="20">
        <v>1</v>
      </c>
      <c r="BE63" s="20" t="s">
        <v>298</v>
      </c>
      <c r="BF63" s="20" t="s">
        <v>355</v>
      </c>
      <c r="BG63" s="20">
        <v>34</v>
      </c>
      <c r="BH63" s="20" t="s">
        <v>358</v>
      </c>
      <c r="BI63" s="1"/>
      <c r="BJ63">
        <f>+'10% CO Elab'!AA63</f>
        <v>1.0562997377400395E-2</v>
      </c>
      <c r="BK63" s="20">
        <f t="shared" si="35"/>
        <v>17</v>
      </c>
      <c r="BL63" s="20" t="s">
        <v>29</v>
      </c>
      <c r="BM63" s="20" t="str">
        <f t="shared" si="36"/>
        <v>+</v>
      </c>
      <c r="BN63" s="20">
        <f t="shared" si="37"/>
        <v>35</v>
      </c>
      <c r="BO63" s="20" t="str">
        <f t="shared" si="38"/>
        <v>H2</v>
      </c>
      <c r="BP63" s="20" t="str">
        <f t="shared" si="39"/>
        <v>=</v>
      </c>
      <c r="BQ63" s="20">
        <f t="shared" si="40"/>
        <v>1</v>
      </c>
      <c r="BR63" s="20" t="str">
        <f t="shared" si="41"/>
        <v>C17H36</v>
      </c>
      <c r="BS63" s="20" t="str">
        <f t="shared" si="42"/>
        <v>+</v>
      </c>
      <c r="BT63" s="20">
        <f t="shared" si="47"/>
        <v>17</v>
      </c>
      <c r="BU63" s="20" t="str">
        <f t="shared" si="43"/>
        <v>H2O</v>
      </c>
      <c r="BW63">
        <f t="shared" si="44"/>
        <v>5.5176599850613191E-2</v>
      </c>
      <c r="BX63">
        <f t="shared" si="45"/>
        <v>0.17957095541580673</v>
      </c>
    </row>
    <row r="64" spans="5:76" x14ac:dyDescent="0.25">
      <c r="E64">
        <f>+'5% CO Elab'!R64</f>
        <v>59</v>
      </c>
      <c r="F64">
        <f>+'5% CO Elab'!S64</f>
        <v>18</v>
      </c>
      <c r="G64" t="str">
        <f>+'5% CO Elab'!T64</f>
        <v>N-OCTADECANE</v>
      </c>
      <c r="H64" t="str">
        <f>+'5% CO Elab'!U64</f>
        <v>C18H38</v>
      </c>
      <c r="I64" t="str">
        <f>+'5% CO Elab'!V64</f>
        <v>C18</v>
      </c>
      <c r="J64">
        <f>+'5% CO Elab'!W64</f>
        <v>3.9048410730023846E-2</v>
      </c>
      <c r="L64">
        <f>+'5% CO Elab'!AB64</f>
        <v>2.1003967728445982E-3</v>
      </c>
      <c r="M64" s="20">
        <v>18</v>
      </c>
      <c r="N64" s="20" t="s">
        <v>354</v>
      </c>
      <c r="O64" s="20" t="s">
        <v>355</v>
      </c>
      <c r="P64" s="20">
        <v>55</v>
      </c>
      <c r="Q64" s="20" t="s">
        <v>356</v>
      </c>
      <c r="R64" s="20" t="s">
        <v>357</v>
      </c>
      <c r="S64" s="20">
        <v>1</v>
      </c>
      <c r="T64" s="20" t="s">
        <v>301</v>
      </c>
      <c r="U64" s="20" t="s">
        <v>355</v>
      </c>
      <c r="V64" s="20">
        <v>36</v>
      </c>
      <c r="W64" s="20" t="s">
        <v>358</v>
      </c>
      <c r="X64" s="1"/>
      <c r="Y64">
        <f>+'5% CO Elab'!AA64</f>
        <v>6.765874195283416E-3</v>
      </c>
      <c r="Z64" s="20">
        <f t="shared" si="24"/>
        <v>18</v>
      </c>
      <c r="AA64" s="20" t="s">
        <v>29</v>
      </c>
      <c r="AB64" s="20" t="str">
        <f t="shared" si="25"/>
        <v>+</v>
      </c>
      <c r="AC64" s="20">
        <f t="shared" si="26"/>
        <v>37</v>
      </c>
      <c r="AD64" s="20" t="str">
        <f t="shared" si="27"/>
        <v>H2</v>
      </c>
      <c r="AE64" s="20" t="str">
        <f t="shared" si="28"/>
        <v>=</v>
      </c>
      <c r="AF64" s="20">
        <f t="shared" si="29"/>
        <v>1</v>
      </c>
      <c r="AG64" s="20" t="str">
        <f t="shared" si="30"/>
        <v>C18H38</v>
      </c>
      <c r="AH64" s="20" t="str">
        <f t="shared" si="31"/>
        <v>+</v>
      </c>
      <c r="AI64" s="20">
        <f t="shared" si="46"/>
        <v>18</v>
      </c>
      <c r="AJ64" s="20" t="str">
        <f t="shared" si="32"/>
        <v>H2O</v>
      </c>
      <c r="AL64">
        <f t="shared" si="33"/>
        <v>7.5614283822405537E-2</v>
      </c>
      <c r="AM64">
        <f t="shared" si="34"/>
        <v>0.1217857355151015</v>
      </c>
      <c r="AP64">
        <f>+'10% CO Elab'!S64</f>
        <v>18</v>
      </c>
      <c r="AQ64" t="str">
        <f>+'10% CO Elab'!T64</f>
        <v>N-OCTADECANE</v>
      </c>
      <c r="AR64" t="str">
        <f>+'10% CO Elab'!U64</f>
        <v>C18H38</v>
      </c>
      <c r="AS64" t="str">
        <f>+'10% CO Elab'!V64</f>
        <v>C18</v>
      </c>
      <c r="AT64">
        <f>+'10% CO Elab'!W64</f>
        <v>5.9565164992014842E-2</v>
      </c>
      <c r="AU64">
        <f>+'10% CO Elab'!X64</f>
        <v>1.0721729698562672</v>
      </c>
      <c r="AW64">
        <f>+'10% CO Elab'!AB64</f>
        <v>1.5900708937996294E-3</v>
      </c>
      <c r="AX64" s="20">
        <v>18</v>
      </c>
      <c r="AY64" s="20" t="s">
        <v>354</v>
      </c>
      <c r="AZ64" s="20" t="s">
        <v>355</v>
      </c>
      <c r="BA64" s="20">
        <v>55</v>
      </c>
      <c r="BB64" s="20" t="s">
        <v>356</v>
      </c>
      <c r="BC64" s="20" t="s">
        <v>357</v>
      </c>
      <c r="BD64" s="20">
        <v>1</v>
      </c>
      <c r="BE64" s="20" t="s">
        <v>301</v>
      </c>
      <c r="BF64" s="20" t="s">
        <v>355</v>
      </c>
      <c r="BG64" s="20">
        <v>36</v>
      </c>
      <c r="BH64" s="20" t="s">
        <v>358</v>
      </c>
      <c r="BI64" s="1"/>
      <c r="BJ64">
        <f>+'10% CO Elab'!AA64</f>
        <v>1.0349697166970033E-2</v>
      </c>
      <c r="BK64" s="20">
        <f t="shared" si="35"/>
        <v>18</v>
      </c>
      <c r="BL64" s="20" t="s">
        <v>29</v>
      </c>
      <c r="BM64" s="20" t="str">
        <f t="shared" si="36"/>
        <v>+</v>
      </c>
      <c r="BN64" s="20">
        <f t="shared" si="37"/>
        <v>37</v>
      </c>
      <c r="BO64" s="20" t="str">
        <f t="shared" si="38"/>
        <v>H2</v>
      </c>
      <c r="BP64" s="20" t="str">
        <f t="shared" si="39"/>
        <v>=</v>
      </c>
      <c r="BQ64" s="20">
        <f t="shared" si="40"/>
        <v>1</v>
      </c>
      <c r="BR64" s="20" t="str">
        <f t="shared" si="41"/>
        <v>C18H38</v>
      </c>
      <c r="BS64" s="20" t="str">
        <f t="shared" si="42"/>
        <v>+</v>
      </c>
      <c r="BT64" s="20">
        <f t="shared" si="47"/>
        <v>18</v>
      </c>
      <c r="BU64" s="20" t="str">
        <f t="shared" si="43"/>
        <v>H2O</v>
      </c>
      <c r="BW64">
        <f t="shared" si="44"/>
        <v>5.7242552176786657E-2</v>
      </c>
      <c r="BX64">
        <f t="shared" si="45"/>
        <v>0.18629454900546061</v>
      </c>
    </row>
    <row r="65" spans="5:76" x14ac:dyDescent="0.25">
      <c r="E65">
        <f>+'5% CO Elab'!R65</f>
        <v>60</v>
      </c>
      <c r="F65">
        <f>+'5% CO Elab'!S65</f>
        <v>19</v>
      </c>
      <c r="G65" t="str">
        <f>+'5% CO Elab'!T65</f>
        <v>N-NONADECANE</v>
      </c>
      <c r="H65" t="str">
        <f>+'5% CO Elab'!U65</f>
        <v>C19H40</v>
      </c>
      <c r="I65" t="str">
        <f>+'5% CO Elab'!V65</f>
        <v>C19</v>
      </c>
      <c r="J65">
        <f>+'5% CO Elab'!W65</f>
        <v>1.763476613613979E-2</v>
      </c>
      <c r="L65">
        <f>+'5% CO Elab'!AB65</f>
        <v>1.0012644114277109E-3</v>
      </c>
      <c r="M65" s="20">
        <v>19</v>
      </c>
      <c r="N65" s="20" t="s">
        <v>354</v>
      </c>
      <c r="O65" s="20" t="s">
        <v>355</v>
      </c>
      <c r="P65" s="20">
        <v>58</v>
      </c>
      <c r="Q65" s="20" t="s">
        <v>356</v>
      </c>
      <c r="R65" s="20" t="s">
        <v>357</v>
      </c>
      <c r="S65" s="20">
        <v>1</v>
      </c>
      <c r="T65" s="20" t="s">
        <v>304</v>
      </c>
      <c r="U65" s="20" t="s">
        <v>355</v>
      </c>
      <c r="V65" s="20">
        <v>38</v>
      </c>
      <c r="W65" s="20" t="s">
        <v>358</v>
      </c>
      <c r="X65" s="1"/>
      <c r="Y65">
        <f>+'5% CO Elab'!AA65</f>
        <v>3.2253092042032034E-3</v>
      </c>
      <c r="Z65" s="20">
        <f t="shared" si="24"/>
        <v>19</v>
      </c>
      <c r="AA65" s="20" t="s">
        <v>29</v>
      </c>
      <c r="AB65" s="20" t="str">
        <f t="shared" si="25"/>
        <v>+</v>
      </c>
      <c r="AC65" s="20">
        <f t="shared" si="26"/>
        <v>39</v>
      </c>
      <c r="AD65" s="20" t="str">
        <f t="shared" si="27"/>
        <v>H2</v>
      </c>
      <c r="AE65" s="20" t="str">
        <f t="shared" si="28"/>
        <v>=</v>
      </c>
      <c r="AF65" s="20">
        <f t="shared" si="29"/>
        <v>1</v>
      </c>
      <c r="AG65" s="20" t="str">
        <f t="shared" si="30"/>
        <v>C19H40</v>
      </c>
      <c r="AH65" s="20" t="str">
        <f t="shared" si="31"/>
        <v>+</v>
      </c>
      <c r="AI65" s="20">
        <f t="shared" si="46"/>
        <v>19</v>
      </c>
      <c r="AJ65" s="20" t="str">
        <f t="shared" si="32"/>
        <v>H2O</v>
      </c>
      <c r="AL65">
        <f t="shared" si="33"/>
        <v>3.8048047634253013E-2</v>
      </c>
      <c r="AM65">
        <f t="shared" si="34"/>
        <v>6.1280874879860864E-2</v>
      </c>
      <c r="AP65">
        <f>+'10% CO Elab'!S65</f>
        <v>19</v>
      </c>
      <c r="AQ65" t="str">
        <f>+'10% CO Elab'!T65</f>
        <v>N-NONADECANE</v>
      </c>
      <c r="AR65" t="str">
        <f>+'10% CO Elab'!U65</f>
        <v>C19H40</v>
      </c>
      <c r="AS65" t="str">
        <f>+'10% CO Elab'!V65</f>
        <v>C19</v>
      </c>
      <c r="AT65">
        <f>+'10% CO Elab'!W65</f>
        <v>2.690039709316798E-2</v>
      </c>
      <c r="AU65">
        <f>+'10% CO Elab'!X65</f>
        <v>0.5111075447701916</v>
      </c>
      <c r="AW65">
        <f>+'10% CO Elab'!AB65</f>
        <v>7.5799078449946457E-4</v>
      </c>
      <c r="AX65" s="20">
        <v>19</v>
      </c>
      <c r="AY65" s="20" t="s">
        <v>354</v>
      </c>
      <c r="AZ65" s="20" t="s">
        <v>355</v>
      </c>
      <c r="BA65" s="20">
        <v>58</v>
      </c>
      <c r="BB65" s="20" t="s">
        <v>356</v>
      </c>
      <c r="BC65" s="20" t="s">
        <v>357</v>
      </c>
      <c r="BD65" s="20">
        <v>1</v>
      </c>
      <c r="BE65" s="20" t="s">
        <v>304</v>
      </c>
      <c r="BF65" s="20" t="s">
        <v>355</v>
      </c>
      <c r="BG65" s="20">
        <v>38</v>
      </c>
      <c r="BH65" s="20" t="s">
        <v>358</v>
      </c>
      <c r="BI65" s="1"/>
      <c r="BJ65">
        <f>+'10% CO Elab'!AA65</f>
        <v>4.933726606476751E-3</v>
      </c>
      <c r="BK65" s="20">
        <f t="shared" si="35"/>
        <v>19</v>
      </c>
      <c r="BL65" s="20" t="s">
        <v>29</v>
      </c>
      <c r="BM65" s="20" t="str">
        <f t="shared" si="36"/>
        <v>+</v>
      </c>
      <c r="BN65" s="20">
        <f t="shared" si="37"/>
        <v>39</v>
      </c>
      <c r="BO65" s="20" t="str">
        <f t="shared" si="38"/>
        <v>H2</v>
      </c>
      <c r="BP65" s="20" t="str">
        <f t="shared" si="39"/>
        <v>=</v>
      </c>
      <c r="BQ65" s="20">
        <f t="shared" si="40"/>
        <v>1</v>
      </c>
      <c r="BR65" s="20" t="str">
        <f t="shared" si="41"/>
        <v>C19H40</v>
      </c>
      <c r="BS65" s="20" t="str">
        <f t="shared" si="42"/>
        <v>+</v>
      </c>
      <c r="BT65" s="20">
        <f t="shared" si="47"/>
        <v>19</v>
      </c>
      <c r="BU65" s="20" t="str">
        <f t="shared" si="43"/>
        <v>H2O</v>
      </c>
      <c r="BW65">
        <f t="shared" si="44"/>
        <v>2.8803649810979652E-2</v>
      </c>
      <c r="BX65">
        <f t="shared" si="45"/>
        <v>9.3740805523058274E-2</v>
      </c>
    </row>
    <row r="66" spans="5:76" x14ac:dyDescent="0.25">
      <c r="E66">
        <f>+'5% CO Elab'!R66</f>
        <v>61</v>
      </c>
      <c r="F66">
        <f>+'5% CO Elab'!S66</f>
        <v>20</v>
      </c>
      <c r="G66" t="str">
        <f>+'5% CO Elab'!T66</f>
        <v>N-EICOSANE</v>
      </c>
      <c r="H66" t="str">
        <f>+'5% CO Elab'!U66</f>
        <v>C20H42</v>
      </c>
      <c r="I66" t="str">
        <f>+'5% CO Elab'!V66</f>
        <v>C20</v>
      </c>
      <c r="J66">
        <f>+'5% CO Elab'!W66</f>
        <v>1.3855887678395551E-2</v>
      </c>
      <c r="L66">
        <f>+'5% CO Elab'!AB66</f>
        <v>8.2811342298532505E-4</v>
      </c>
      <c r="M66" s="20">
        <v>20</v>
      </c>
      <c r="N66" s="20" t="s">
        <v>354</v>
      </c>
      <c r="O66" s="20" t="s">
        <v>355</v>
      </c>
      <c r="P66" s="20">
        <v>61</v>
      </c>
      <c r="Q66" s="20" t="s">
        <v>356</v>
      </c>
      <c r="R66" s="20" t="s">
        <v>357</v>
      </c>
      <c r="S66" s="20">
        <v>1</v>
      </c>
      <c r="T66" s="20" t="s">
        <v>307</v>
      </c>
      <c r="U66" s="20" t="s">
        <v>355</v>
      </c>
      <c r="V66" s="20">
        <v>40</v>
      </c>
      <c r="W66" s="20" t="s">
        <v>358</v>
      </c>
      <c r="X66" s="1"/>
      <c r="Y66">
        <f>+'5% CO Elab'!AA66</f>
        <v>2.6675489658823485E-3</v>
      </c>
      <c r="Z66" s="20">
        <f t="shared" si="24"/>
        <v>20</v>
      </c>
      <c r="AA66" s="20" t="s">
        <v>29</v>
      </c>
      <c r="AB66" s="20" t="str">
        <f t="shared" si="25"/>
        <v>+</v>
      </c>
      <c r="AC66" s="20">
        <f t="shared" si="26"/>
        <v>41</v>
      </c>
      <c r="AD66" s="20" t="str">
        <f t="shared" si="27"/>
        <v>H2</v>
      </c>
      <c r="AE66" s="20" t="str">
        <f t="shared" si="28"/>
        <v>=</v>
      </c>
      <c r="AF66" s="20">
        <f t="shared" si="29"/>
        <v>1</v>
      </c>
      <c r="AG66" s="20" t="str">
        <f t="shared" si="30"/>
        <v>C20H42</v>
      </c>
      <c r="AH66" s="20" t="str">
        <f t="shared" si="31"/>
        <v>+</v>
      </c>
      <c r="AI66" s="20">
        <f t="shared" si="46"/>
        <v>20</v>
      </c>
      <c r="AJ66" s="20" t="str">
        <f t="shared" si="32"/>
        <v>H2O</v>
      </c>
      <c r="AL66">
        <f t="shared" si="33"/>
        <v>3.3124536919413E-2</v>
      </c>
      <c r="AM66">
        <f t="shared" si="34"/>
        <v>5.3350979317646971E-2</v>
      </c>
      <c r="AP66">
        <f>+'10% CO Elab'!S66</f>
        <v>20</v>
      </c>
      <c r="AQ66" t="str">
        <f>+'10% CO Elab'!T66</f>
        <v>N-EICOSANE</v>
      </c>
      <c r="AR66" t="str">
        <f>+'10% CO Elab'!U66</f>
        <v>C20H42</v>
      </c>
      <c r="AS66" t="str">
        <f>+'10% CO Elab'!V66</f>
        <v>C20</v>
      </c>
      <c r="AT66">
        <f>+'10% CO Elab'!W66</f>
        <v>2.1136026287489132E-2</v>
      </c>
      <c r="AU66">
        <f>+'10% CO Elab'!X66</f>
        <v>0.42272052574978264</v>
      </c>
      <c r="AW66">
        <f>+'10% CO Elab'!AB66</f>
        <v>6.2690967139053479E-4</v>
      </c>
      <c r="AX66" s="20">
        <v>20</v>
      </c>
      <c r="AY66" s="20" t="s">
        <v>354</v>
      </c>
      <c r="AZ66" s="20" t="s">
        <v>355</v>
      </c>
      <c r="BA66" s="20">
        <v>61</v>
      </c>
      <c r="BB66" s="20" t="s">
        <v>356</v>
      </c>
      <c r="BC66" s="20" t="s">
        <v>357</v>
      </c>
      <c r="BD66" s="20">
        <v>1</v>
      </c>
      <c r="BE66" s="20" t="s">
        <v>307</v>
      </c>
      <c r="BF66" s="20" t="s">
        <v>355</v>
      </c>
      <c r="BG66" s="20">
        <v>40</v>
      </c>
      <c r="BH66" s="20" t="s">
        <v>358</v>
      </c>
      <c r="BI66" s="1"/>
      <c r="BJ66">
        <f>+'10% CO Elab'!AA66</f>
        <v>4.0805257647552086E-3</v>
      </c>
      <c r="BK66" s="20">
        <f t="shared" si="35"/>
        <v>20</v>
      </c>
      <c r="BL66" s="20" t="s">
        <v>29</v>
      </c>
      <c r="BM66" s="20" t="str">
        <f t="shared" si="36"/>
        <v>+</v>
      </c>
      <c r="BN66" s="20">
        <f t="shared" si="37"/>
        <v>41</v>
      </c>
      <c r="BO66" s="20" t="str">
        <f t="shared" si="38"/>
        <v>H2</v>
      </c>
      <c r="BP66" s="20" t="str">
        <f t="shared" si="39"/>
        <v>=</v>
      </c>
      <c r="BQ66" s="20">
        <f t="shared" si="40"/>
        <v>1</v>
      </c>
      <c r="BR66" s="20" t="str">
        <f t="shared" si="41"/>
        <v>C20H42</v>
      </c>
      <c r="BS66" s="20" t="str">
        <f t="shared" si="42"/>
        <v>+</v>
      </c>
      <c r="BT66" s="20">
        <f t="shared" si="47"/>
        <v>20</v>
      </c>
      <c r="BU66" s="20" t="str">
        <f t="shared" si="43"/>
        <v>H2O</v>
      </c>
      <c r="BW66">
        <f t="shared" si="44"/>
        <v>2.5076386855621392E-2</v>
      </c>
      <c r="BX66">
        <f t="shared" si="45"/>
        <v>8.1610515295104172E-2</v>
      </c>
    </row>
    <row r="67" spans="5:76" x14ac:dyDescent="0.25">
      <c r="E67">
        <f>+'5% CO Elab'!R67</f>
        <v>62</v>
      </c>
      <c r="F67">
        <f>+'5% CO Elab'!S67</f>
        <v>21</v>
      </c>
      <c r="G67" t="str">
        <f>+'5% CO Elab'!T67</f>
        <v>N-HENEICOSANE</v>
      </c>
      <c r="H67" t="str">
        <f>+'5% CO Elab'!U67</f>
        <v>C21H44</v>
      </c>
      <c r="I67" t="str">
        <f>+'5% CO Elab'!V67</f>
        <v>C21</v>
      </c>
      <c r="J67">
        <f>+'5% CO Elab'!W67</f>
        <v>1.2596261525814138E-2</v>
      </c>
      <c r="L67">
        <f>+'5% CO Elab'!AB67</f>
        <v>7.9047190375871939E-4</v>
      </c>
      <c r="M67" s="20">
        <v>21</v>
      </c>
      <c r="N67" s="20" t="s">
        <v>354</v>
      </c>
      <c r="O67" s="20" t="s">
        <v>355</v>
      </c>
      <c r="P67" s="20">
        <v>64</v>
      </c>
      <c r="Q67" s="20" t="s">
        <v>356</v>
      </c>
      <c r="R67" s="20" t="s">
        <v>357</v>
      </c>
      <c r="S67" s="20">
        <v>1</v>
      </c>
      <c r="T67" s="20" t="s">
        <v>310</v>
      </c>
      <c r="U67" s="20" t="s">
        <v>355</v>
      </c>
      <c r="V67" s="20">
        <v>42</v>
      </c>
      <c r="W67" s="20" t="s">
        <v>358</v>
      </c>
      <c r="X67" s="1"/>
      <c r="Y67">
        <f>+'5% CO Elab'!AA67</f>
        <v>2.5462967401604242E-3</v>
      </c>
      <c r="Z67" s="20">
        <f t="shared" si="24"/>
        <v>21</v>
      </c>
      <c r="AA67" s="20" t="s">
        <v>29</v>
      </c>
      <c r="AB67" s="20" t="str">
        <f t="shared" si="25"/>
        <v>+</v>
      </c>
      <c r="AC67" s="20">
        <f t="shared" si="26"/>
        <v>43</v>
      </c>
      <c r="AD67" s="20" t="str">
        <f t="shared" si="27"/>
        <v>H2</v>
      </c>
      <c r="AE67" s="20" t="str">
        <f t="shared" si="28"/>
        <v>=</v>
      </c>
      <c r="AF67" s="20">
        <f t="shared" si="29"/>
        <v>1</v>
      </c>
      <c r="AG67" s="20" t="str">
        <f t="shared" si="30"/>
        <v>C21H44</v>
      </c>
      <c r="AH67" s="20" t="str">
        <f t="shared" si="31"/>
        <v>+</v>
      </c>
      <c r="AI67" s="20">
        <f t="shared" si="46"/>
        <v>21</v>
      </c>
      <c r="AJ67" s="20" t="str">
        <f t="shared" si="32"/>
        <v>H2O</v>
      </c>
      <c r="AL67">
        <f t="shared" si="33"/>
        <v>3.3199819957866215E-2</v>
      </c>
      <c r="AM67">
        <f t="shared" si="34"/>
        <v>5.3472231543368907E-2</v>
      </c>
      <c r="AP67">
        <f>+'10% CO Elab'!S67</f>
        <v>21</v>
      </c>
      <c r="AQ67" t="str">
        <f>+'10% CO Elab'!T67</f>
        <v>N-HENEICOSANE</v>
      </c>
      <c r="AR67" t="str">
        <f>+'10% CO Elab'!U67</f>
        <v>C21H44</v>
      </c>
      <c r="AS67" t="str">
        <f>+'10% CO Elab'!V67</f>
        <v>C21</v>
      </c>
      <c r="AT67">
        <f>+'10% CO Elab'!W67</f>
        <v>1.9214569352262848E-2</v>
      </c>
      <c r="AU67">
        <f>+'10% CO Elab'!X67</f>
        <v>0.40350595639751979</v>
      </c>
      <c r="AW67">
        <f>+'10% CO Elab'!AB67</f>
        <v>5.9841377723641954E-4</v>
      </c>
      <c r="AX67" s="20">
        <v>21</v>
      </c>
      <c r="AY67" s="20" t="s">
        <v>354</v>
      </c>
      <c r="AZ67" s="20" t="s">
        <v>355</v>
      </c>
      <c r="BA67" s="20">
        <v>64</v>
      </c>
      <c r="BB67" s="20" t="s">
        <v>356</v>
      </c>
      <c r="BC67" s="20" t="s">
        <v>357</v>
      </c>
      <c r="BD67" s="20">
        <v>1</v>
      </c>
      <c r="BE67" s="20" t="s">
        <v>310</v>
      </c>
      <c r="BF67" s="20" t="s">
        <v>355</v>
      </c>
      <c r="BG67" s="20">
        <v>42</v>
      </c>
      <c r="BH67" s="20" t="s">
        <v>358</v>
      </c>
      <c r="BI67" s="1"/>
      <c r="BJ67">
        <f>+'10% CO Elab'!AA67</f>
        <v>3.895047320902699E-3</v>
      </c>
      <c r="BK67" s="20">
        <f t="shared" si="35"/>
        <v>21</v>
      </c>
      <c r="BL67" s="20" t="s">
        <v>29</v>
      </c>
      <c r="BM67" s="20" t="str">
        <f t="shared" si="36"/>
        <v>+</v>
      </c>
      <c r="BN67" s="20">
        <f t="shared" si="37"/>
        <v>43</v>
      </c>
      <c r="BO67" s="20" t="str">
        <f t="shared" si="38"/>
        <v>H2</v>
      </c>
      <c r="BP67" s="20" t="str">
        <f t="shared" si="39"/>
        <v>=</v>
      </c>
      <c r="BQ67" s="20">
        <f t="shared" si="40"/>
        <v>1</v>
      </c>
      <c r="BR67" s="20" t="str">
        <f t="shared" si="41"/>
        <v>C21H44</v>
      </c>
      <c r="BS67" s="20" t="str">
        <f t="shared" si="42"/>
        <v>+</v>
      </c>
      <c r="BT67" s="20">
        <f t="shared" si="47"/>
        <v>21</v>
      </c>
      <c r="BU67" s="20" t="str">
        <f t="shared" si="43"/>
        <v>H2O</v>
      </c>
      <c r="BW67">
        <f t="shared" si="44"/>
        <v>2.5133378643929619E-2</v>
      </c>
      <c r="BX67">
        <f t="shared" si="45"/>
        <v>8.1795993738956685E-2</v>
      </c>
    </row>
    <row r="68" spans="5:76" x14ac:dyDescent="0.25">
      <c r="E68">
        <f>+'5% CO Elab'!R68</f>
        <v>63</v>
      </c>
      <c r="F68">
        <f>+'5% CO Elab'!S68</f>
        <v>22</v>
      </c>
      <c r="G68" t="str">
        <f>+'5% CO Elab'!T68</f>
        <v>N-DOCOSANE</v>
      </c>
      <c r="H68" t="str">
        <f>+'5% CO Elab'!U68</f>
        <v>C22H46</v>
      </c>
      <c r="I68" t="str">
        <f>+'5% CO Elab'!V68</f>
        <v>C22</v>
      </c>
      <c r="J68">
        <f>+'5% CO Elab'!W68</f>
        <v>1.1336635373232725E-2</v>
      </c>
      <c r="L68">
        <f>+'5% CO Elab'!AB68</f>
        <v>7.4530208068679252E-4</v>
      </c>
      <c r="M68" s="20">
        <v>22</v>
      </c>
      <c r="N68" s="20" t="s">
        <v>354</v>
      </c>
      <c r="O68" s="20" t="s">
        <v>355</v>
      </c>
      <c r="P68" s="20">
        <v>67</v>
      </c>
      <c r="Q68" s="20" t="s">
        <v>356</v>
      </c>
      <c r="R68" s="20" t="s">
        <v>357</v>
      </c>
      <c r="S68" s="20">
        <v>1</v>
      </c>
      <c r="T68" s="20" t="s">
        <v>313</v>
      </c>
      <c r="U68" s="20" t="s">
        <v>355</v>
      </c>
      <c r="V68" s="20">
        <v>44</v>
      </c>
      <c r="W68" s="20" t="s">
        <v>358</v>
      </c>
      <c r="X68" s="1"/>
      <c r="Y68">
        <f>+'5% CO Elab'!AA68</f>
        <v>2.4007940692941142E-3</v>
      </c>
      <c r="Z68" s="20">
        <f t="shared" si="24"/>
        <v>22</v>
      </c>
      <c r="AA68" s="20" t="s">
        <v>29</v>
      </c>
      <c r="AB68" s="20" t="str">
        <f t="shared" si="25"/>
        <v>+</v>
      </c>
      <c r="AC68" s="20">
        <f t="shared" si="26"/>
        <v>45</v>
      </c>
      <c r="AD68" s="20" t="str">
        <f t="shared" si="27"/>
        <v>H2</v>
      </c>
      <c r="AE68" s="20" t="str">
        <f t="shared" si="28"/>
        <v>=</v>
      </c>
      <c r="AF68" s="20">
        <f t="shared" si="29"/>
        <v>1</v>
      </c>
      <c r="AG68" s="20" t="str">
        <f t="shared" si="30"/>
        <v>C22H46</v>
      </c>
      <c r="AH68" s="20" t="str">
        <f t="shared" si="31"/>
        <v>+</v>
      </c>
      <c r="AI68" s="20">
        <f t="shared" si="46"/>
        <v>22</v>
      </c>
      <c r="AJ68" s="20" t="str">
        <f t="shared" si="32"/>
        <v>H2O</v>
      </c>
      <c r="AL68">
        <f t="shared" si="33"/>
        <v>3.2793291550218873E-2</v>
      </c>
      <c r="AM68">
        <f t="shared" si="34"/>
        <v>5.2817469524470514E-2</v>
      </c>
      <c r="AP68">
        <f>+'10% CO Elab'!S68</f>
        <v>22</v>
      </c>
      <c r="AQ68" t="str">
        <f>+'10% CO Elab'!T68</f>
        <v>N-DOCOSANE</v>
      </c>
      <c r="AR68" t="str">
        <f>+'10% CO Elab'!U68</f>
        <v>C22H46</v>
      </c>
      <c r="AS68" t="str">
        <f>+'10% CO Elab'!V68</f>
        <v>C22</v>
      </c>
      <c r="AT68">
        <f>+'10% CO Elab'!W68</f>
        <v>1.7293112417036564E-2</v>
      </c>
      <c r="AU68">
        <f>+'10% CO Elab'!X68</f>
        <v>0.3804484731748044</v>
      </c>
      <c r="AW68">
        <f>+'10% CO Elab'!AB68</f>
        <v>5.6421870425148136E-4</v>
      </c>
      <c r="AX68" s="20">
        <v>22</v>
      </c>
      <c r="AY68" s="20" t="s">
        <v>354</v>
      </c>
      <c r="AZ68" s="20" t="s">
        <v>355</v>
      </c>
      <c r="BA68" s="20">
        <v>67</v>
      </c>
      <c r="BB68" s="20" t="s">
        <v>356</v>
      </c>
      <c r="BC68" s="20" t="s">
        <v>357</v>
      </c>
      <c r="BD68" s="20">
        <v>1</v>
      </c>
      <c r="BE68" s="20" t="s">
        <v>313</v>
      </c>
      <c r="BF68" s="20" t="s">
        <v>355</v>
      </c>
      <c r="BG68" s="20">
        <v>44</v>
      </c>
      <c r="BH68" s="20" t="s">
        <v>358</v>
      </c>
      <c r="BI68" s="1"/>
      <c r="BJ68">
        <f>+'10% CO Elab'!AA68</f>
        <v>3.6724731882796882E-3</v>
      </c>
      <c r="BK68" s="20">
        <f t="shared" si="35"/>
        <v>22</v>
      </c>
      <c r="BL68" s="20" t="s">
        <v>29</v>
      </c>
      <c r="BM68" s="20" t="str">
        <f t="shared" si="36"/>
        <v>+</v>
      </c>
      <c r="BN68" s="20">
        <f t="shared" si="37"/>
        <v>45</v>
      </c>
      <c r="BO68" s="20" t="str">
        <f t="shared" si="38"/>
        <v>H2</v>
      </c>
      <c r="BP68" s="20" t="str">
        <f t="shared" si="39"/>
        <v>=</v>
      </c>
      <c r="BQ68" s="20">
        <f t="shared" si="40"/>
        <v>1</v>
      </c>
      <c r="BR68" s="20" t="str">
        <f t="shared" si="41"/>
        <v>C22H46</v>
      </c>
      <c r="BS68" s="20" t="str">
        <f t="shared" si="42"/>
        <v>+</v>
      </c>
      <c r="BT68" s="20">
        <f t="shared" si="47"/>
        <v>22</v>
      </c>
      <c r="BU68" s="20" t="str">
        <f t="shared" si="43"/>
        <v>H2O</v>
      </c>
      <c r="BW68">
        <f t="shared" si="44"/>
        <v>2.4825622987065178E-2</v>
      </c>
      <c r="BX68">
        <f t="shared" si="45"/>
        <v>8.0794410142153134E-2</v>
      </c>
    </row>
    <row r="69" spans="5:76" x14ac:dyDescent="0.25">
      <c r="E69">
        <f>+'5% CO Elab'!R69</f>
        <v>64</v>
      </c>
      <c r="F69">
        <f>+'5% CO Elab'!S69</f>
        <v>23</v>
      </c>
      <c r="G69" t="str">
        <f>+'5% CO Elab'!T69</f>
        <v>N-TRICOSANE</v>
      </c>
      <c r="H69" t="str">
        <f>+'5% CO Elab'!U69</f>
        <v>C23H48</v>
      </c>
      <c r="I69" t="str">
        <f>+'5% CO Elab'!V69</f>
        <v>C23</v>
      </c>
      <c r="J69">
        <f>+'5% CO Elab'!W69</f>
        <v>1.0077009220651311E-2</v>
      </c>
      <c r="L69">
        <f>+'5% CO Elab'!AB69</f>
        <v>6.9260395376954465E-4</v>
      </c>
      <c r="M69" s="20">
        <v>23</v>
      </c>
      <c r="N69" s="20" t="s">
        <v>354</v>
      </c>
      <c r="O69" s="20" t="s">
        <v>355</v>
      </c>
      <c r="P69" s="20">
        <v>70</v>
      </c>
      <c r="Q69" s="20" t="s">
        <v>356</v>
      </c>
      <c r="R69" s="20" t="s">
        <v>357</v>
      </c>
      <c r="S69" s="20">
        <v>1</v>
      </c>
      <c r="T69" s="20" t="s">
        <v>316</v>
      </c>
      <c r="U69" s="20" t="s">
        <v>355</v>
      </c>
      <c r="V69" s="20">
        <v>46</v>
      </c>
      <c r="W69" s="20" t="s">
        <v>358</v>
      </c>
      <c r="X69" s="1"/>
      <c r="Y69">
        <f>+'5% CO Elab'!AA69</f>
        <v>2.2310409532834193E-3</v>
      </c>
      <c r="Z69" s="20">
        <f t="shared" si="24"/>
        <v>23</v>
      </c>
      <c r="AA69" s="20" t="s">
        <v>29</v>
      </c>
      <c r="AB69" s="20" t="str">
        <f t="shared" si="25"/>
        <v>+</v>
      </c>
      <c r="AC69" s="20">
        <f t="shared" si="26"/>
        <v>47</v>
      </c>
      <c r="AD69" s="20" t="str">
        <f t="shared" si="27"/>
        <v>H2</v>
      </c>
      <c r="AE69" s="20" t="str">
        <f t="shared" si="28"/>
        <v>=</v>
      </c>
      <c r="AF69" s="20">
        <f t="shared" si="29"/>
        <v>1</v>
      </c>
      <c r="AG69" s="20" t="str">
        <f t="shared" si="30"/>
        <v>C23H48</v>
      </c>
      <c r="AH69" s="20" t="str">
        <f t="shared" si="31"/>
        <v>+</v>
      </c>
      <c r="AI69" s="20">
        <f t="shared" si="46"/>
        <v>23</v>
      </c>
      <c r="AJ69" s="20" t="str">
        <f t="shared" si="32"/>
        <v>H2O</v>
      </c>
      <c r="AL69">
        <f t="shared" si="33"/>
        <v>3.1859781873399051E-2</v>
      </c>
      <c r="AM69">
        <f t="shared" si="34"/>
        <v>5.1313941925518643E-2</v>
      </c>
      <c r="AP69">
        <f>+'10% CO Elab'!S69</f>
        <v>23</v>
      </c>
      <c r="AQ69" t="str">
        <f>+'10% CO Elab'!T69</f>
        <v>N-TRICOSANE</v>
      </c>
      <c r="AR69" t="str">
        <f>+'10% CO Elab'!U69</f>
        <v>C23H48</v>
      </c>
      <c r="AS69" t="str">
        <f>+'10% CO Elab'!V69</f>
        <v>C23</v>
      </c>
      <c r="AT69">
        <f>+'10% CO Elab'!W69</f>
        <v>1.5371655481810279E-2</v>
      </c>
      <c r="AU69">
        <f>+'10% CO Elab'!X69</f>
        <v>0.35354807608163641</v>
      </c>
      <c r="AW69">
        <f>+'10% CO Elab'!AB69</f>
        <v>5.2432445243571991E-4</v>
      </c>
      <c r="AX69" s="20">
        <v>23</v>
      </c>
      <c r="AY69" s="20" t="s">
        <v>354</v>
      </c>
      <c r="AZ69" s="20" t="s">
        <v>355</v>
      </c>
      <c r="BA69" s="20">
        <v>70</v>
      </c>
      <c r="BB69" s="20" t="s">
        <v>356</v>
      </c>
      <c r="BC69" s="20" t="s">
        <v>357</v>
      </c>
      <c r="BD69" s="20">
        <v>1</v>
      </c>
      <c r="BE69" s="20" t="s">
        <v>316</v>
      </c>
      <c r="BF69" s="20" t="s">
        <v>355</v>
      </c>
      <c r="BG69" s="20">
        <v>46</v>
      </c>
      <c r="BH69" s="20" t="s">
        <v>358</v>
      </c>
      <c r="BI69" s="1"/>
      <c r="BJ69">
        <f>+'10% CO Elab'!AA69</f>
        <v>3.4128033668861749E-3</v>
      </c>
      <c r="BK69" s="20">
        <f t="shared" si="35"/>
        <v>23</v>
      </c>
      <c r="BL69" s="20" t="s">
        <v>29</v>
      </c>
      <c r="BM69" s="20" t="str">
        <f t="shared" si="36"/>
        <v>+</v>
      </c>
      <c r="BN69" s="20">
        <f t="shared" si="37"/>
        <v>47</v>
      </c>
      <c r="BO69" s="20" t="str">
        <f t="shared" si="38"/>
        <v>H2</v>
      </c>
      <c r="BP69" s="20" t="str">
        <f t="shared" si="39"/>
        <v>=</v>
      </c>
      <c r="BQ69" s="20">
        <f t="shared" si="40"/>
        <v>1</v>
      </c>
      <c r="BR69" s="20" t="str">
        <f t="shared" si="41"/>
        <v>C23H48</v>
      </c>
      <c r="BS69" s="20" t="str">
        <f t="shared" si="42"/>
        <v>+</v>
      </c>
      <c r="BT69" s="20">
        <f t="shared" si="47"/>
        <v>23</v>
      </c>
      <c r="BU69" s="20" t="str">
        <f t="shared" si="43"/>
        <v>H2O</v>
      </c>
      <c r="BW69">
        <f t="shared" si="44"/>
        <v>2.4118924812043117E-2</v>
      </c>
      <c r="BX69">
        <f t="shared" si="45"/>
        <v>7.8494477438382018E-2</v>
      </c>
    </row>
    <row r="70" spans="5:76" x14ac:dyDescent="0.25">
      <c r="E70">
        <f>+'5% CO Elab'!R70</f>
        <v>65</v>
      </c>
      <c r="F70">
        <f>+'5% CO Elab'!S70</f>
        <v>24</v>
      </c>
      <c r="G70" t="str">
        <f>+'5% CO Elab'!T70</f>
        <v>N-TETRACOSANE</v>
      </c>
      <c r="H70" t="str">
        <f>+'5% CO Elab'!U70</f>
        <v>C24H50</v>
      </c>
      <c r="I70" t="str">
        <f>+'5% CO Elab'!V70</f>
        <v>C24</v>
      </c>
      <c r="J70">
        <f>+'5% CO Elab'!W70</f>
        <v>9.4471961443606031E-3</v>
      </c>
      <c r="L70">
        <f>+'5% CO Elab'!AB70</f>
        <v>6.7754734607890221E-4</v>
      </c>
      <c r="M70" s="20">
        <v>24</v>
      </c>
      <c r="N70" s="20" t="s">
        <v>354</v>
      </c>
      <c r="O70" s="20" t="s">
        <v>355</v>
      </c>
      <c r="P70" s="20">
        <v>73</v>
      </c>
      <c r="Q70" s="20" t="s">
        <v>356</v>
      </c>
      <c r="R70" s="20" t="s">
        <v>357</v>
      </c>
      <c r="S70" s="20">
        <v>1</v>
      </c>
      <c r="T70" s="20" t="s">
        <v>319</v>
      </c>
      <c r="U70" s="20" t="s">
        <v>355</v>
      </c>
      <c r="V70" s="20">
        <v>48</v>
      </c>
      <c r="W70" s="20" t="s">
        <v>358</v>
      </c>
      <c r="X70" s="1"/>
      <c r="Y70">
        <f>+'5% CO Elab'!AA70</f>
        <v>2.1825400629946492E-3</v>
      </c>
      <c r="Z70" s="20">
        <f t="shared" si="24"/>
        <v>24</v>
      </c>
      <c r="AA70" s="20" t="s">
        <v>29</v>
      </c>
      <c r="AB70" s="20" t="str">
        <f t="shared" si="25"/>
        <v>+</v>
      </c>
      <c r="AC70" s="20">
        <f t="shared" si="26"/>
        <v>49</v>
      </c>
      <c r="AD70" s="20" t="str">
        <f t="shared" si="27"/>
        <v>H2</v>
      </c>
      <c r="AE70" s="20" t="str">
        <f t="shared" si="28"/>
        <v>=</v>
      </c>
      <c r="AF70" s="20">
        <f t="shared" si="29"/>
        <v>1</v>
      </c>
      <c r="AG70" s="20" t="str">
        <f t="shared" si="30"/>
        <v>C24H50</v>
      </c>
      <c r="AH70" s="20" t="str">
        <f t="shared" si="31"/>
        <v>+</v>
      </c>
      <c r="AI70" s="20">
        <f t="shared" si="46"/>
        <v>24</v>
      </c>
      <c r="AJ70" s="20" t="str">
        <f t="shared" si="32"/>
        <v>H2O</v>
      </c>
      <c r="AL70">
        <f t="shared" si="33"/>
        <v>3.2522272611787306E-2</v>
      </c>
      <c r="AM70">
        <f t="shared" si="34"/>
        <v>5.2380961511871577E-2</v>
      </c>
      <c r="AP70">
        <f>+'10% CO Elab'!S70</f>
        <v>24</v>
      </c>
      <c r="AQ70" t="str">
        <f>+'10% CO Elab'!T70</f>
        <v>N-TETRACOSANE</v>
      </c>
      <c r="AR70" t="str">
        <f>+'10% CO Elab'!U70</f>
        <v>C24H50</v>
      </c>
      <c r="AS70" t="str">
        <f>+'10% CO Elab'!V70</f>
        <v>C24</v>
      </c>
      <c r="AT70">
        <f>+'10% CO Elab'!W70</f>
        <v>1.4410927014197135E-2</v>
      </c>
      <c r="AU70">
        <f>+'10% CO Elab'!X70</f>
        <v>0.34586224834073126</v>
      </c>
      <c r="AW70">
        <f>+'10% CO Elab'!AB70</f>
        <v>5.1292609477407393E-4</v>
      </c>
      <c r="AX70" s="20">
        <v>24</v>
      </c>
      <c r="AY70" s="20" t="s">
        <v>354</v>
      </c>
      <c r="AZ70" s="20" t="s">
        <v>355</v>
      </c>
      <c r="BA70" s="20">
        <v>73</v>
      </c>
      <c r="BB70" s="20" t="s">
        <v>356</v>
      </c>
      <c r="BC70" s="20" t="s">
        <v>357</v>
      </c>
      <c r="BD70" s="20">
        <v>1</v>
      </c>
      <c r="BE70" s="20" t="s">
        <v>319</v>
      </c>
      <c r="BF70" s="20" t="s">
        <v>355</v>
      </c>
      <c r="BG70" s="20">
        <v>48</v>
      </c>
      <c r="BH70" s="20" t="s">
        <v>358</v>
      </c>
      <c r="BI70" s="1"/>
      <c r="BJ70">
        <f>+'10% CO Elab'!AA70</f>
        <v>3.3386119893451709E-3</v>
      </c>
      <c r="BK70" s="20">
        <f t="shared" si="35"/>
        <v>24</v>
      </c>
      <c r="BL70" s="20" t="s">
        <v>29</v>
      </c>
      <c r="BM70" s="20" t="str">
        <f t="shared" si="36"/>
        <v>+</v>
      </c>
      <c r="BN70" s="20">
        <f t="shared" si="37"/>
        <v>49</v>
      </c>
      <c r="BO70" s="20" t="str">
        <f t="shared" si="38"/>
        <v>H2</v>
      </c>
      <c r="BP70" s="20" t="str">
        <f t="shared" si="39"/>
        <v>=</v>
      </c>
      <c r="BQ70" s="20">
        <f t="shared" si="40"/>
        <v>1</v>
      </c>
      <c r="BR70" s="20" t="str">
        <f t="shared" si="41"/>
        <v>C24H50</v>
      </c>
      <c r="BS70" s="20" t="str">
        <f t="shared" si="42"/>
        <v>+</v>
      </c>
      <c r="BT70" s="20">
        <f t="shared" si="47"/>
        <v>24</v>
      </c>
      <c r="BU70" s="20" t="str">
        <f t="shared" si="43"/>
        <v>H2O</v>
      </c>
      <c r="BW70">
        <f t="shared" si="44"/>
        <v>2.4620452549155548E-2</v>
      </c>
      <c r="BX70">
        <f t="shared" si="45"/>
        <v>8.0126687744284109E-2</v>
      </c>
    </row>
    <row r="71" spans="5:76" x14ac:dyDescent="0.25">
      <c r="E71">
        <f>+'5% CO Elab'!R71</f>
        <v>66</v>
      </c>
      <c r="F71">
        <f>+'5% CO Elab'!S71</f>
        <v>25</v>
      </c>
      <c r="G71" t="str">
        <f>+'5% CO Elab'!T71</f>
        <v>N-PENTACOSANE</v>
      </c>
      <c r="H71" t="str">
        <f>+'5% CO Elab'!U71</f>
        <v>C25H52</v>
      </c>
      <c r="I71" t="str">
        <f>+'5% CO Elab'!V71</f>
        <v>C25</v>
      </c>
      <c r="J71">
        <f>+'5% CO Elab'!W71</f>
        <v>8.1875699917791887E-3</v>
      </c>
      <c r="L71">
        <f>+'5% CO Elab'!AB71</f>
        <v>6.1167468743234226E-4</v>
      </c>
      <c r="M71" s="20">
        <v>25</v>
      </c>
      <c r="N71" s="20" t="s">
        <v>354</v>
      </c>
      <c r="O71" s="20" t="s">
        <v>355</v>
      </c>
      <c r="P71" s="20">
        <v>76</v>
      </c>
      <c r="Q71" s="20" t="s">
        <v>356</v>
      </c>
      <c r="R71" s="20" t="s">
        <v>357</v>
      </c>
      <c r="S71" s="20">
        <v>1</v>
      </c>
      <c r="T71" s="20" t="s">
        <v>322</v>
      </c>
      <c r="U71" s="20" t="s">
        <v>355</v>
      </c>
      <c r="V71" s="20">
        <v>50</v>
      </c>
      <c r="W71" s="20" t="s">
        <v>358</v>
      </c>
      <c r="X71" s="1"/>
      <c r="Y71">
        <f>+'5% CO Elab'!AA71</f>
        <v>1.9703486679812803E-3</v>
      </c>
      <c r="Z71" s="20">
        <f t="shared" si="24"/>
        <v>25</v>
      </c>
      <c r="AA71" s="20" t="s">
        <v>29</v>
      </c>
      <c r="AB71" s="20" t="str">
        <f t="shared" si="25"/>
        <v>+</v>
      </c>
      <c r="AC71" s="20">
        <f t="shared" si="26"/>
        <v>51</v>
      </c>
      <c r="AD71" s="20" t="str">
        <f t="shared" si="27"/>
        <v>H2</v>
      </c>
      <c r="AE71" s="20" t="str">
        <f t="shared" si="28"/>
        <v>=</v>
      </c>
      <c r="AF71" s="20">
        <f t="shared" si="29"/>
        <v>1</v>
      </c>
      <c r="AG71" s="20" t="str">
        <f t="shared" si="30"/>
        <v>C25H52</v>
      </c>
      <c r="AH71" s="20" t="str">
        <f t="shared" si="31"/>
        <v>+</v>
      </c>
      <c r="AI71" s="20">
        <f t="shared" si="46"/>
        <v>25</v>
      </c>
      <c r="AJ71" s="20" t="str">
        <f t="shared" si="32"/>
        <v>H2O</v>
      </c>
      <c r="AL71">
        <f t="shared" si="33"/>
        <v>3.0583734371617113E-2</v>
      </c>
      <c r="AM71">
        <f t="shared" si="34"/>
        <v>4.925871669953201E-2</v>
      </c>
      <c r="AP71">
        <f>+'10% CO Elab'!S71</f>
        <v>25</v>
      </c>
      <c r="AQ71" t="str">
        <f>+'10% CO Elab'!T71</f>
        <v>N-PENTACOSANE</v>
      </c>
      <c r="AR71" t="str">
        <f>+'10% CO Elab'!U71</f>
        <v>C25H52</v>
      </c>
      <c r="AS71" t="str">
        <f>+'10% CO Elab'!V71</f>
        <v>C25</v>
      </c>
      <c r="AT71">
        <f>+'10% CO Elab'!W71</f>
        <v>1.248947007897085E-2</v>
      </c>
      <c r="AU71">
        <f>+'10% CO Elab'!X71</f>
        <v>0.31223675197427125</v>
      </c>
      <c r="AW71">
        <f>+'10% CO Elab'!AB71</f>
        <v>4.6305828000437225E-4</v>
      </c>
      <c r="AX71" s="20">
        <v>25</v>
      </c>
      <c r="AY71" s="20" t="s">
        <v>354</v>
      </c>
      <c r="AZ71" s="20" t="s">
        <v>355</v>
      </c>
      <c r="BA71" s="20">
        <v>76</v>
      </c>
      <c r="BB71" s="20" t="s">
        <v>356</v>
      </c>
      <c r="BC71" s="20" t="s">
        <v>357</v>
      </c>
      <c r="BD71" s="20">
        <v>1</v>
      </c>
      <c r="BE71" s="20" t="s">
        <v>322</v>
      </c>
      <c r="BF71" s="20" t="s">
        <v>355</v>
      </c>
      <c r="BG71" s="20">
        <v>50</v>
      </c>
      <c r="BH71" s="20" t="s">
        <v>358</v>
      </c>
      <c r="BI71" s="1"/>
      <c r="BJ71">
        <f>+'10% CO Elab'!AA71</f>
        <v>3.0140247126032795E-3</v>
      </c>
      <c r="BK71" s="20">
        <f t="shared" si="35"/>
        <v>25</v>
      </c>
      <c r="BL71" s="20" t="s">
        <v>29</v>
      </c>
      <c r="BM71" s="20" t="str">
        <f t="shared" si="36"/>
        <v>+</v>
      </c>
      <c r="BN71" s="20">
        <f t="shared" si="37"/>
        <v>51</v>
      </c>
      <c r="BO71" s="20" t="str">
        <f t="shared" si="38"/>
        <v>H2</v>
      </c>
      <c r="BP71" s="20" t="str">
        <f t="shared" si="39"/>
        <v>=</v>
      </c>
      <c r="BQ71" s="20">
        <f t="shared" si="40"/>
        <v>1</v>
      </c>
      <c r="BR71" s="20" t="str">
        <f t="shared" si="41"/>
        <v>C25H52</v>
      </c>
      <c r="BS71" s="20" t="str">
        <f t="shared" si="42"/>
        <v>+</v>
      </c>
      <c r="BT71" s="20">
        <f t="shared" si="47"/>
        <v>25</v>
      </c>
      <c r="BU71" s="20" t="str">
        <f t="shared" si="43"/>
        <v>H2O</v>
      </c>
      <c r="BW71">
        <f t="shared" si="44"/>
        <v>2.3152914000218613E-2</v>
      </c>
      <c r="BX71">
        <f t="shared" si="45"/>
        <v>7.5350617815081983E-2</v>
      </c>
    </row>
    <row r="72" spans="5:76" x14ac:dyDescent="0.25">
      <c r="E72">
        <f>+'5% CO Elab'!R72</f>
        <v>67</v>
      </c>
      <c r="F72">
        <f>+'5% CO Elab'!S72</f>
        <v>26</v>
      </c>
      <c r="G72" t="str">
        <f>+'5% CO Elab'!T72</f>
        <v>N-HEXACOSANE</v>
      </c>
      <c r="H72" t="str">
        <f>+'5% CO Elab'!U72</f>
        <v>C26H54</v>
      </c>
      <c r="I72" t="str">
        <f>+'5% CO Elab'!V72</f>
        <v>C26</v>
      </c>
      <c r="J72">
        <f>+'5% CO Elab'!W72</f>
        <v>6.9279438391977761E-3</v>
      </c>
      <c r="L72">
        <f>+'5% CO Elab'!AB72</f>
        <v>5.382737249404612E-4</v>
      </c>
      <c r="M72" s="20">
        <v>26</v>
      </c>
      <c r="N72" s="20" t="s">
        <v>354</v>
      </c>
      <c r="O72" s="20" t="s">
        <v>355</v>
      </c>
      <c r="P72" s="20">
        <v>79</v>
      </c>
      <c r="Q72" s="20" t="s">
        <v>356</v>
      </c>
      <c r="R72" s="20" t="s">
        <v>357</v>
      </c>
      <c r="S72" s="20">
        <v>1</v>
      </c>
      <c r="T72" s="20" t="s">
        <v>325</v>
      </c>
      <c r="U72" s="20" t="s">
        <v>355</v>
      </c>
      <c r="V72" s="20">
        <v>52</v>
      </c>
      <c r="W72" s="20" t="s">
        <v>358</v>
      </c>
      <c r="X72" s="1"/>
      <c r="Y72">
        <f>+'5% CO Elab'!AA72</f>
        <v>1.7339068278235269E-3</v>
      </c>
      <c r="Z72" s="20">
        <f t="shared" si="24"/>
        <v>26</v>
      </c>
      <c r="AA72" s="20" t="s">
        <v>29</v>
      </c>
      <c r="AB72" s="20" t="str">
        <f t="shared" si="25"/>
        <v>+</v>
      </c>
      <c r="AC72" s="20">
        <f t="shared" si="26"/>
        <v>53</v>
      </c>
      <c r="AD72" s="20" t="str">
        <f t="shared" si="27"/>
        <v>H2</v>
      </c>
      <c r="AE72" s="20" t="str">
        <f t="shared" si="28"/>
        <v>=</v>
      </c>
      <c r="AF72" s="20">
        <f t="shared" si="29"/>
        <v>1</v>
      </c>
      <c r="AG72" s="20" t="str">
        <f t="shared" si="30"/>
        <v>C26H54</v>
      </c>
      <c r="AH72" s="20" t="str">
        <f t="shared" si="31"/>
        <v>+</v>
      </c>
      <c r="AI72" s="20">
        <f t="shared" si="46"/>
        <v>26</v>
      </c>
      <c r="AJ72" s="20" t="str">
        <f t="shared" si="32"/>
        <v>H2O</v>
      </c>
      <c r="AL72">
        <f t="shared" si="33"/>
        <v>2.7990233696903982E-2</v>
      </c>
      <c r="AM72">
        <f t="shared" si="34"/>
        <v>4.5081577523411701E-2</v>
      </c>
      <c r="AP72">
        <f>+'10% CO Elab'!S72</f>
        <v>26</v>
      </c>
      <c r="AQ72" t="str">
        <f>+'10% CO Elab'!T72</f>
        <v>N-HEXACOSANE</v>
      </c>
      <c r="AR72" t="str">
        <f>+'10% CO Elab'!U72</f>
        <v>C26H54</v>
      </c>
      <c r="AS72" t="str">
        <f>+'10% CO Elab'!V72</f>
        <v>C26</v>
      </c>
      <c r="AT72">
        <f>+'10% CO Elab'!W72</f>
        <v>1.0568013143744566E-2</v>
      </c>
      <c r="AU72">
        <f>+'10% CO Elab'!X72</f>
        <v>0.2747683417373587</v>
      </c>
      <c r="AW72">
        <f>+'10% CO Elab'!AB72</f>
        <v>4.0749128640384753E-4</v>
      </c>
      <c r="AX72" s="20">
        <v>26</v>
      </c>
      <c r="AY72" s="20" t="s">
        <v>354</v>
      </c>
      <c r="AZ72" s="20" t="s">
        <v>355</v>
      </c>
      <c r="BA72" s="20">
        <v>79</v>
      </c>
      <c r="BB72" s="20" t="s">
        <v>356</v>
      </c>
      <c r="BC72" s="20" t="s">
        <v>357</v>
      </c>
      <c r="BD72" s="20">
        <v>1</v>
      </c>
      <c r="BE72" s="20" t="s">
        <v>325</v>
      </c>
      <c r="BF72" s="20" t="s">
        <v>355</v>
      </c>
      <c r="BG72" s="20">
        <v>52</v>
      </c>
      <c r="BH72" s="20" t="s">
        <v>358</v>
      </c>
      <c r="BI72" s="1"/>
      <c r="BJ72">
        <f>+'10% CO Elab'!AA72</f>
        <v>2.6523417470908856E-3</v>
      </c>
      <c r="BK72" s="20">
        <f t="shared" si="35"/>
        <v>26</v>
      </c>
      <c r="BL72" s="20" t="s">
        <v>29</v>
      </c>
      <c r="BM72" s="20" t="str">
        <f t="shared" si="36"/>
        <v>+</v>
      </c>
      <c r="BN72" s="20">
        <f t="shared" si="37"/>
        <v>53</v>
      </c>
      <c r="BO72" s="20" t="str">
        <f t="shared" si="38"/>
        <v>H2</v>
      </c>
      <c r="BP72" s="20" t="str">
        <f t="shared" si="39"/>
        <v>=</v>
      </c>
      <c r="BQ72" s="20">
        <f t="shared" si="40"/>
        <v>1</v>
      </c>
      <c r="BR72" s="20" t="str">
        <f t="shared" si="41"/>
        <v>C26H54</v>
      </c>
      <c r="BS72" s="20" t="str">
        <f t="shared" si="42"/>
        <v>+</v>
      </c>
      <c r="BT72" s="20">
        <f t="shared" si="47"/>
        <v>26</v>
      </c>
      <c r="BU72" s="20" t="str">
        <f t="shared" si="43"/>
        <v>H2O</v>
      </c>
      <c r="BW72">
        <f t="shared" si="44"/>
        <v>2.1189546893000073E-2</v>
      </c>
      <c r="BX72">
        <f t="shared" si="45"/>
        <v>6.896088542436303E-2</v>
      </c>
    </row>
    <row r="73" spans="5:76" x14ac:dyDescent="0.25">
      <c r="E73">
        <f>+'5% CO Elab'!R73</f>
        <v>68</v>
      </c>
      <c r="F73">
        <f>+'5% CO Elab'!S73</f>
        <v>27</v>
      </c>
      <c r="G73" t="str">
        <f>+'5% CO Elab'!T73</f>
        <v>N-HEPTACOSANE</v>
      </c>
      <c r="H73" t="str">
        <f>+'5% CO Elab'!U73</f>
        <v>C27H56</v>
      </c>
      <c r="I73" t="str">
        <f>+'5% CO Elab'!V73</f>
        <v>C27</v>
      </c>
      <c r="J73">
        <f>+'5% CO Elab'!W73</f>
        <v>5.6683176866163627E-3</v>
      </c>
      <c r="L73">
        <f>+'5% CO Elab'!AB73</f>
        <v>4.5734445860325904E-4</v>
      </c>
      <c r="M73" s="20">
        <v>27</v>
      </c>
      <c r="N73" s="20" t="s">
        <v>354</v>
      </c>
      <c r="O73" s="20" t="s">
        <v>355</v>
      </c>
      <c r="P73" s="20">
        <v>82</v>
      </c>
      <c r="Q73" s="20" t="s">
        <v>356</v>
      </c>
      <c r="R73" s="20" t="s">
        <v>357</v>
      </c>
      <c r="S73" s="20">
        <v>1</v>
      </c>
      <c r="T73" s="20" t="s">
        <v>328</v>
      </c>
      <c r="U73" s="20" t="s">
        <v>355</v>
      </c>
      <c r="V73" s="20">
        <v>54</v>
      </c>
      <c r="W73" s="20" t="s">
        <v>358</v>
      </c>
      <c r="X73" s="1"/>
      <c r="Y73">
        <f>+'5% CO Elab'!AA73</f>
        <v>1.4732145425213883E-3</v>
      </c>
      <c r="Z73" s="20">
        <f t="shared" si="24"/>
        <v>27</v>
      </c>
      <c r="AA73" s="20" t="s">
        <v>29</v>
      </c>
      <c r="AB73" s="20" t="str">
        <f t="shared" si="25"/>
        <v>+</v>
      </c>
      <c r="AC73" s="20">
        <f t="shared" si="26"/>
        <v>55</v>
      </c>
      <c r="AD73" s="20" t="str">
        <f t="shared" si="27"/>
        <v>H2</v>
      </c>
      <c r="AE73" s="20" t="str">
        <f t="shared" si="28"/>
        <v>=</v>
      </c>
      <c r="AF73" s="20">
        <f t="shared" si="29"/>
        <v>1</v>
      </c>
      <c r="AG73" s="20" t="str">
        <f t="shared" si="30"/>
        <v>C27H56</v>
      </c>
      <c r="AH73" s="20" t="str">
        <f t="shared" si="31"/>
        <v>+</v>
      </c>
      <c r="AI73" s="20">
        <f t="shared" si="46"/>
        <v>27</v>
      </c>
      <c r="AJ73" s="20" t="str">
        <f t="shared" si="32"/>
        <v>H2O</v>
      </c>
      <c r="AL73">
        <f t="shared" si="33"/>
        <v>2.4696600764575988E-2</v>
      </c>
      <c r="AM73">
        <f t="shared" si="34"/>
        <v>3.9776792648077486E-2</v>
      </c>
      <c r="AP73">
        <f>+'10% CO Elab'!S73</f>
        <v>27</v>
      </c>
      <c r="AQ73" t="str">
        <f>+'10% CO Elab'!T73</f>
        <v>N-HEPTACOSANE</v>
      </c>
      <c r="AR73" t="str">
        <f>+'10% CO Elab'!U73</f>
        <v>C27H56</v>
      </c>
      <c r="AS73" t="str">
        <f>+'10% CO Elab'!V73</f>
        <v>C27</v>
      </c>
      <c r="AT73">
        <f>+'10% CO Elab'!W73</f>
        <v>8.6465562085182822E-3</v>
      </c>
      <c r="AU73">
        <f>+'10% CO Elab'!X73</f>
        <v>0.23345701762999363</v>
      </c>
      <c r="AW73">
        <f>+'10% CO Elab'!AB73</f>
        <v>3.4622511397249987E-4</v>
      </c>
      <c r="AX73" s="20">
        <v>27</v>
      </c>
      <c r="AY73" s="20" t="s">
        <v>354</v>
      </c>
      <c r="AZ73" s="20" t="s">
        <v>355</v>
      </c>
      <c r="BA73" s="20">
        <v>82</v>
      </c>
      <c r="BB73" s="20" t="s">
        <v>356</v>
      </c>
      <c r="BC73" s="20" t="s">
        <v>357</v>
      </c>
      <c r="BD73" s="20">
        <v>1</v>
      </c>
      <c r="BE73" s="20" t="s">
        <v>328</v>
      </c>
      <c r="BF73" s="20" t="s">
        <v>355</v>
      </c>
      <c r="BG73" s="20">
        <v>54</v>
      </c>
      <c r="BH73" s="20" t="s">
        <v>358</v>
      </c>
      <c r="BI73" s="1"/>
      <c r="BJ73">
        <f>+'10% CO Elab'!AA73</f>
        <v>2.2535630928079906E-3</v>
      </c>
      <c r="BK73" s="20">
        <f t="shared" si="35"/>
        <v>27</v>
      </c>
      <c r="BL73" s="20" t="s">
        <v>29</v>
      </c>
      <c r="BM73" s="20" t="str">
        <f t="shared" si="36"/>
        <v>+</v>
      </c>
      <c r="BN73" s="20">
        <f t="shared" si="37"/>
        <v>55</v>
      </c>
      <c r="BO73" s="20" t="str">
        <f t="shared" si="38"/>
        <v>H2</v>
      </c>
      <c r="BP73" s="20" t="str">
        <f t="shared" si="39"/>
        <v>=</v>
      </c>
      <c r="BQ73" s="20">
        <f t="shared" si="40"/>
        <v>1</v>
      </c>
      <c r="BR73" s="20" t="str">
        <f t="shared" si="41"/>
        <v>C27H56</v>
      </c>
      <c r="BS73" s="20" t="str">
        <f t="shared" si="42"/>
        <v>+</v>
      </c>
      <c r="BT73" s="20">
        <f t="shared" si="47"/>
        <v>27</v>
      </c>
      <c r="BU73" s="20" t="str">
        <f t="shared" si="43"/>
        <v>H2O</v>
      </c>
      <c r="BW73">
        <f t="shared" si="44"/>
        <v>1.8696156154514993E-2</v>
      </c>
      <c r="BX73">
        <f t="shared" si="45"/>
        <v>6.0846203505815745E-2</v>
      </c>
    </row>
    <row r="75" spans="5:76" x14ac:dyDescent="0.25">
      <c r="AL75">
        <f>+SUM(AL6:AL73)</f>
        <v>2.8140200560943671</v>
      </c>
      <c r="AM75">
        <f>+SUM(AM6:AM73)</f>
        <v>4.5292073332692819</v>
      </c>
      <c r="BW75">
        <f>+SUM(BW6:BW73)</f>
        <v>1.7446339212920923</v>
      </c>
      <c r="BX75">
        <f>+SUM(BX6:BX73)</f>
        <v>5.6733805600531353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W72"/>
  <sheetViews>
    <sheetView zoomScale="106" workbookViewId="0">
      <selection activeCell="P5" sqref="P5"/>
    </sheetView>
  </sheetViews>
  <sheetFormatPr defaultColWidth="11" defaultRowHeight="15.75" x14ac:dyDescent="0.25"/>
  <sheetData>
    <row r="1" spans="2:23" x14ac:dyDescent="0.25">
      <c r="T1" t="s">
        <v>23</v>
      </c>
      <c r="U1" t="s">
        <v>23</v>
      </c>
    </row>
    <row r="2" spans="2:23" x14ac:dyDescent="0.25">
      <c r="T2" s="9">
        <f>+SUM(T5:T72)</f>
        <v>0.2314078618541914</v>
      </c>
      <c r="U2" s="9">
        <f>+SUM(U5:U72)</f>
        <v>0.74541938996819401</v>
      </c>
      <c r="W2" t="s">
        <v>383</v>
      </c>
    </row>
    <row r="3" spans="2:23" x14ac:dyDescent="0.25">
      <c r="B3" t="s">
        <v>122</v>
      </c>
      <c r="C3" s="24">
        <v>0.05</v>
      </c>
      <c r="D3" s="24">
        <v>0.1</v>
      </c>
      <c r="E3" s="24">
        <v>0.15</v>
      </c>
      <c r="I3" s="35">
        <v>5.5E-2</v>
      </c>
      <c r="J3" s="24">
        <v>0.09</v>
      </c>
      <c r="K3" s="35">
        <v>5.5E-2</v>
      </c>
      <c r="L3" s="24">
        <v>0.09</v>
      </c>
      <c r="O3" s="38" t="s">
        <v>354</v>
      </c>
      <c r="P3" s="39"/>
      <c r="Q3" s="38" t="s">
        <v>29</v>
      </c>
      <c r="R3" s="39"/>
      <c r="W3">
        <v>5.5E-2</v>
      </c>
    </row>
    <row r="4" spans="2:23" x14ac:dyDescent="0.25">
      <c r="B4">
        <v>1</v>
      </c>
      <c r="C4">
        <v>11.48016244406193</v>
      </c>
      <c r="D4">
        <v>13.67537009250927</v>
      </c>
      <c r="I4" s="38" t="s">
        <v>354</v>
      </c>
      <c r="J4" s="39"/>
      <c r="K4" s="38" t="s">
        <v>29</v>
      </c>
      <c r="L4" s="39"/>
      <c r="O4" t="s">
        <v>384</v>
      </c>
      <c r="P4" t="s">
        <v>385</v>
      </c>
      <c r="Q4" t="s">
        <v>384</v>
      </c>
      <c r="R4" t="s">
        <v>386</v>
      </c>
      <c r="T4" t="s">
        <v>354</v>
      </c>
      <c r="U4" t="s">
        <v>29</v>
      </c>
    </row>
    <row r="5" spans="2:23" x14ac:dyDescent="0.25">
      <c r="B5">
        <v>2</v>
      </c>
      <c r="C5">
        <v>7.748422302624558</v>
      </c>
      <c r="D5">
        <v>9.0679026537862697</v>
      </c>
      <c r="I5">
        <f>+Conv!L6</f>
        <v>3.3720696605982724E-2</v>
      </c>
      <c r="J5">
        <f>+Conv!AW6</f>
        <v>1.8953812956013037E-2</v>
      </c>
      <c r="K5">
        <f>+Conv!Y6</f>
        <v>0.10862232982029044</v>
      </c>
      <c r="L5">
        <f>+Conv!BJ6</f>
        <v>0.12336948309604594</v>
      </c>
      <c r="O5">
        <f t="shared" ref="O5:O36" si="0">+SLOPE(I5:J5,$I$3:$J$3)</f>
        <v>-0.42191096142770546</v>
      </c>
      <c r="P5">
        <f t="shared" ref="P5:P36" si="1">+INTERCEPT(I5:J5,$I$3:$J$3)</f>
        <v>5.6925799484506524E-2</v>
      </c>
      <c r="Q5">
        <f t="shared" ref="Q5:Q36" si="2">+SLOPE(K5:L5,$K$3:$L$3)</f>
        <v>0.4213472364501572</v>
      </c>
      <c r="R5">
        <f t="shared" ref="R5:R36" si="3">+INTERCEPT(K5:L5,$K$3:$L$3)</f>
        <v>8.544823181553178E-2</v>
      </c>
      <c r="T5">
        <f t="shared" ref="T5:T36" si="4">+O5*$W$3+P5</f>
        <v>3.3720696605982724E-2</v>
      </c>
      <c r="U5">
        <f t="shared" ref="U5:U36" si="5">+Q5*$W$3+R5</f>
        <v>0.10862232982029042</v>
      </c>
    </row>
    <row r="6" spans="2:23" x14ac:dyDescent="0.25">
      <c r="B6">
        <v>3</v>
      </c>
      <c r="C6">
        <v>10.523417024091509</v>
      </c>
      <c r="D6">
        <v>12.151740042685219</v>
      </c>
      <c r="I6">
        <f>+Conv!L7</f>
        <v>1.9274301408368007E-3</v>
      </c>
      <c r="J6">
        <f>+Conv!AW7</f>
        <v>1.3795724056439155E-3</v>
      </c>
      <c r="K6">
        <f>+Conv!Y7</f>
        <v>6.2087078125900533E-3</v>
      </c>
      <c r="L6">
        <f>+Conv!BJ7</f>
        <v>8.9795723410821121E-3</v>
      </c>
      <c r="O6">
        <f t="shared" si="0"/>
        <v>-1.5653078148368152E-2</v>
      </c>
      <c r="P6">
        <f t="shared" si="1"/>
        <v>2.7883494389970491E-3</v>
      </c>
      <c r="Q6">
        <f t="shared" si="2"/>
        <v>7.9167557956915963E-2</v>
      </c>
      <c r="R6">
        <f t="shared" si="3"/>
        <v>1.8544921249596755E-3</v>
      </c>
      <c r="T6">
        <f t="shared" si="4"/>
        <v>1.9274301408368007E-3</v>
      </c>
      <c r="U6">
        <f t="shared" si="5"/>
        <v>6.2087078125900533E-3</v>
      </c>
    </row>
    <row r="7" spans="2:23" x14ac:dyDescent="0.25">
      <c r="B7">
        <v>4</v>
      </c>
      <c r="C7">
        <v>8.7544194237415063</v>
      </c>
      <c r="D7">
        <v>9.8909643076389226</v>
      </c>
      <c r="I7">
        <f>+Conv!L8</f>
        <v>4.4976514496276685E-3</v>
      </c>
      <c r="J7">
        <f>+Conv!AW8</f>
        <v>2.525461020882777E-3</v>
      </c>
      <c r="K7">
        <f>+Conv!Y8</f>
        <v>1.4487997827763924E-2</v>
      </c>
      <c r="L7">
        <f>+Conv!BJ8</f>
        <v>1.6438107807045636E-2</v>
      </c>
      <c r="O7">
        <f t="shared" si="0"/>
        <v>-5.634829796413976E-2</v>
      </c>
      <c r="P7">
        <f t="shared" si="1"/>
        <v>7.5968078376553554E-3</v>
      </c>
      <c r="Q7">
        <f t="shared" si="2"/>
        <v>5.5717427979477478E-2</v>
      </c>
      <c r="R7">
        <f t="shared" si="3"/>
        <v>1.1423539288892663E-2</v>
      </c>
      <c r="T7">
        <f t="shared" si="4"/>
        <v>4.4976514496276685E-3</v>
      </c>
      <c r="U7">
        <f t="shared" si="5"/>
        <v>1.4487997827763924E-2</v>
      </c>
    </row>
    <row r="8" spans="2:23" x14ac:dyDescent="0.25">
      <c r="B8">
        <v>5</v>
      </c>
      <c r="C8">
        <v>8.1545512951124035</v>
      </c>
      <c r="D8">
        <v>8.1091381769103226</v>
      </c>
      <c r="I8">
        <f>+Conv!L9</f>
        <v>1.7729998181027249E-2</v>
      </c>
      <c r="J8">
        <f>+Conv!AW9</f>
        <v>1.1073163962558743E-2</v>
      </c>
      <c r="K8">
        <f>+Conv!Y9</f>
        <v>5.711251261016366E-2</v>
      </c>
      <c r="L8">
        <f>+Conv!BJ9</f>
        <v>7.207470694519269E-2</v>
      </c>
      <c r="O8">
        <f t="shared" si="0"/>
        <v>-0.19019526338481449</v>
      </c>
      <c r="P8">
        <f t="shared" si="1"/>
        <v>2.8190737667192045E-2</v>
      </c>
      <c r="Q8">
        <f t="shared" si="2"/>
        <v>0.42749126671511511</v>
      </c>
      <c r="R8">
        <f t="shared" si="3"/>
        <v>3.3600492940832324E-2</v>
      </c>
      <c r="T8">
        <f t="shared" si="4"/>
        <v>1.7729998181027246E-2</v>
      </c>
      <c r="U8">
        <f t="shared" si="5"/>
        <v>5.711251261016366E-2</v>
      </c>
    </row>
    <row r="9" spans="2:23" x14ac:dyDescent="0.25">
      <c r="B9">
        <v>6</v>
      </c>
      <c r="C9">
        <v>5.9653867968408427</v>
      </c>
      <c r="D9">
        <v>6.5805558859871054</v>
      </c>
      <c r="I9">
        <f>+Conv!L10</f>
        <v>2.9235784943332016E-3</v>
      </c>
      <c r="J9">
        <f>+Conv!AW10</f>
        <v>1.7358701245349093E-3</v>
      </c>
      <c r="K9">
        <f>+Conv!Y10</f>
        <v>9.417536985597939E-3</v>
      </c>
      <c r="L9">
        <f>+Conv!BJ10</f>
        <v>1.1298697548758977E-2</v>
      </c>
      <c r="O9">
        <f t="shared" si="0"/>
        <v>-3.393452485137978E-2</v>
      </c>
      <c r="P9">
        <f t="shared" si="1"/>
        <v>4.7899773611590896E-3</v>
      </c>
      <c r="Q9">
        <f t="shared" si="2"/>
        <v>5.3747444661743964E-2</v>
      </c>
      <c r="R9">
        <f t="shared" si="3"/>
        <v>6.4614275292020212E-3</v>
      </c>
      <c r="T9">
        <f t="shared" si="4"/>
        <v>2.9235784943332016E-3</v>
      </c>
      <c r="U9">
        <f t="shared" si="5"/>
        <v>9.417536985597939E-3</v>
      </c>
    </row>
    <row r="10" spans="2:23" x14ac:dyDescent="0.25">
      <c r="B10">
        <v>7</v>
      </c>
      <c r="C10">
        <v>4.1818169482805789</v>
      </c>
      <c r="D10">
        <v>3.9175019728170488</v>
      </c>
      <c r="I10">
        <f>+Conv!L11</f>
        <v>2.6737461855558593E-2</v>
      </c>
      <c r="J10">
        <f>+Conv!AW11</f>
        <v>1.6551063437402799E-2</v>
      </c>
      <c r="K10">
        <f>+Conv!Y11</f>
        <v>8.6127680995672029E-2</v>
      </c>
      <c r="L10">
        <f>+Conv!BJ11</f>
        <v>0.10773009872477736</v>
      </c>
      <c r="O10">
        <f t="shared" si="0"/>
        <v>-0.29103995480445127</v>
      </c>
      <c r="P10">
        <f t="shared" si="1"/>
        <v>4.2744659369803414E-2</v>
      </c>
      <c r="Q10">
        <f t="shared" si="2"/>
        <v>0.61721193511729522</v>
      </c>
      <c r="R10">
        <f t="shared" si="3"/>
        <v>5.2181024564220788E-2</v>
      </c>
      <c r="T10">
        <f t="shared" si="4"/>
        <v>2.6737461855558593E-2</v>
      </c>
      <c r="U10">
        <f t="shared" si="5"/>
        <v>8.6127680995672029E-2</v>
      </c>
    </row>
    <row r="11" spans="2:23" x14ac:dyDescent="0.25">
      <c r="B11">
        <v>8</v>
      </c>
      <c r="C11">
        <v>5.5572888564200777</v>
      </c>
      <c r="D11">
        <v>5.2185092451084092</v>
      </c>
      <c r="I11">
        <f>+Conv!L12</f>
        <v>2.8029811826290325E-3</v>
      </c>
      <c r="J11">
        <f>+Conv!AW12</f>
        <v>1.6645289263144372E-3</v>
      </c>
      <c r="K11">
        <f>+Conv!Y12</f>
        <v>9.0290645551367437E-3</v>
      </c>
      <c r="L11">
        <f>+Conv!BJ12</f>
        <v>1.0834341022273365E-2</v>
      </c>
      <c r="O11">
        <f t="shared" si="0"/>
        <v>-3.2527207323274153E-2</v>
      </c>
      <c r="P11">
        <f t="shared" si="1"/>
        <v>4.5919775854091106E-3</v>
      </c>
      <c r="Q11">
        <f t="shared" si="2"/>
        <v>5.1579327632474886E-2</v>
      </c>
      <c r="R11">
        <f t="shared" si="3"/>
        <v>6.1922015353506245E-3</v>
      </c>
      <c r="T11">
        <f t="shared" si="4"/>
        <v>2.8029811826290321E-3</v>
      </c>
      <c r="U11">
        <f t="shared" si="5"/>
        <v>9.0290645551367437E-3</v>
      </c>
    </row>
    <row r="12" spans="2:23" x14ac:dyDescent="0.25">
      <c r="B12">
        <v>9</v>
      </c>
      <c r="C12">
        <v>5.6774426656605854</v>
      </c>
      <c r="D12">
        <v>5.1379563487981272</v>
      </c>
      <c r="I12">
        <f>+Conv!L13</f>
        <v>8.338149667977895E-5</v>
      </c>
      <c r="J12">
        <f>+Conv!AW13</f>
        <v>4.5669883394406589E-5</v>
      </c>
      <c r="K12">
        <f>+Conv!Y13</f>
        <v>2.6859149854138812E-4</v>
      </c>
      <c r="L12">
        <f>+Conv!BJ13</f>
        <v>2.9726313752807072E-4</v>
      </c>
      <c r="O12">
        <f t="shared" si="0"/>
        <v>-1.0774746652963533E-3</v>
      </c>
      <c r="P12">
        <f t="shared" si="1"/>
        <v>1.4264260327107839E-4</v>
      </c>
      <c r="Q12">
        <f t="shared" si="2"/>
        <v>8.1918968533378875E-4</v>
      </c>
      <c r="R12">
        <f t="shared" si="3"/>
        <v>2.235360658480297E-4</v>
      </c>
      <c r="T12">
        <f t="shared" si="4"/>
        <v>8.338149667977895E-5</v>
      </c>
      <c r="U12">
        <f t="shared" si="5"/>
        <v>2.6859149854138807E-4</v>
      </c>
    </row>
    <row r="13" spans="2:23" x14ac:dyDescent="0.25">
      <c r="B13">
        <v>10</v>
      </c>
      <c r="C13">
        <v>5.0040531640984742</v>
      </c>
      <c r="D13">
        <v>4.8319071184768339</v>
      </c>
      <c r="I13">
        <f>+Conv!L14</f>
        <v>2.1071610651295765E-2</v>
      </c>
      <c r="J13">
        <f>+Conv!AW14</f>
        <v>1.3105611024820859E-2</v>
      </c>
      <c r="K13">
        <f>+Conv!Y14</f>
        <v>6.7876635787046766E-2</v>
      </c>
      <c r="L13">
        <f>+Conv!BJ14</f>
        <v>8.5303809926912624E-2</v>
      </c>
      <c r="O13">
        <f t="shared" si="0"/>
        <v>-0.22759998932785447</v>
      </c>
      <c r="P13">
        <f t="shared" si="1"/>
        <v>3.3589610064327757E-2</v>
      </c>
      <c r="Q13">
        <f t="shared" si="2"/>
        <v>0.49791926113902463</v>
      </c>
      <c r="R13">
        <f t="shared" si="3"/>
        <v>4.0491076424400411E-2</v>
      </c>
      <c r="T13">
        <f t="shared" si="4"/>
        <v>2.1071610651295761E-2</v>
      </c>
      <c r="U13">
        <f t="shared" si="5"/>
        <v>6.7876635787046766E-2</v>
      </c>
    </row>
    <row r="14" spans="2:23" x14ac:dyDescent="0.25">
      <c r="B14">
        <v>11</v>
      </c>
      <c r="C14">
        <v>3.7565895334104149</v>
      </c>
      <c r="D14">
        <v>3.7645792885362162</v>
      </c>
      <c r="I14">
        <f>+Conv!L15</f>
        <v>2.261909607682952E-3</v>
      </c>
      <c r="J14">
        <f>+Conv!AW15</f>
        <v>1.9470618233730942E-4</v>
      </c>
      <c r="K14">
        <f>+Conv!Y15</f>
        <v>7.2861451914913991E-3</v>
      </c>
      <c r="L14">
        <f>+Conv!BJ15</f>
        <v>1.2673334450595498E-3</v>
      </c>
      <c r="O14">
        <f t="shared" si="0"/>
        <v>-5.906295500987551E-2</v>
      </c>
      <c r="P14">
        <f t="shared" si="1"/>
        <v>5.510372133226105E-3</v>
      </c>
      <c r="Q14">
        <f t="shared" si="2"/>
        <v>-0.17196604989805286</v>
      </c>
      <c r="R14">
        <f t="shared" si="3"/>
        <v>1.6744277935884306E-2</v>
      </c>
      <c r="T14">
        <f t="shared" si="4"/>
        <v>2.261909607682952E-3</v>
      </c>
      <c r="U14">
        <f t="shared" si="5"/>
        <v>7.2861451914913982E-3</v>
      </c>
    </row>
    <row r="15" spans="2:23" x14ac:dyDescent="0.25">
      <c r="B15">
        <v>12</v>
      </c>
      <c r="C15">
        <v>2.7501308321211799</v>
      </c>
      <c r="D15">
        <v>2.9197024154560451</v>
      </c>
      <c r="I15">
        <f>+Conv!L16</f>
        <v>3.0075813702351556E-4</v>
      </c>
      <c r="J15">
        <f>+Conv!AW16</f>
        <v>6.5137502489284998E-4</v>
      </c>
      <c r="K15">
        <f>+Conv!Y16</f>
        <v>9.6881300934062778E-4</v>
      </c>
      <c r="L15">
        <f>+Conv!BJ16</f>
        <v>4.2397696077934059E-3</v>
      </c>
      <c r="O15">
        <f t="shared" si="0"/>
        <v>1.0017625367695271E-2</v>
      </c>
      <c r="P15">
        <f t="shared" si="1"/>
        <v>-2.5021125819972437E-4</v>
      </c>
      <c r="Q15">
        <f t="shared" si="2"/>
        <v>9.3455902812936517E-2</v>
      </c>
      <c r="R15">
        <f t="shared" si="3"/>
        <v>-4.1712616453708808E-3</v>
      </c>
      <c r="T15">
        <f t="shared" si="4"/>
        <v>3.0075813702351551E-4</v>
      </c>
      <c r="U15">
        <f t="shared" si="5"/>
        <v>9.6881300934062789E-4</v>
      </c>
    </row>
    <row r="16" spans="2:23" x14ac:dyDescent="0.25">
      <c r="B16">
        <v>13</v>
      </c>
      <c r="C16">
        <v>1.7059387047286321</v>
      </c>
      <c r="D16">
        <v>2.008457397463808</v>
      </c>
      <c r="I16">
        <f>+Conv!L17</f>
        <v>2.0543836491104365E-2</v>
      </c>
      <c r="J16">
        <f>+Conv!AW17</f>
        <v>1.0841203186115271E-2</v>
      </c>
      <c r="K16">
        <f>+Conv!Y17</f>
        <v>6.6176550537658252E-2</v>
      </c>
      <c r="L16">
        <f>+Conv!BJ17</f>
        <v>7.056488508745877E-2</v>
      </c>
      <c r="O16">
        <f t="shared" si="0"/>
        <v>-0.27721809442825984</v>
      </c>
      <c r="P16">
        <f t="shared" si="1"/>
        <v>3.5790831684658658E-2</v>
      </c>
      <c r="Q16">
        <f t="shared" si="2"/>
        <v>0.12538098713715767</v>
      </c>
      <c r="R16">
        <f t="shared" si="3"/>
        <v>5.9280596245114586E-2</v>
      </c>
      <c r="T16">
        <f t="shared" si="4"/>
        <v>2.0543836491104368E-2</v>
      </c>
      <c r="U16">
        <f t="shared" si="5"/>
        <v>6.6176550537658252E-2</v>
      </c>
    </row>
    <row r="17" spans="2:21" x14ac:dyDescent="0.25">
      <c r="B17">
        <v>14</v>
      </c>
      <c r="C17">
        <v>1.426363715500365</v>
      </c>
      <c r="D17">
        <v>1.7765787864755529</v>
      </c>
      <c r="I17">
        <f>+Conv!L18</f>
        <v>1.2579686190674006E-4</v>
      </c>
      <c r="J17">
        <f>+Conv!AW18</f>
        <v>6.8901713730647741E-5</v>
      </c>
      <c r="K17">
        <f>+Conv!Y18</f>
        <v>4.0522140998614837E-4</v>
      </c>
      <c r="L17">
        <f>+Conv!BJ18</f>
        <v>4.4847803590279851E-4</v>
      </c>
      <c r="O17">
        <f t="shared" si="0"/>
        <v>-1.6255756621740662E-3</v>
      </c>
      <c r="P17">
        <f t="shared" si="1"/>
        <v>2.1520352332631367E-4</v>
      </c>
      <c r="Q17">
        <f t="shared" si="2"/>
        <v>1.2359035976185755E-3</v>
      </c>
      <c r="R17">
        <f t="shared" si="3"/>
        <v>3.3724671211712674E-4</v>
      </c>
      <c r="T17">
        <f t="shared" si="4"/>
        <v>1.2579686190674003E-4</v>
      </c>
      <c r="U17">
        <f t="shared" si="5"/>
        <v>4.0522140998614843E-4</v>
      </c>
    </row>
    <row r="18" spans="2:21" x14ac:dyDescent="0.25">
      <c r="B18">
        <v>15</v>
      </c>
      <c r="C18">
        <v>1.3460003018717059</v>
      </c>
      <c r="D18">
        <v>1.680023964677773</v>
      </c>
      <c r="I18">
        <f>+Conv!L19</f>
        <v>7.4213140675966002E-3</v>
      </c>
      <c r="J18">
        <f>+Conv!AW19</f>
        <v>3.0624431601565787E-3</v>
      </c>
      <c r="K18">
        <f>+Conv!Y19</f>
        <v>2.3905805795465602E-2</v>
      </c>
      <c r="L18">
        <f>+Conv!BJ19</f>
        <v>1.9933299466252191E-2</v>
      </c>
      <c r="O18">
        <f t="shared" si="0"/>
        <v>-0.12453916878400063</v>
      </c>
      <c r="P18">
        <f t="shared" si="1"/>
        <v>1.4270968350716635E-2</v>
      </c>
      <c r="Q18">
        <f t="shared" si="2"/>
        <v>-0.11350018083466891</v>
      </c>
      <c r="R18">
        <f t="shared" si="3"/>
        <v>3.0148315741372389E-2</v>
      </c>
      <c r="T18">
        <f t="shared" si="4"/>
        <v>7.4213140675966002E-3</v>
      </c>
      <c r="U18">
        <f t="shared" si="5"/>
        <v>2.3905805795465598E-2</v>
      </c>
    </row>
    <row r="19" spans="2:21" x14ac:dyDescent="0.25">
      <c r="B19">
        <v>16</v>
      </c>
      <c r="C19">
        <v>1.3240188731704929</v>
      </c>
      <c r="D19">
        <v>1.599876916915457</v>
      </c>
      <c r="I19">
        <f>+Conv!L20</f>
        <v>8.9733177074555407E-5</v>
      </c>
      <c r="J19">
        <f>+Conv!AW20</f>
        <v>4.3704834455365646E-5</v>
      </c>
      <c r="K19">
        <f>+Conv!Y20</f>
        <v>2.8905176159040453E-4</v>
      </c>
      <c r="L19">
        <f>+Conv!BJ20</f>
        <v>2.8447272578186822E-4</v>
      </c>
      <c r="O19">
        <f t="shared" si="0"/>
        <v>-1.3150955034054218E-3</v>
      </c>
      <c r="P19">
        <f t="shared" si="1"/>
        <v>1.620634297618536E-4</v>
      </c>
      <c r="Q19">
        <f t="shared" si="2"/>
        <v>-1.3082959452960884E-4</v>
      </c>
      <c r="R19">
        <f t="shared" si="3"/>
        <v>2.9624738928953298E-4</v>
      </c>
      <c r="T19">
        <f t="shared" si="4"/>
        <v>8.9733177074555393E-5</v>
      </c>
      <c r="U19">
        <f t="shared" si="5"/>
        <v>2.8905176159040448E-4</v>
      </c>
    </row>
    <row r="20" spans="2:21" x14ac:dyDescent="0.25">
      <c r="B20">
        <v>17</v>
      </c>
      <c r="C20">
        <v>1.0992941296813239</v>
      </c>
      <c r="D20">
        <v>1.364388902139104</v>
      </c>
      <c r="I20">
        <f>+Conv!L21</f>
        <v>7.5713316807712455E-3</v>
      </c>
      <c r="J20">
        <f>+Conv!AW21</f>
        <v>5.6107690254003145E-3</v>
      </c>
      <c r="K20">
        <f>+Conv!Y21</f>
        <v>2.4389047967106212E-2</v>
      </c>
      <c r="L20">
        <f>+Conv!BJ21</f>
        <v>3.6520233477103335E-2</v>
      </c>
      <c r="O20">
        <f t="shared" si="0"/>
        <v>-5.6016075867740892E-2</v>
      </c>
      <c r="P20">
        <f t="shared" si="1"/>
        <v>1.0652215853496995E-2</v>
      </c>
      <c r="Q20">
        <f t="shared" si="2"/>
        <v>0.34660530028563213</v>
      </c>
      <c r="R20">
        <f t="shared" si="3"/>
        <v>5.3257564513964455E-3</v>
      </c>
      <c r="T20">
        <f t="shared" si="4"/>
        <v>7.5713316807712455E-3</v>
      </c>
      <c r="U20">
        <f t="shared" si="5"/>
        <v>2.4389047967106212E-2</v>
      </c>
    </row>
    <row r="21" spans="2:21" x14ac:dyDescent="0.25">
      <c r="B21">
        <v>18</v>
      </c>
      <c r="C21">
        <v>0.9864688227423144</v>
      </c>
      <c r="D21">
        <v>1.2535174223950181</v>
      </c>
      <c r="I21">
        <f>+Conv!L22</f>
        <v>4.0443733231905712E-5</v>
      </c>
      <c r="J21">
        <f>+Conv!AW22</f>
        <v>2.2151924039324127E-5</v>
      </c>
      <c r="K21">
        <f>+Conv!Y22</f>
        <v>1.3027881901764984E-4</v>
      </c>
      <c r="L21">
        <f>+Conv!BJ22</f>
        <v>1.4418583873633179E-4</v>
      </c>
      <c r="O21">
        <f t="shared" si="0"/>
        <v>-5.2262311978804542E-4</v>
      </c>
      <c r="P21">
        <f t="shared" si="1"/>
        <v>6.9188004820248207E-5</v>
      </c>
      <c r="Q21">
        <f t="shared" si="2"/>
        <v>3.9734342053376984E-4</v>
      </c>
      <c r="R21">
        <f t="shared" si="3"/>
        <v>1.0842493088829251E-4</v>
      </c>
      <c r="T21">
        <f t="shared" si="4"/>
        <v>4.0443733231905712E-5</v>
      </c>
      <c r="U21">
        <f t="shared" si="5"/>
        <v>1.3027881901764984E-4</v>
      </c>
    </row>
    <row r="22" spans="2:21" x14ac:dyDescent="0.25">
      <c r="B22">
        <v>19</v>
      </c>
      <c r="C22">
        <v>0.38627856231038582</v>
      </c>
      <c r="D22">
        <v>0.49084866808837091</v>
      </c>
      <c r="I22">
        <f>+Conv!L23</f>
        <v>4.873975401110037E-4</v>
      </c>
      <c r="J22">
        <f>+Conv!AW23</f>
        <v>2.6695837457890492E-4</v>
      </c>
      <c r="K22">
        <f>+Conv!Y23</f>
        <v>1.5700226176864529E-3</v>
      </c>
      <c r="L22">
        <f>+Conv!BJ23</f>
        <v>1.7376195890712186E-3</v>
      </c>
      <c r="O22">
        <f t="shared" si="0"/>
        <v>-6.2982618723456795E-3</v>
      </c>
      <c r="P22">
        <f t="shared" si="1"/>
        <v>8.3380194309001603E-4</v>
      </c>
      <c r="Q22">
        <f t="shared" si="2"/>
        <v>4.7884848967075918E-3</v>
      </c>
      <c r="R22">
        <f t="shared" si="3"/>
        <v>1.3066559483675352E-3</v>
      </c>
      <c r="T22">
        <f t="shared" si="4"/>
        <v>4.8739754011100365E-4</v>
      </c>
      <c r="U22">
        <f t="shared" si="5"/>
        <v>1.5700226176864527E-3</v>
      </c>
    </row>
    <row r="23" spans="2:21" x14ac:dyDescent="0.25">
      <c r="B23">
        <v>20</v>
      </c>
      <c r="C23">
        <v>0.31821574927171631</v>
      </c>
      <c r="D23">
        <v>0.40436045883710497</v>
      </c>
      <c r="I23">
        <f>+Conv!L24</f>
        <v>7.644050458784471E-7</v>
      </c>
      <c r="J23">
        <f>+Conv!AW24</f>
        <v>1.5940395171939096E-7</v>
      </c>
      <c r="K23">
        <f>+Conv!Y24</f>
        <v>2.4623292329901479E-6</v>
      </c>
      <c r="L23">
        <f>+Conv!BJ24</f>
        <v>1.0375528751247638E-6</v>
      </c>
      <c r="O23">
        <f t="shared" si="0"/>
        <v>-1.7285745547401604E-5</v>
      </c>
      <c r="P23">
        <f t="shared" si="1"/>
        <v>1.7151210509855353E-6</v>
      </c>
      <c r="Q23">
        <f t="shared" si="2"/>
        <v>-4.0707895939010984E-5</v>
      </c>
      <c r="R23">
        <f t="shared" si="3"/>
        <v>4.7012635096357523E-6</v>
      </c>
      <c r="T23">
        <f t="shared" si="4"/>
        <v>7.644050458784471E-7</v>
      </c>
      <c r="U23">
        <f t="shared" si="5"/>
        <v>2.4623292329901483E-6</v>
      </c>
    </row>
    <row r="24" spans="2:21" x14ac:dyDescent="0.25">
      <c r="B24">
        <v>21</v>
      </c>
      <c r="C24">
        <v>0.2784387806127499</v>
      </c>
      <c r="D24">
        <v>0.35381540148246471</v>
      </c>
      <c r="I24">
        <f>+Conv!L25</f>
        <v>4.8261998655697103E-3</v>
      </c>
      <c r="J24">
        <f>+Conv!AW25</f>
        <v>2.6490602780515227E-3</v>
      </c>
      <c r="K24">
        <f>+Conv!Y25</f>
        <v>1.5546329890573645E-2</v>
      </c>
      <c r="L24">
        <f>+Conv!BJ25</f>
        <v>1.7242609597970294E-2</v>
      </c>
      <c r="O24">
        <f t="shared" si="0"/>
        <v>-6.2203988214805363E-2</v>
      </c>
      <c r="P24">
        <f t="shared" si="1"/>
        <v>8.2474192173840055E-3</v>
      </c>
      <c r="Q24">
        <f t="shared" si="2"/>
        <v>4.8465134497047105E-2</v>
      </c>
      <c r="R24">
        <f t="shared" si="3"/>
        <v>1.2880747493236054E-2</v>
      </c>
      <c r="T24">
        <f t="shared" si="4"/>
        <v>4.8261998655697112E-3</v>
      </c>
      <c r="U24">
        <f t="shared" si="5"/>
        <v>1.5546329890573645E-2</v>
      </c>
    </row>
    <row r="25" spans="2:21" x14ac:dyDescent="0.25">
      <c r="B25">
        <v>22</v>
      </c>
      <c r="C25">
        <v>0.27225125215468721</v>
      </c>
      <c r="D25">
        <v>0.3459528370050744</v>
      </c>
      <c r="I25">
        <f>+Conv!L26</f>
        <v>3.3762727602283521E-3</v>
      </c>
      <c r="J25">
        <f>+Conv!AW26</f>
        <v>1.9555626293473625E-3</v>
      </c>
      <c r="K25">
        <f>+Conv!Y26</f>
        <v>1.0875772158862212E-2</v>
      </c>
      <c r="L25">
        <f>+Conv!BJ26</f>
        <v>1.2728665799563599E-2</v>
      </c>
      <c r="O25">
        <f t="shared" si="0"/>
        <v>-4.0591718025171135E-2</v>
      </c>
      <c r="P25">
        <f t="shared" si="1"/>
        <v>5.6088172516127639E-3</v>
      </c>
      <c r="Q25">
        <f t="shared" si="2"/>
        <v>5.2939818305753929E-2</v>
      </c>
      <c r="R25">
        <f t="shared" si="3"/>
        <v>7.9640821520457449E-3</v>
      </c>
      <c r="T25">
        <f t="shared" si="4"/>
        <v>3.3762727602283517E-3</v>
      </c>
      <c r="U25">
        <f t="shared" si="5"/>
        <v>1.087577215886221E-2</v>
      </c>
    </row>
    <row r="26" spans="2:21" x14ac:dyDescent="0.25">
      <c r="B26">
        <v>23</v>
      </c>
      <c r="C26">
        <v>0.26429585842289532</v>
      </c>
      <c r="D26">
        <v>0.33584382553414821</v>
      </c>
      <c r="I26">
        <f>+Conv!L27</f>
        <v>1.2615917035027589E-4</v>
      </c>
      <c r="J26">
        <f>+Conv!AW27</f>
        <v>6.910015805016673E-5</v>
      </c>
      <c r="K26">
        <f>+Conv!Y27</f>
        <v>4.0638849107318156E-4</v>
      </c>
      <c r="L26">
        <f>+Conv!BJ27</f>
        <v>4.4976970070814508E-4</v>
      </c>
      <c r="O26">
        <f t="shared" si="0"/>
        <v>-1.6302574942888334E-3</v>
      </c>
      <c r="P26">
        <f t="shared" si="1"/>
        <v>2.1582333253616172E-4</v>
      </c>
      <c r="Q26">
        <f t="shared" si="2"/>
        <v>1.2394631324275293E-3</v>
      </c>
      <c r="R26">
        <f t="shared" si="3"/>
        <v>3.3821801878966741E-4</v>
      </c>
      <c r="T26">
        <f t="shared" si="4"/>
        <v>1.2615917035027589E-4</v>
      </c>
      <c r="U26">
        <f t="shared" si="5"/>
        <v>4.0638849107318151E-4</v>
      </c>
    </row>
    <row r="27" spans="2:21" x14ac:dyDescent="0.25">
      <c r="B27">
        <v>24</v>
      </c>
      <c r="C27">
        <v>0.29700136598693438</v>
      </c>
      <c r="D27">
        <v>0.37740309491463048</v>
      </c>
      <c r="I27">
        <f>+Conv!L28</f>
        <v>5.1348374804558285E-4</v>
      </c>
      <c r="J27">
        <f>+Conv!AW28</f>
        <v>2.8124636558426899E-4</v>
      </c>
      <c r="K27">
        <f>+Conv!Y28</f>
        <v>1.6540524559528369E-3</v>
      </c>
      <c r="L27">
        <f>+Conv!BJ28</f>
        <v>1.8306194550561524E-3</v>
      </c>
      <c r="O27">
        <f t="shared" si="0"/>
        <v>-6.6353537846089682E-3</v>
      </c>
      <c r="P27">
        <f t="shared" si="1"/>
        <v>8.7842820619907615E-4</v>
      </c>
      <c r="Q27">
        <f t="shared" si="2"/>
        <v>5.0447714029518698E-3</v>
      </c>
      <c r="R27">
        <f t="shared" si="3"/>
        <v>1.3765900287904843E-3</v>
      </c>
      <c r="T27">
        <f t="shared" si="4"/>
        <v>5.1348374804558285E-4</v>
      </c>
      <c r="U27">
        <f t="shared" si="5"/>
        <v>1.6540524559528372E-3</v>
      </c>
    </row>
    <row r="28" spans="2:21" x14ac:dyDescent="0.25">
      <c r="B28">
        <v>25</v>
      </c>
      <c r="C28">
        <v>0.41986800251129092</v>
      </c>
      <c r="D28">
        <v>0.53353116096562292</v>
      </c>
      <c r="I28">
        <f>+Conv!L29</f>
        <v>3.9886146420976446E-4</v>
      </c>
      <c r="J28">
        <f>+Conv!AW29</f>
        <v>2.9725325938297694E-4</v>
      </c>
      <c r="K28">
        <f>+Conv!Y29</f>
        <v>1.284827001774045E-3</v>
      </c>
      <c r="L28">
        <f>+Conv!BJ29</f>
        <v>1.9348075790237588E-3</v>
      </c>
      <c r="O28">
        <f t="shared" si="0"/>
        <v>-2.903091566479644E-3</v>
      </c>
      <c r="P28">
        <f t="shared" si="1"/>
        <v>5.5853150036614492E-4</v>
      </c>
      <c r="Q28">
        <f t="shared" si="2"/>
        <v>1.8570873635706111E-2</v>
      </c>
      <c r="R28">
        <f t="shared" si="3"/>
        <v>2.63428951810209E-4</v>
      </c>
      <c r="T28">
        <f t="shared" si="4"/>
        <v>3.9886146420976452E-4</v>
      </c>
      <c r="U28">
        <f t="shared" si="5"/>
        <v>1.2848270017740452E-3</v>
      </c>
    </row>
    <row r="29" spans="2:21" x14ac:dyDescent="0.25">
      <c r="B29">
        <v>26</v>
      </c>
      <c r="C29">
        <v>0.57455621396281731</v>
      </c>
      <c r="D29">
        <v>0.73009527290032383</v>
      </c>
      <c r="I29">
        <f>+Conv!L30</f>
        <v>2.302933576446765E-3</v>
      </c>
      <c r="J29">
        <f>+Conv!AW30</f>
        <v>1.2613674746725151E-3</v>
      </c>
      <c r="K29">
        <f>+Conv!Y30</f>
        <v>7.4182930862300147E-3</v>
      </c>
      <c r="L29">
        <f>+Conv!BJ30</f>
        <v>8.2101819673779611E-3</v>
      </c>
      <c r="O29">
        <f t="shared" si="0"/>
        <v>-2.9759031479264283E-2</v>
      </c>
      <c r="P29">
        <f t="shared" si="1"/>
        <v>3.9396803078063005E-3</v>
      </c>
      <c r="Q29">
        <f t="shared" si="2"/>
        <v>2.2625396604227046E-2</v>
      </c>
      <c r="R29">
        <f t="shared" si="3"/>
        <v>6.1738962729975273E-3</v>
      </c>
      <c r="T29">
        <f t="shared" si="4"/>
        <v>2.302933576446765E-3</v>
      </c>
      <c r="U29">
        <f t="shared" si="5"/>
        <v>7.4182930862300147E-3</v>
      </c>
    </row>
    <row r="30" spans="2:21" x14ac:dyDescent="0.25">
      <c r="B30">
        <v>27</v>
      </c>
      <c r="C30">
        <v>0.26252799314916292</v>
      </c>
      <c r="D30">
        <v>0.33359737854060778</v>
      </c>
      <c r="I30">
        <f>+Conv!L31</f>
        <v>6.3222317850335557E-3</v>
      </c>
      <c r="J30">
        <f>+Conv!AW31</f>
        <v>3.4628256857005481E-3</v>
      </c>
      <c r="K30">
        <f>+Conv!Y31</f>
        <v>2.0365402120204063E-2</v>
      </c>
      <c r="L30">
        <f>+Conv!BJ31</f>
        <v>2.2539370620994623E-2</v>
      </c>
      <c r="O30">
        <f t="shared" si="0"/>
        <v>-8.1697317123800225E-2</v>
      </c>
      <c r="P30">
        <f t="shared" si="1"/>
        <v>1.0815584226842569E-2</v>
      </c>
      <c r="Q30">
        <f t="shared" si="2"/>
        <v>6.2113385736873153E-2</v>
      </c>
      <c r="R30">
        <f t="shared" si="3"/>
        <v>1.6949165904676041E-2</v>
      </c>
      <c r="T30">
        <f t="shared" si="4"/>
        <v>6.3222317850335566E-3</v>
      </c>
      <c r="U30">
        <f t="shared" si="5"/>
        <v>2.0365402120204063E-2</v>
      </c>
    </row>
    <row r="31" spans="2:21" x14ac:dyDescent="0.25">
      <c r="B31" t="s">
        <v>29</v>
      </c>
      <c r="C31">
        <f>+'5% CO'!E6</f>
        <v>13.424828135682761</v>
      </c>
      <c r="D31">
        <f>+'10% CO'!E6</f>
        <v>8.8726193456611924</v>
      </c>
      <c r="I31">
        <f>+Conv!L32</f>
        <v>1.0337418214075101E-3</v>
      </c>
      <c r="J31">
        <f>+Conv!AW32</f>
        <v>5.6620317844512471E-4</v>
      </c>
      <c r="K31">
        <f>+Conv!Y32</f>
        <v>3.3299266140911304E-3</v>
      </c>
      <c r="L31">
        <f>+Conv!BJ32</f>
        <v>3.6853900381006405E-3</v>
      </c>
      <c r="O31">
        <f t="shared" si="0"/>
        <v>-1.3358246941782441E-2</v>
      </c>
      <c r="P31">
        <f t="shared" si="1"/>
        <v>1.7684454032055443E-3</v>
      </c>
      <c r="Q31">
        <f t="shared" si="2"/>
        <v>1.0156097828843148E-2</v>
      </c>
      <c r="R31">
        <f t="shared" si="3"/>
        <v>2.7713412335047573E-3</v>
      </c>
      <c r="T31">
        <f t="shared" si="4"/>
        <v>1.0337418214075101E-3</v>
      </c>
      <c r="U31">
        <f t="shared" si="5"/>
        <v>3.3299266140911304E-3</v>
      </c>
    </row>
    <row r="32" spans="2:21" x14ac:dyDescent="0.25">
      <c r="B32" t="s">
        <v>354</v>
      </c>
      <c r="C32">
        <f>+'5% CO'!E7</f>
        <v>126.64217325013109</v>
      </c>
      <c r="D32">
        <f>+'10% CO'!E7</f>
        <v>107.29879781672371</v>
      </c>
      <c r="I32">
        <f>+Conv!L33</f>
        <v>2.2055441296487308E-3</v>
      </c>
      <c r="J32">
        <f>+Conv!AW33</f>
        <v>1.0723246477483159E-3</v>
      </c>
      <c r="K32">
        <f>+Conv!Y33</f>
        <v>7.1045786711714954E-3</v>
      </c>
      <c r="L32">
        <f>+Conv!BJ33</f>
        <v>6.9797110381365256E-3</v>
      </c>
      <c r="O32">
        <f t="shared" si="0"/>
        <v>-3.2377699482869005E-2</v>
      </c>
      <c r="P32">
        <f t="shared" si="1"/>
        <v>3.986317601206526E-3</v>
      </c>
      <c r="Q32">
        <f t="shared" si="2"/>
        <v>-3.5676466581419943E-3</v>
      </c>
      <c r="R32">
        <f t="shared" si="3"/>
        <v>7.3007992373693058E-3</v>
      </c>
      <c r="T32">
        <f t="shared" si="4"/>
        <v>2.2055441296487308E-3</v>
      </c>
      <c r="U32">
        <f t="shared" si="5"/>
        <v>7.1045786711714963E-3</v>
      </c>
    </row>
    <row r="33" spans="2:21" x14ac:dyDescent="0.25">
      <c r="I33">
        <f>+Conv!L34</f>
        <v>1.0687387998477721E-3</v>
      </c>
      <c r="J33">
        <f>+Conv!AW34</f>
        <v>6.9528111739599729E-4</v>
      </c>
      <c r="K33">
        <f>+Conv!Y34</f>
        <v>3.4426601492037255E-3</v>
      </c>
      <c r="L33">
        <f>+Conv!BJ34</f>
        <v>4.5255523128064374E-3</v>
      </c>
      <c r="O33">
        <f t="shared" si="0"/>
        <v>-1.0670219498622137E-2</v>
      </c>
      <c r="P33">
        <f t="shared" si="1"/>
        <v>1.6556008722719896E-3</v>
      </c>
      <c r="Q33">
        <f t="shared" si="2"/>
        <v>3.0939776102934625E-2</v>
      </c>
      <c r="R33">
        <f t="shared" si="3"/>
        <v>1.7409724635423216E-3</v>
      </c>
      <c r="T33">
        <f t="shared" si="4"/>
        <v>1.0687387998477721E-3</v>
      </c>
      <c r="U33">
        <f t="shared" si="5"/>
        <v>3.4426601492037259E-3</v>
      </c>
    </row>
    <row r="34" spans="2:21" x14ac:dyDescent="0.25">
      <c r="I34">
        <f>+Conv!L35</f>
        <v>6.8118368789167986E-3</v>
      </c>
      <c r="J34">
        <f>+Conv!AW35</f>
        <v>3.7309931861332648E-3</v>
      </c>
      <c r="K34">
        <f>+Conv!Y35</f>
        <v>2.1942535790095221E-2</v>
      </c>
      <c r="L34">
        <f>+Conv!BJ35</f>
        <v>2.428486035376352E-2</v>
      </c>
      <c r="O34">
        <f t="shared" si="0"/>
        <v>-8.8024105508100983E-2</v>
      </c>
      <c r="P34">
        <f t="shared" si="1"/>
        <v>1.1653162681862353E-2</v>
      </c>
      <c r="Q34">
        <f t="shared" si="2"/>
        <v>6.6923558961951415E-2</v>
      </c>
      <c r="R34">
        <f t="shared" si="3"/>
        <v>1.8261740047187894E-2</v>
      </c>
      <c r="T34">
        <f t="shared" si="4"/>
        <v>6.8118368789167986E-3</v>
      </c>
      <c r="U34">
        <f t="shared" si="5"/>
        <v>2.1942535790095221E-2</v>
      </c>
    </row>
    <row r="35" spans="2:21" x14ac:dyDescent="0.25">
      <c r="I35">
        <f>+Conv!L36</f>
        <v>1.2553229248518135E-3</v>
      </c>
      <c r="J35">
        <f>+Conv!AW36</f>
        <v>6.8756803227557192E-4</v>
      </c>
      <c r="K35">
        <f>+Conv!Y36</f>
        <v>4.04369169378408E-3</v>
      </c>
      <c r="L35">
        <f>+Conv!BJ36</f>
        <v>4.4753482020773189E-3</v>
      </c>
      <c r="O35">
        <f t="shared" si="0"/>
        <v>-1.6221568359321193E-2</v>
      </c>
      <c r="P35">
        <f t="shared" si="1"/>
        <v>2.1475091846144792E-3</v>
      </c>
      <c r="Q35">
        <f t="shared" si="2"/>
        <v>1.2333043094092543E-2</v>
      </c>
      <c r="R35">
        <f t="shared" si="3"/>
        <v>3.3653743236089898E-3</v>
      </c>
      <c r="T35">
        <f t="shared" si="4"/>
        <v>1.2553229248518137E-3</v>
      </c>
      <c r="U35">
        <f t="shared" si="5"/>
        <v>4.04369169378408E-3</v>
      </c>
    </row>
    <row r="36" spans="2:21" x14ac:dyDescent="0.25">
      <c r="I36">
        <f>+Conv!L37</f>
        <v>7.0766422222527019E-4</v>
      </c>
      <c r="J36">
        <f>+Conv!AW37</f>
        <v>3.8760329087807394E-4</v>
      </c>
      <c r="K36">
        <f>+Conv!Y37</f>
        <v>2.2795536357613283E-3</v>
      </c>
      <c r="L36">
        <f>+Conv!BJ37</f>
        <v>2.5228917132889654E-3</v>
      </c>
      <c r="O36">
        <f t="shared" si="0"/>
        <v>-9.1445980384913233E-3</v>
      </c>
      <c r="P36">
        <f t="shared" si="1"/>
        <v>1.210617114342293E-3</v>
      </c>
      <c r="Q36">
        <f t="shared" si="2"/>
        <v>6.9525165007896326E-3</v>
      </c>
      <c r="R36">
        <f t="shared" si="3"/>
        <v>1.8971652282178985E-3</v>
      </c>
      <c r="T36">
        <f t="shared" si="4"/>
        <v>7.0766422222527019E-4</v>
      </c>
      <c r="U36">
        <f t="shared" si="5"/>
        <v>2.2795536357613283E-3</v>
      </c>
    </row>
    <row r="37" spans="2:21" x14ac:dyDescent="0.25">
      <c r="I37">
        <f>+Conv!L38</f>
        <v>2.5841562675723716E-3</v>
      </c>
      <c r="J37">
        <f>+Conv!AW38</f>
        <v>9.7274355030127155E-4</v>
      </c>
      <c r="K37">
        <f>+Conv!Y38</f>
        <v>8.3241778093521238E-3</v>
      </c>
      <c r="L37">
        <f>+Conv!BJ38</f>
        <v>6.3315423268228786E-3</v>
      </c>
      <c r="O37">
        <f t="shared" ref="O37:O72" si="6">+SLOPE(I37:J37,$I$3:$J$3)</f>
        <v>-4.6040363350602867E-2</v>
      </c>
      <c r="P37">
        <f t="shared" ref="P37:P72" si="7">+INTERCEPT(I37:J37,$I$3:$J$3)</f>
        <v>5.1163762518555292E-3</v>
      </c>
      <c r="Q37">
        <f t="shared" ref="Q37:Q72" si="8">+SLOPE(K37:L37,$K$3:$L$3)</f>
        <v>-5.6932442357978438E-2</v>
      </c>
      <c r="R37">
        <f t="shared" ref="R37:R72" si="9">+INTERCEPT(K37:L37,$K$3:$L$3)</f>
        <v>1.1455462139040938E-2</v>
      </c>
      <c r="T37">
        <f t="shared" ref="T37:T72" si="10">+O37*$W$3+P37</f>
        <v>2.5841562675723716E-3</v>
      </c>
      <c r="U37">
        <f t="shared" ref="U37:U72" si="11">+Q37*$W$3+R37</f>
        <v>8.3241778093521238E-3</v>
      </c>
    </row>
    <row r="38" spans="2:21" x14ac:dyDescent="0.25">
      <c r="I38">
        <f>+Conv!L39</f>
        <v>1.6165025468583896E-3</v>
      </c>
      <c r="J38">
        <f>+Conv!AW39</f>
        <v>1.1557622740480398E-3</v>
      </c>
      <c r="K38">
        <f>+Conv!Y39</f>
        <v>5.2071365800028776E-3</v>
      </c>
      <c r="L38">
        <f>+Conv!BJ39</f>
        <v>7.5228026499007073E-3</v>
      </c>
      <c r="O38">
        <f t="shared" si="6"/>
        <v>-1.3164007794581427E-2</v>
      </c>
      <c r="P38">
        <f t="shared" si="7"/>
        <v>2.340522975560368E-3</v>
      </c>
      <c r="Q38">
        <f t="shared" si="8"/>
        <v>6.6161887711366565E-2</v>
      </c>
      <c r="R38">
        <f t="shared" si="9"/>
        <v>1.5682327558777165E-3</v>
      </c>
      <c r="T38">
        <f t="shared" si="10"/>
        <v>1.6165025468583894E-3</v>
      </c>
      <c r="U38">
        <f t="shared" si="11"/>
        <v>5.2071365800028776E-3</v>
      </c>
    </row>
    <row r="39" spans="2:21" x14ac:dyDescent="0.25">
      <c r="I39">
        <f>+Conv!L40</f>
        <v>2.5728954957697356E-3</v>
      </c>
      <c r="J39">
        <f>+Conv!AW40</f>
        <v>1.4092315676350036E-3</v>
      </c>
      <c r="K39">
        <f>+Conv!Y40</f>
        <v>8.2879042031728262E-3</v>
      </c>
      <c r="L39">
        <f>+Conv!BJ40</f>
        <v>9.1726224409429749E-3</v>
      </c>
      <c r="O39">
        <f t="shared" si="6"/>
        <v>-3.3247540803849486E-2</v>
      </c>
      <c r="P39">
        <f t="shared" si="7"/>
        <v>4.4015102399814574E-3</v>
      </c>
      <c r="Q39">
        <f t="shared" si="8"/>
        <v>2.5277663936289965E-2</v>
      </c>
      <c r="R39">
        <f t="shared" si="9"/>
        <v>6.8976326866768776E-3</v>
      </c>
      <c r="T39">
        <f t="shared" si="10"/>
        <v>2.5728954957697356E-3</v>
      </c>
      <c r="U39">
        <f t="shared" si="11"/>
        <v>8.2879042031728262E-3</v>
      </c>
    </row>
    <row r="40" spans="2:21" x14ac:dyDescent="0.25">
      <c r="I40">
        <f>+Conv!L41</f>
        <v>2.8070625278097824E-3</v>
      </c>
      <c r="J40">
        <f>+Conv!AW41</f>
        <v>1.5374819778543405E-3</v>
      </c>
      <c r="K40">
        <f>+Conv!Y41</f>
        <v>9.0422115321257997E-3</v>
      </c>
      <c r="L40">
        <f>+Conv!BJ41</f>
        <v>1.0007398369793528E-2</v>
      </c>
      <c r="O40">
        <f t="shared" si="6"/>
        <v>-3.6273729998726911E-2</v>
      </c>
      <c r="P40">
        <f t="shared" si="7"/>
        <v>4.8021176777397626E-3</v>
      </c>
      <c r="Q40">
        <f t="shared" si="8"/>
        <v>2.7576766790506527E-2</v>
      </c>
      <c r="R40">
        <f t="shared" si="9"/>
        <v>7.5254893586479393E-3</v>
      </c>
      <c r="T40">
        <f t="shared" si="10"/>
        <v>2.8070625278097824E-3</v>
      </c>
      <c r="U40">
        <f t="shared" si="11"/>
        <v>9.0422115321257979E-3</v>
      </c>
    </row>
    <row r="41" spans="2:21" x14ac:dyDescent="0.25">
      <c r="I41">
        <f>+Conv!L42</f>
        <v>1.6330842447933257E-3</v>
      </c>
      <c r="J41">
        <f>+Conv!AW42</f>
        <v>8.9447623277120894E-4</v>
      </c>
      <c r="K41">
        <f>+Conv!Y42</f>
        <v>5.2605501462501857E-3</v>
      </c>
      <c r="L41">
        <f>+Conv!BJ42</f>
        <v>5.8221040133074635E-3</v>
      </c>
      <c r="O41">
        <f t="shared" si="6"/>
        <v>-2.1103086057774768E-2</v>
      </c>
      <c r="P41">
        <f t="shared" si="7"/>
        <v>2.7937539779709381E-3</v>
      </c>
      <c r="Q41">
        <f t="shared" si="8"/>
        <v>1.6044396201636509E-2</v>
      </c>
      <c r="R41">
        <f t="shared" si="9"/>
        <v>4.3781083551601777E-3</v>
      </c>
      <c r="T41">
        <f t="shared" si="10"/>
        <v>1.6330842447933259E-3</v>
      </c>
      <c r="U41">
        <f t="shared" si="11"/>
        <v>5.2605501462501857E-3</v>
      </c>
    </row>
    <row r="42" spans="2:21" x14ac:dyDescent="0.25">
      <c r="I42">
        <f>+Conv!L43</f>
        <v>1.999100030542073E-3</v>
      </c>
      <c r="J42">
        <f>+Conv!AW43</f>
        <v>1.0949511453270924E-3</v>
      </c>
      <c r="K42">
        <f>+Conv!Y43</f>
        <v>6.4395734583599182E-3</v>
      </c>
      <c r="L42">
        <f>+Conv!BJ43</f>
        <v>7.126985853871266E-3</v>
      </c>
      <c r="O42">
        <f t="shared" si="6"/>
        <v>-2.5832825291856591E-2</v>
      </c>
      <c r="P42">
        <f t="shared" si="7"/>
        <v>3.4199054215941853E-3</v>
      </c>
      <c r="Q42">
        <f t="shared" si="8"/>
        <v>1.964035415746708E-2</v>
      </c>
      <c r="R42">
        <f t="shared" si="9"/>
        <v>5.3593539796992287E-3</v>
      </c>
      <c r="T42">
        <f t="shared" si="10"/>
        <v>1.9991000305420725E-3</v>
      </c>
      <c r="U42">
        <f t="shared" si="11"/>
        <v>6.4395734583599182E-3</v>
      </c>
    </row>
    <row r="43" spans="2:21" x14ac:dyDescent="0.25">
      <c r="I43">
        <f>+Conv!L44</f>
        <v>1.9601439197672174E-3</v>
      </c>
      <c r="J43">
        <f>+Conv!AW44</f>
        <v>1.4679481893225437E-3</v>
      </c>
      <c r="K43">
        <f>+Conv!Y44</f>
        <v>6.3140866227068436E-3</v>
      </c>
      <c r="L43">
        <f>+Conv!BJ44</f>
        <v>9.5548061885376671E-3</v>
      </c>
      <c r="O43">
        <f t="shared" si="6"/>
        <v>-1.4062735155562106E-2</v>
      </c>
      <c r="P43">
        <f t="shared" si="7"/>
        <v>2.7335943533231336E-3</v>
      </c>
      <c r="Q43">
        <f t="shared" si="8"/>
        <v>9.2591987595166389E-2</v>
      </c>
      <c r="R43">
        <f t="shared" si="9"/>
        <v>1.221527304972693E-3</v>
      </c>
      <c r="T43">
        <f t="shared" si="10"/>
        <v>1.9601439197672178E-3</v>
      </c>
      <c r="U43">
        <f t="shared" si="11"/>
        <v>6.3140866227068444E-3</v>
      </c>
    </row>
    <row r="44" spans="2:21" x14ac:dyDescent="0.25">
      <c r="B44">
        <v>5</v>
      </c>
      <c r="C44" s="2">
        <f>++'5% CO'!F6</f>
        <v>0.74541938996819412</v>
      </c>
      <c r="D44" s="2">
        <f>+'5% CO'!F7</f>
        <v>0.23140786185419149</v>
      </c>
      <c r="I44">
        <f>+Conv!L45</f>
        <v>2.931673538425523E-3</v>
      </c>
      <c r="J44">
        <f>+Conv!AW45</f>
        <v>1.6057422087846832E-3</v>
      </c>
      <c r="K44">
        <f>+Conv!Y45</f>
        <v>9.4436130349625259E-3</v>
      </c>
      <c r="L44">
        <f>+Conv!BJ45</f>
        <v>1.0451701024116257E-2</v>
      </c>
      <c r="O44">
        <f t="shared" si="6"/>
        <v>-3.788375227545257E-2</v>
      </c>
      <c r="P44">
        <f t="shared" si="7"/>
        <v>5.0152799135754142E-3</v>
      </c>
      <c r="Q44">
        <f t="shared" si="8"/>
        <v>2.8802513975820877E-2</v>
      </c>
      <c r="R44">
        <f t="shared" si="9"/>
        <v>7.8594747662923767E-3</v>
      </c>
      <c r="T44">
        <f t="shared" si="10"/>
        <v>2.931673538425523E-3</v>
      </c>
      <c r="U44">
        <f t="shared" si="11"/>
        <v>9.4436130349625259E-3</v>
      </c>
    </row>
    <row r="45" spans="2:21" x14ac:dyDescent="0.25">
      <c r="B45">
        <v>10</v>
      </c>
      <c r="C45" s="26">
        <f>+'10% CO'!F6</f>
        <v>0.8949760009233918</v>
      </c>
      <c r="D45" s="26">
        <f>+'10% CO'!F7</f>
        <v>0.13749922019545363</v>
      </c>
      <c r="I45">
        <f>+Conv!L46</f>
        <v>1.1751347979418035E-3</v>
      </c>
      <c r="J45">
        <f>+Conv!AW46</f>
        <v>6.4364722788343685E-4</v>
      </c>
      <c r="K45">
        <f>+Conv!Y46</f>
        <v>3.7853867936609598E-3</v>
      </c>
      <c r="L45">
        <f>+Conv!BJ46</f>
        <v>4.1894697380661372E-3</v>
      </c>
      <c r="O45">
        <f t="shared" si="6"/>
        <v>-1.5185359144524763E-2</v>
      </c>
      <c r="P45">
        <f t="shared" si="7"/>
        <v>2.0103295508906655E-3</v>
      </c>
      <c r="Q45">
        <f t="shared" si="8"/>
        <v>1.1545226983005068E-2</v>
      </c>
      <c r="R45">
        <f t="shared" si="9"/>
        <v>3.150399309595681E-3</v>
      </c>
      <c r="T45">
        <f t="shared" si="10"/>
        <v>1.1751347979418035E-3</v>
      </c>
      <c r="U45">
        <f t="shared" si="11"/>
        <v>3.7853867936609598E-3</v>
      </c>
    </row>
    <row r="46" spans="2:21" x14ac:dyDescent="0.25">
      <c r="B46">
        <v>15</v>
      </c>
      <c r="I46">
        <f>+Conv!L47</f>
        <v>1.8875006041552832E-3</v>
      </c>
      <c r="J46">
        <f>+Conv!AW47</f>
        <v>1.0338256799310823E-3</v>
      </c>
      <c r="K46">
        <f>+Conv!Y47</f>
        <v>6.0800853421330908E-3</v>
      </c>
      <c r="L46">
        <f>+Conv!BJ47</f>
        <v>6.7291230551082019E-3</v>
      </c>
      <c r="O46">
        <f t="shared" si="6"/>
        <v>-2.4390712120691455E-2</v>
      </c>
      <c r="P46">
        <f t="shared" si="7"/>
        <v>3.2289897707933135E-3</v>
      </c>
      <c r="Q46">
        <f t="shared" si="8"/>
        <v>1.8543934656431751E-2</v>
      </c>
      <c r="R46">
        <f t="shared" si="9"/>
        <v>5.0601689360293446E-3</v>
      </c>
      <c r="T46">
        <f t="shared" si="10"/>
        <v>1.8875006041552836E-3</v>
      </c>
      <c r="U46">
        <f t="shared" si="11"/>
        <v>6.0800853421330908E-3</v>
      </c>
    </row>
    <row r="47" spans="2:21" x14ac:dyDescent="0.25">
      <c r="I47">
        <f>+Conv!L48</f>
        <v>2.2543336903464244E-3</v>
      </c>
      <c r="J47">
        <f>+Conv!AW48</f>
        <v>1.2347482459519271E-3</v>
      </c>
      <c r="K47">
        <f>+Conv!Y48</f>
        <v>7.2617413720438024E-3</v>
      </c>
      <c r="L47">
        <f>+Conv!BJ48</f>
        <v>8.0369186511631344E-3</v>
      </c>
      <c r="O47">
        <f t="shared" si="6"/>
        <v>-2.9131012696985641E-2</v>
      </c>
      <c r="P47">
        <f t="shared" si="7"/>
        <v>3.8565393886806345E-3</v>
      </c>
      <c r="Q47">
        <f t="shared" si="8"/>
        <v>2.2147922260552348E-2</v>
      </c>
      <c r="R47">
        <f t="shared" si="9"/>
        <v>6.0436056477134233E-3</v>
      </c>
      <c r="T47">
        <f t="shared" si="10"/>
        <v>2.254333690346424E-3</v>
      </c>
      <c r="U47">
        <f t="shared" si="11"/>
        <v>7.2617413720438024E-3</v>
      </c>
    </row>
    <row r="48" spans="2:21" x14ac:dyDescent="0.25">
      <c r="I48">
        <f>+Conv!L49</f>
        <v>2.3714157112761582E-3</v>
      </c>
      <c r="J48">
        <f>+Conv!AW49</f>
        <v>1.7952413317092585E-3</v>
      </c>
      <c r="K48">
        <f>+Conv!Y49</f>
        <v>7.6388902204812727E-3</v>
      </c>
      <c r="L48">
        <f>+Conv!BJ49</f>
        <v>1.1685141962708099E-2</v>
      </c>
      <c r="O48">
        <f t="shared" si="6"/>
        <v>-1.6462125130482848E-2</v>
      </c>
      <c r="P48">
        <f t="shared" si="7"/>
        <v>3.2768325934527144E-3</v>
      </c>
      <c r="Q48">
        <f t="shared" si="8"/>
        <v>0.11560719263505219</v>
      </c>
      <c r="R48">
        <f t="shared" si="9"/>
        <v>1.2804946255534026E-3</v>
      </c>
      <c r="T48">
        <f t="shared" si="10"/>
        <v>2.3714157112761577E-3</v>
      </c>
      <c r="U48">
        <f t="shared" si="11"/>
        <v>7.6388902204812727E-3</v>
      </c>
    </row>
    <row r="49" spans="9:21" x14ac:dyDescent="0.25">
      <c r="I49">
        <f>+Conv!L50</f>
        <v>2.214294394446838E-4</v>
      </c>
      <c r="J49">
        <f>+Conv!AW50</f>
        <v>1.2128178411529965E-4</v>
      </c>
      <c r="K49">
        <f>+Conv!Y50</f>
        <v>7.1327653412163309E-4</v>
      </c>
      <c r="L49">
        <f>+Conv!BJ50</f>
        <v>7.8941746708141667E-4</v>
      </c>
      <c r="O49">
        <f t="shared" si="6"/>
        <v>-2.8613615808395472E-3</v>
      </c>
      <c r="P49">
        <f t="shared" si="7"/>
        <v>3.7880432639085889E-4</v>
      </c>
      <c r="Q49">
        <f t="shared" si="8"/>
        <v>2.1754552274223884E-3</v>
      </c>
      <c r="R49">
        <f t="shared" si="9"/>
        <v>5.9362649661340175E-4</v>
      </c>
      <c r="T49">
        <f t="shared" si="10"/>
        <v>2.214294394446838E-4</v>
      </c>
      <c r="U49">
        <f t="shared" si="11"/>
        <v>7.1327653412163309E-4</v>
      </c>
    </row>
    <row r="50" spans="9:21" x14ac:dyDescent="0.25">
      <c r="I50">
        <f>+Conv!L51</f>
        <v>7.8046294204270057E-4</v>
      </c>
      <c r="J50">
        <f>+Conv!AW51</f>
        <v>4.2747675414885744E-4</v>
      </c>
      <c r="K50">
        <f>+Conv!Y51</f>
        <v>2.5140555099930984E-3</v>
      </c>
      <c r="L50">
        <f>+Conv!BJ51</f>
        <v>2.7824262230143632E-3</v>
      </c>
      <c r="O50">
        <f t="shared" si="6"/>
        <v>-1.0085319654109805E-2</v>
      </c>
      <c r="P50">
        <f t="shared" si="7"/>
        <v>1.3351555230187398E-3</v>
      </c>
      <c r="Q50">
        <f t="shared" si="8"/>
        <v>7.6677346577504243E-3</v>
      </c>
      <c r="R50">
        <f t="shared" si="9"/>
        <v>2.0923301038168248E-3</v>
      </c>
      <c r="T50">
        <f t="shared" si="10"/>
        <v>7.8046294204270057E-4</v>
      </c>
      <c r="U50">
        <f t="shared" si="11"/>
        <v>2.5140555099930984E-3</v>
      </c>
    </row>
    <row r="51" spans="9:21" x14ac:dyDescent="0.25">
      <c r="I51">
        <f>+Conv!L52</f>
        <v>2.0282532215800715E-4</v>
      </c>
      <c r="J51">
        <f>+Conv!AW52</f>
        <v>1.1109189905721051E-4</v>
      </c>
      <c r="K51">
        <f>+Conv!Y52</f>
        <v>6.5334827737351412E-4</v>
      </c>
      <c r="L51">
        <f>+Conv!BJ52</f>
        <v>7.2309198126270394E-4</v>
      </c>
      <c r="O51">
        <f t="shared" si="6"/>
        <v>-2.6209549457370473E-3</v>
      </c>
      <c r="P51">
        <f t="shared" si="7"/>
        <v>3.4697784417354476E-4</v>
      </c>
      <c r="Q51">
        <f t="shared" si="8"/>
        <v>1.9926772539768521E-3</v>
      </c>
      <c r="R51">
        <f t="shared" si="9"/>
        <v>5.4375102840478718E-4</v>
      </c>
      <c r="T51">
        <f t="shared" si="10"/>
        <v>2.0282532215800715E-4</v>
      </c>
      <c r="U51">
        <f t="shared" si="11"/>
        <v>6.5334827737351402E-4</v>
      </c>
    </row>
    <row r="52" spans="9:21" x14ac:dyDescent="0.25">
      <c r="I52">
        <f>+Conv!L53</f>
        <v>8.8219578267645675E-4</v>
      </c>
      <c r="J52">
        <f>+Conv!AW53</f>
        <v>4.831980730761074E-4</v>
      </c>
      <c r="K52">
        <f>+Conv!Y53</f>
        <v>2.8417610226637454E-3</v>
      </c>
      <c r="L52">
        <f>+Conv!BJ53</f>
        <v>3.1451136848690449E-3</v>
      </c>
      <c r="O52">
        <f t="shared" si="6"/>
        <v>-1.1399934560009983E-2</v>
      </c>
      <c r="P52">
        <f t="shared" si="7"/>
        <v>1.5091921834770059E-3</v>
      </c>
      <c r="Q52">
        <f t="shared" si="8"/>
        <v>8.6672189201514142E-3</v>
      </c>
      <c r="R52">
        <f t="shared" si="9"/>
        <v>2.3650639820554176E-3</v>
      </c>
      <c r="T52">
        <f t="shared" si="10"/>
        <v>8.8219578267645675E-4</v>
      </c>
      <c r="U52">
        <f t="shared" si="11"/>
        <v>2.8417610226637454E-3</v>
      </c>
    </row>
    <row r="53" spans="9:21" x14ac:dyDescent="0.25">
      <c r="I53">
        <f>+Conv!L54</f>
        <v>7.6236437142142248E-5</v>
      </c>
      <c r="J53">
        <f>+Conv!AW54</f>
        <v>4.1756376814125988E-5</v>
      </c>
      <c r="K53">
        <f>+Conv!Y54</f>
        <v>2.4557557384826995E-4</v>
      </c>
      <c r="L53">
        <f>+Conv!BJ54</f>
        <v>2.7179030601798542E-4</v>
      </c>
      <c r="O53">
        <f t="shared" si="6"/>
        <v>-9.8514458080046466E-4</v>
      </c>
      <c r="P53">
        <f t="shared" si="7"/>
        <v>1.304193890861678E-4</v>
      </c>
      <c r="Q53">
        <f t="shared" si="8"/>
        <v>7.4899234770615638E-4</v>
      </c>
      <c r="R53">
        <f t="shared" si="9"/>
        <v>2.0438099472443134E-4</v>
      </c>
      <c r="T53">
        <f t="shared" si="10"/>
        <v>7.6236437142142234E-5</v>
      </c>
      <c r="U53">
        <f t="shared" si="11"/>
        <v>2.4557557384826995E-4</v>
      </c>
    </row>
    <row r="54" spans="9:21" x14ac:dyDescent="0.25">
      <c r="I54">
        <f>+Conv!L55</f>
        <v>2.6669016372050129E-3</v>
      </c>
      <c r="J54">
        <f>+Conv!AW55</f>
        <v>2.0189341008190632E-3</v>
      </c>
      <c r="K54">
        <f>+Conv!Y55</f>
        <v>8.590720192398385E-3</v>
      </c>
      <c r="L54">
        <f>+Conv!BJ55</f>
        <v>1.3141147746950297E-2</v>
      </c>
      <c r="O54">
        <f t="shared" si="6"/>
        <v>-1.8513358182455707E-2</v>
      </c>
      <c r="P54">
        <f t="shared" si="7"/>
        <v>3.6851363372400765E-3</v>
      </c>
      <c r="Q54">
        <f t="shared" si="8"/>
        <v>0.13001221584434036</v>
      </c>
      <c r="R54">
        <f t="shared" si="9"/>
        <v>1.4400483209596662E-3</v>
      </c>
      <c r="T54">
        <f t="shared" si="10"/>
        <v>2.6669016372050124E-3</v>
      </c>
      <c r="U54">
        <f t="shared" si="11"/>
        <v>8.590720192398385E-3</v>
      </c>
    </row>
    <row r="55" spans="9:21" x14ac:dyDescent="0.25">
      <c r="I55">
        <f>+Conv!L56</f>
        <v>2.1610434790248276E-4</v>
      </c>
      <c r="J55">
        <f>+Conv!AW56</f>
        <v>1.1836511411678854E-4</v>
      </c>
      <c r="K55">
        <f>+Conv!Y56</f>
        <v>6.9612315628430873E-4</v>
      </c>
      <c r="L55">
        <f>+Conv!BJ56</f>
        <v>7.7043299831446575E-4</v>
      </c>
      <c r="O55">
        <f t="shared" si="6"/>
        <v>-2.7925495367341208E-3</v>
      </c>
      <c r="P55">
        <f t="shared" si="7"/>
        <v>3.6969457242285939E-4</v>
      </c>
      <c r="Q55">
        <f t="shared" si="8"/>
        <v>2.1231383437187723E-3</v>
      </c>
      <c r="R55">
        <f t="shared" si="9"/>
        <v>5.7935054737977623E-4</v>
      </c>
      <c r="T55">
        <f t="shared" si="10"/>
        <v>2.1610434790248273E-4</v>
      </c>
      <c r="U55">
        <f t="shared" si="11"/>
        <v>6.9612315628430873E-4</v>
      </c>
    </row>
    <row r="56" spans="9:21" x14ac:dyDescent="0.25">
      <c r="I56">
        <f>+Conv!L57</f>
        <v>2.8193497900727655E-3</v>
      </c>
      <c r="J56">
        <f>+Conv!AW57</f>
        <v>2.134342472143229E-3</v>
      </c>
      <c r="K56">
        <f>+Conv!Y57</f>
        <v>9.081791706572178E-3</v>
      </c>
      <c r="L56">
        <f>+Conv!BJ57</f>
        <v>1.3892335444552957E-2</v>
      </c>
      <c r="O56">
        <f t="shared" si="6"/>
        <v>-1.9571637655129617E-2</v>
      </c>
      <c r="P56">
        <f t="shared" si="7"/>
        <v>3.8957898611048942E-3</v>
      </c>
      <c r="Q56">
        <f t="shared" si="8"/>
        <v>0.13744410679945085</v>
      </c>
      <c r="R56">
        <f t="shared" si="9"/>
        <v>1.5223658326023824E-3</v>
      </c>
      <c r="T56">
        <f t="shared" si="10"/>
        <v>2.8193497900727655E-3</v>
      </c>
      <c r="U56">
        <f t="shared" si="11"/>
        <v>9.081791706572178E-3</v>
      </c>
    </row>
    <row r="57" spans="9:21" x14ac:dyDescent="0.25">
      <c r="I57">
        <f>+Conv!L58</f>
        <v>1.8262873287532426E-4</v>
      </c>
      <c r="J57">
        <f>+Conv!AW58</f>
        <v>1.0002978199007302E-4</v>
      </c>
      <c r="K57">
        <f>+Conv!Y58</f>
        <v>5.8829029212657531E-4</v>
      </c>
      <c r="L57">
        <f>+Conv!BJ58</f>
        <v>6.5108917804374824E-4</v>
      </c>
      <c r="O57">
        <f t="shared" si="6"/>
        <v>-2.3599700252928926E-3</v>
      </c>
      <c r="P57">
        <f t="shared" si="7"/>
        <v>3.1242708426643334E-4</v>
      </c>
      <c r="Q57">
        <f t="shared" si="8"/>
        <v>1.7942538833477983E-3</v>
      </c>
      <c r="R57">
        <f t="shared" si="9"/>
        <v>4.8960632854244636E-4</v>
      </c>
      <c r="T57">
        <f t="shared" si="10"/>
        <v>1.8262873287532426E-4</v>
      </c>
      <c r="U57">
        <f t="shared" si="11"/>
        <v>5.8829029212657531E-4</v>
      </c>
    </row>
    <row r="58" spans="9:21" x14ac:dyDescent="0.25">
      <c r="I58">
        <f>+Conv!L59</f>
        <v>2.6819582448956549E-3</v>
      </c>
      <c r="J58">
        <f>+Conv!AW59</f>
        <v>2.0303324584807088E-3</v>
      </c>
      <c r="K58">
        <f>+Conv!Y59</f>
        <v>8.639221082687153E-3</v>
      </c>
      <c r="L58">
        <f>+Conv!BJ59</f>
        <v>1.3215339124491301E-2</v>
      </c>
      <c r="O58">
        <f t="shared" si="6"/>
        <v>-1.8617879611855601E-2</v>
      </c>
      <c r="P58">
        <f t="shared" si="7"/>
        <v>3.7059416235477125E-3</v>
      </c>
      <c r="Q58">
        <f t="shared" si="8"/>
        <v>0.13074622976583278</v>
      </c>
      <c r="R58">
        <f t="shared" si="9"/>
        <v>1.4481784455663508E-3</v>
      </c>
      <c r="T58">
        <f t="shared" si="10"/>
        <v>2.6819582448956544E-3</v>
      </c>
      <c r="U58">
        <f t="shared" si="11"/>
        <v>8.6392210826871547E-3</v>
      </c>
    </row>
    <row r="59" spans="9:21" x14ac:dyDescent="0.25">
      <c r="I59">
        <f>+Conv!L60</f>
        <v>4.9678385653190832E-4</v>
      </c>
      <c r="J59">
        <f>+Conv!AW60</f>
        <v>2.7209946694969797E-4</v>
      </c>
      <c r="K59">
        <f>+Conv!Y60</f>
        <v>1.6002581602667988E-3</v>
      </c>
      <c r="L59">
        <f>+Conv!BJ60</f>
        <v>1.7710827191446084E-3</v>
      </c>
      <c r="O59">
        <f t="shared" si="6"/>
        <v>-6.4195539880631536E-3</v>
      </c>
      <c r="P59">
        <f t="shared" si="7"/>
        <v>8.498593258753817E-4</v>
      </c>
      <c r="Q59">
        <f t="shared" si="8"/>
        <v>4.8807016822231342E-3</v>
      </c>
      <c r="R59">
        <f t="shared" si="9"/>
        <v>1.3318195677445262E-3</v>
      </c>
      <c r="T59">
        <f t="shared" si="10"/>
        <v>4.9678385653190832E-4</v>
      </c>
      <c r="U59">
        <f t="shared" si="11"/>
        <v>1.6002581602667985E-3</v>
      </c>
    </row>
    <row r="60" spans="9:21" x14ac:dyDescent="0.25">
      <c r="I60">
        <f>+Conv!L61</f>
        <v>2.3187175843589107E-3</v>
      </c>
      <c r="J60">
        <f>+Conv!AW61</f>
        <v>1.7553470798934976E-3</v>
      </c>
      <c r="K60">
        <f>+Conv!Y61</f>
        <v>7.4691371044705804E-3</v>
      </c>
      <c r="L60">
        <f>+Conv!BJ61</f>
        <v>1.1425472141314588E-2</v>
      </c>
      <c r="O60">
        <f t="shared" si="6"/>
        <v>-1.6096300127583233E-2</v>
      </c>
      <c r="P60">
        <f t="shared" si="7"/>
        <v>3.2040140913759886E-3</v>
      </c>
      <c r="Q60">
        <f t="shared" si="8"/>
        <v>0.11303814390982879</v>
      </c>
      <c r="R60">
        <f t="shared" si="9"/>
        <v>1.2520391894299977E-3</v>
      </c>
      <c r="T60">
        <f t="shared" si="10"/>
        <v>2.3187175843589107E-3</v>
      </c>
      <c r="U60">
        <f t="shared" si="11"/>
        <v>7.4691371044705813E-3</v>
      </c>
    </row>
    <row r="61" spans="9:21" x14ac:dyDescent="0.25">
      <c r="I61">
        <f>+Conv!L62</f>
        <v>1.955201728429942E-4</v>
      </c>
      <c r="J61">
        <f>+Conv!AW62</f>
        <v>1.0709070777760759E-4</v>
      </c>
      <c r="K61">
        <f>+Conv!Y62</f>
        <v>6.2981666568845093E-4</v>
      </c>
      <c r="L61">
        <f>+Conv!BJ62</f>
        <v>6.9704841414095398E-4</v>
      </c>
      <c r="O61">
        <f t="shared" si="6"/>
        <v>-2.5265561447253317E-3</v>
      </c>
      <c r="P61">
        <f t="shared" si="7"/>
        <v>3.3448076080288744E-4</v>
      </c>
      <c r="Q61">
        <f t="shared" si="8"/>
        <v>1.9209070986429446E-3</v>
      </c>
      <c r="R61">
        <f t="shared" si="9"/>
        <v>5.2416677526308892E-4</v>
      </c>
      <c r="T61">
        <f t="shared" si="10"/>
        <v>1.955201728429942E-4</v>
      </c>
      <c r="U61">
        <f t="shared" si="11"/>
        <v>6.2981666568845093E-4</v>
      </c>
    </row>
    <row r="62" spans="9:21" x14ac:dyDescent="0.25">
      <c r="I62">
        <f>+Conv!L63</f>
        <v>2.1436845199551899E-3</v>
      </c>
      <c r="J62">
        <f>+Conv!AW63</f>
        <v>1.6228411720768585E-3</v>
      </c>
      <c r="K62">
        <f>+Conv!Y63</f>
        <v>6.9053142548636147E-3</v>
      </c>
      <c r="L62">
        <f>+Conv!BJ63</f>
        <v>1.0562997377400395E-2</v>
      </c>
      <c r="O62">
        <f t="shared" si="6"/>
        <v>-1.4881238510809469E-2</v>
      </c>
      <c r="P62">
        <f t="shared" si="7"/>
        <v>2.9621526380497107E-3</v>
      </c>
      <c r="Q62">
        <f t="shared" si="8"/>
        <v>0.10450523207247946</v>
      </c>
      <c r="R62">
        <f t="shared" si="9"/>
        <v>1.1575264908772441E-3</v>
      </c>
      <c r="T62">
        <f t="shared" si="10"/>
        <v>2.1436845199551899E-3</v>
      </c>
      <c r="U62">
        <f t="shared" si="11"/>
        <v>6.9053142548636147E-3</v>
      </c>
    </row>
    <row r="63" spans="9:21" x14ac:dyDescent="0.25">
      <c r="I63">
        <f>+Conv!L64</f>
        <v>2.1003967728445982E-3</v>
      </c>
      <c r="J63">
        <f>+Conv!AW64</f>
        <v>1.5900708937996294E-3</v>
      </c>
      <c r="K63">
        <f>+Conv!Y64</f>
        <v>6.765874195283416E-3</v>
      </c>
      <c r="L63">
        <f>+Conv!BJ64</f>
        <v>1.0349697166970033E-2</v>
      </c>
      <c r="O63">
        <f t="shared" si="6"/>
        <v>-1.4580739401284827E-2</v>
      </c>
      <c r="P63">
        <f t="shared" si="7"/>
        <v>2.9023374399152636E-3</v>
      </c>
      <c r="Q63">
        <f t="shared" si="8"/>
        <v>0.10239494204818908</v>
      </c>
      <c r="R63">
        <f t="shared" si="9"/>
        <v>1.1341523826330167E-3</v>
      </c>
      <c r="T63">
        <f t="shared" si="10"/>
        <v>2.1003967728445982E-3</v>
      </c>
      <c r="U63">
        <f t="shared" si="11"/>
        <v>6.765874195283416E-3</v>
      </c>
    </row>
    <row r="64" spans="9:21" x14ac:dyDescent="0.25">
      <c r="I64">
        <f>+Conv!L65</f>
        <v>1.0012644114277109E-3</v>
      </c>
      <c r="J64">
        <f>+Conv!AW65</f>
        <v>7.5799078449946457E-4</v>
      </c>
      <c r="K64">
        <f>+Conv!Y65</f>
        <v>3.2253092042032034E-3</v>
      </c>
      <c r="L64">
        <f>+Conv!BJ65</f>
        <v>4.933726606476751E-3</v>
      </c>
      <c r="O64">
        <f t="shared" si="6"/>
        <v>-6.9506750550927523E-3</v>
      </c>
      <c r="P64">
        <f t="shared" si="7"/>
        <v>1.3835515394578122E-3</v>
      </c>
      <c r="Q64">
        <f t="shared" si="8"/>
        <v>4.8811925779244224E-2</v>
      </c>
      <c r="R64">
        <f t="shared" si="9"/>
        <v>5.4065328634477113E-4</v>
      </c>
      <c r="T64">
        <f t="shared" si="10"/>
        <v>1.0012644114277109E-3</v>
      </c>
      <c r="U64">
        <f t="shared" si="11"/>
        <v>3.2253092042032034E-3</v>
      </c>
    </row>
    <row r="65" spans="9:21" x14ac:dyDescent="0.25">
      <c r="I65">
        <f>+Conv!L66</f>
        <v>8.2811342298532505E-4</v>
      </c>
      <c r="J65">
        <f>+Conv!AW66</f>
        <v>6.2690967139053479E-4</v>
      </c>
      <c r="K65">
        <f>+Conv!Y66</f>
        <v>2.6675489658823485E-3</v>
      </c>
      <c r="L65">
        <f>+Conv!BJ66</f>
        <v>4.0805257647552086E-3</v>
      </c>
      <c r="O65">
        <f t="shared" si="6"/>
        <v>-5.7486786169940081E-3</v>
      </c>
      <c r="P65">
        <f t="shared" si="7"/>
        <v>1.1442907469199955E-3</v>
      </c>
      <c r="Q65">
        <f t="shared" si="8"/>
        <v>4.037076568208172E-2</v>
      </c>
      <c r="R65">
        <f t="shared" si="9"/>
        <v>4.4715685336785401E-4</v>
      </c>
      <c r="T65">
        <f t="shared" si="10"/>
        <v>8.2811342298532505E-4</v>
      </c>
      <c r="U65">
        <f t="shared" si="11"/>
        <v>2.6675489658823485E-3</v>
      </c>
    </row>
    <row r="66" spans="9:21" x14ac:dyDescent="0.25">
      <c r="I66">
        <f>+Conv!L67</f>
        <v>7.9047190375871939E-4</v>
      </c>
      <c r="J66">
        <f>+Conv!AW67</f>
        <v>5.9841377723641954E-4</v>
      </c>
      <c r="K66">
        <f>+Conv!Y67</f>
        <v>2.5462967401604242E-3</v>
      </c>
      <c r="L66">
        <f>+Conv!BJ67</f>
        <v>3.895047320902699E-3</v>
      </c>
      <c r="O66">
        <f t="shared" si="6"/>
        <v>-5.487375043494282E-3</v>
      </c>
      <c r="P66">
        <f t="shared" si="7"/>
        <v>1.0922775311509049E-3</v>
      </c>
      <c r="Q66">
        <f t="shared" si="8"/>
        <v>3.8535730878350716E-2</v>
      </c>
      <c r="R66">
        <f t="shared" si="9"/>
        <v>4.2683154185113505E-4</v>
      </c>
      <c r="T66">
        <f t="shared" si="10"/>
        <v>7.9047190375871939E-4</v>
      </c>
      <c r="U66">
        <f t="shared" si="11"/>
        <v>2.5462967401604242E-3</v>
      </c>
    </row>
    <row r="67" spans="9:21" x14ac:dyDescent="0.25">
      <c r="I67">
        <f>+Conv!L68</f>
        <v>7.4530208068679252E-4</v>
      </c>
      <c r="J67">
        <f>+Conv!AW68</f>
        <v>5.6421870425148136E-4</v>
      </c>
      <c r="K67">
        <f>+Conv!Y68</f>
        <v>2.4007940692941142E-3</v>
      </c>
      <c r="L67">
        <f>+Conv!BJ68</f>
        <v>3.6724731882796882E-3</v>
      </c>
      <c r="O67">
        <f t="shared" si="6"/>
        <v>-5.1738107552946055E-3</v>
      </c>
      <c r="P67">
        <f t="shared" si="7"/>
        <v>1.0298616722279959E-3</v>
      </c>
      <c r="Q67">
        <f t="shared" si="8"/>
        <v>3.6333689113873545E-2</v>
      </c>
      <c r="R67">
        <f t="shared" si="9"/>
        <v>4.0244116803106944E-4</v>
      </c>
      <c r="T67">
        <f t="shared" si="10"/>
        <v>7.4530208068679252E-4</v>
      </c>
      <c r="U67">
        <f t="shared" si="11"/>
        <v>2.4007940692941142E-3</v>
      </c>
    </row>
    <row r="68" spans="9:21" x14ac:dyDescent="0.25">
      <c r="I68">
        <f>+Conv!L69</f>
        <v>6.9260395376954465E-4</v>
      </c>
      <c r="J68">
        <f>+Conv!AW69</f>
        <v>5.2432445243571991E-4</v>
      </c>
      <c r="K68">
        <f>+Conv!Y69</f>
        <v>2.2310409532834193E-3</v>
      </c>
      <c r="L68">
        <f>+Conv!BJ69</f>
        <v>3.4128033668861749E-3</v>
      </c>
      <c r="O68">
        <f t="shared" si="6"/>
        <v>-4.8079857523949925E-3</v>
      </c>
      <c r="P68">
        <f t="shared" si="7"/>
        <v>9.5704317015126925E-4</v>
      </c>
      <c r="Q68">
        <f t="shared" si="8"/>
        <v>3.3764640388650159E-2</v>
      </c>
      <c r="R68">
        <f t="shared" si="9"/>
        <v>3.7398573190766064E-4</v>
      </c>
      <c r="T68">
        <f t="shared" si="10"/>
        <v>6.9260395376954465E-4</v>
      </c>
      <c r="U68">
        <f t="shared" si="11"/>
        <v>2.2310409532834193E-3</v>
      </c>
    </row>
    <row r="69" spans="9:21" x14ac:dyDescent="0.25">
      <c r="I69">
        <f>+Conv!L70</f>
        <v>6.7754734607890221E-4</v>
      </c>
      <c r="J69">
        <f>+Conv!AW70</f>
        <v>5.1292609477407393E-4</v>
      </c>
      <c r="K69">
        <f>+Conv!Y70</f>
        <v>2.1825400629946492E-3</v>
      </c>
      <c r="L69">
        <f>+Conv!BJ70</f>
        <v>3.3386119893451709E-3</v>
      </c>
      <c r="O69">
        <f t="shared" si="6"/>
        <v>-4.7034643229950952E-3</v>
      </c>
      <c r="P69">
        <f t="shared" si="7"/>
        <v>9.3623788384363243E-4</v>
      </c>
      <c r="Q69">
        <f t="shared" si="8"/>
        <v>3.3030626467157771E-2</v>
      </c>
      <c r="R69">
        <f t="shared" si="9"/>
        <v>3.6585560730097166E-4</v>
      </c>
      <c r="T69">
        <f t="shared" si="10"/>
        <v>6.7754734607890221E-4</v>
      </c>
      <c r="U69">
        <f t="shared" si="11"/>
        <v>2.1825400629946492E-3</v>
      </c>
    </row>
    <row r="70" spans="9:21" x14ac:dyDescent="0.25">
      <c r="I70">
        <f>+Conv!L71</f>
        <v>6.1167468743234226E-4</v>
      </c>
      <c r="J70">
        <f>+Conv!AW71</f>
        <v>4.6305828000437225E-4</v>
      </c>
      <c r="K70">
        <f>+Conv!Y71</f>
        <v>1.9703486679812803E-3</v>
      </c>
      <c r="L70">
        <f>+Conv!BJ71</f>
        <v>3.0140247126032795E-3</v>
      </c>
      <c r="O70">
        <f t="shared" si="6"/>
        <v>-4.2461830693705724E-3</v>
      </c>
      <c r="P70">
        <f t="shared" si="7"/>
        <v>8.4521475624772379E-4</v>
      </c>
      <c r="Q70">
        <f t="shared" si="8"/>
        <v>2.981931556062855E-2</v>
      </c>
      <c r="R70">
        <f t="shared" si="9"/>
        <v>3.3028631214671034E-4</v>
      </c>
      <c r="T70">
        <f t="shared" si="10"/>
        <v>6.1167468743234237E-4</v>
      </c>
      <c r="U70">
        <f t="shared" si="11"/>
        <v>1.9703486679812808E-3</v>
      </c>
    </row>
    <row r="71" spans="9:21" x14ac:dyDescent="0.25">
      <c r="I71">
        <f>+Conv!L72</f>
        <v>5.382737249404612E-4</v>
      </c>
      <c r="J71">
        <f>+Conv!AW72</f>
        <v>4.0749128640384753E-4</v>
      </c>
      <c r="K71">
        <f>+Conv!Y72</f>
        <v>1.7339068278235269E-3</v>
      </c>
      <c r="L71">
        <f>+Conv!BJ72</f>
        <v>2.6523417470908856E-3</v>
      </c>
      <c r="O71">
        <f t="shared" si="6"/>
        <v>-3.7366411010461053E-3</v>
      </c>
      <c r="P71">
        <f t="shared" si="7"/>
        <v>7.4378898549799701E-4</v>
      </c>
      <c r="Q71">
        <f t="shared" si="8"/>
        <v>2.6240997693353106E-2</v>
      </c>
      <c r="R71">
        <f t="shared" si="9"/>
        <v>2.9065195468910626E-4</v>
      </c>
      <c r="T71">
        <f t="shared" si="10"/>
        <v>5.382737249404612E-4</v>
      </c>
      <c r="U71">
        <f t="shared" si="11"/>
        <v>1.7339068278235271E-3</v>
      </c>
    </row>
    <row r="72" spans="9:21" x14ac:dyDescent="0.25">
      <c r="I72">
        <f>+Conv!L73</f>
        <v>4.5734445860325904E-4</v>
      </c>
      <c r="J72">
        <f>+Conv!AW73</f>
        <v>3.4622511397249987E-4</v>
      </c>
      <c r="K72">
        <f>+Conv!Y73</f>
        <v>1.4732145425213883E-3</v>
      </c>
      <c r="L72">
        <f>+Conv!BJ73</f>
        <v>2.2535630928079906E-3</v>
      </c>
      <c r="O72">
        <f t="shared" si="6"/>
        <v>-3.1748384180216903E-3</v>
      </c>
      <c r="P72">
        <f t="shared" si="7"/>
        <v>6.3196057159445199E-4</v>
      </c>
      <c r="Q72">
        <f t="shared" si="8"/>
        <v>2.2295672865331493E-2</v>
      </c>
      <c r="R72">
        <f t="shared" si="9"/>
        <v>2.4695253492815639E-4</v>
      </c>
      <c r="T72">
        <f t="shared" si="10"/>
        <v>4.5734445860325904E-4</v>
      </c>
      <c r="U72">
        <f t="shared" si="11"/>
        <v>1.4732145425213885E-3</v>
      </c>
    </row>
  </sheetData>
  <mergeCells count="4">
    <mergeCell ref="K4:L4"/>
    <mergeCell ref="O3:P3"/>
    <mergeCell ref="I4:J4"/>
    <mergeCell ref="Q3:R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V80"/>
  <sheetViews>
    <sheetView tabSelected="1" zoomScaleNormal="90" workbookViewId="0">
      <selection activeCell="J6" sqref="J6"/>
    </sheetView>
  </sheetViews>
  <sheetFormatPr defaultColWidth="11" defaultRowHeight="15.75" x14ac:dyDescent="0.25"/>
  <cols>
    <col min="11" max="11" width="8.625" customWidth="1"/>
    <col min="13" max="14" width="14.375" customWidth="1"/>
    <col min="15" max="15" width="12.875" bestFit="1" customWidth="1"/>
    <col min="16" max="16" width="14.5" customWidth="1"/>
    <col min="17" max="17" width="8.5" customWidth="1"/>
    <col min="18" max="19" width="14.5" customWidth="1"/>
    <col min="21" max="21" width="5.125" customWidth="1"/>
    <col min="22" max="22" width="4.875" bestFit="1" customWidth="1"/>
    <col min="23" max="23" width="2.125" bestFit="1" customWidth="1"/>
    <col min="24" max="24" width="4.875" bestFit="1" customWidth="1"/>
    <col min="25" max="25" width="3.5" bestFit="1" customWidth="1"/>
    <col min="26" max="26" width="2.125" bestFit="1" customWidth="1"/>
    <col min="27" max="27" width="2.375" bestFit="1" customWidth="1"/>
    <col min="28" max="28" width="7.875" bestFit="1" customWidth="1"/>
    <col min="29" max="29" width="2.125" bestFit="1" customWidth="1"/>
    <col min="30" max="31" width="4.875" bestFit="1" customWidth="1"/>
    <col min="32" max="32" width="8.875" bestFit="1" customWidth="1"/>
    <col min="33" max="33" width="12.125" customWidth="1"/>
    <col min="34" max="34" width="4.875" customWidth="1"/>
    <col min="35" max="35" width="8.125" customWidth="1"/>
    <col min="36" max="36" width="5.125" customWidth="1"/>
    <col min="37" max="37" width="4.875" bestFit="1" customWidth="1"/>
    <col min="38" max="38" width="2.125" bestFit="1" customWidth="1"/>
    <col min="39" max="39" width="4.875" bestFit="1" customWidth="1"/>
    <col min="40" max="40" width="3.5" bestFit="1" customWidth="1"/>
    <col min="41" max="41" width="2.125" bestFit="1" customWidth="1"/>
    <col min="42" max="42" width="2.375" bestFit="1" customWidth="1"/>
    <col min="43" max="43" width="7.875" bestFit="1" customWidth="1"/>
    <col min="44" max="44" width="2.125" bestFit="1" customWidth="1"/>
    <col min="45" max="46" width="4.875" bestFit="1" customWidth="1"/>
    <col min="47" max="47" width="8.875" bestFit="1" customWidth="1"/>
    <col min="48" max="48" width="12.125" customWidth="1"/>
  </cols>
  <sheetData>
    <row r="1" spans="1:48" ht="17.100000000000001" customHeight="1" x14ac:dyDescent="0.25">
      <c r="J1" s="28" t="s">
        <v>387</v>
      </c>
      <c r="K1" s="29">
        <v>7.0000000000000007E-2</v>
      </c>
      <c r="L1" t="b">
        <f>AND(K1&gt;=0.03,K1&lt;=0.12)</f>
        <v>1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x14ac:dyDescent="0.25">
      <c r="F2" t="s">
        <v>354</v>
      </c>
      <c r="H2" t="s">
        <v>29</v>
      </c>
      <c r="M2" s="9">
        <f>+SUM(M4:M71)</f>
        <v>0.19115954897666806</v>
      </c>
      <c r="N2" s="9">
        <f>+SUM(N4:N71)</f>
        <v>0.80950367560678527</v>
      </c>
    </row>
    <row r="3" spans="1:48" x14ac:dyDescent="0.25">
      <c r="A3" t="s">
        <v>349</v>
      </c>
      <c r="B3" t="s">
        <v>122</v>
      </c>
      <c r="C3" t="s">
        <v>119</v>
      </c>
      <c r="D3" t="s">
        <v>350</v>
      </c>
      <c r="E3" t="s">
        <v>351</v>
      </c>
      <c r="F3" t="s">
        <v>384</v>
      </c>
      <c r="G3" t="s">
        <v>385</v>
      </c>
      <c r="H3" t="s">
        <v>384</v>
      </c>
      <c r="I3" t="s">
        <v>386</v>
      </c>
      <c r="K3" s="42" t="s">
        <v>388</v>
      </c>
      <c r="L3" s="41"/>
      <c r="M3" t="s">
        <v>389</v>
      </c>
      <c r="N3" t="s">
        <v>390</v>
      </c>
      <c r="O3" t="s">
        <v>391</v>
      </c>
      <c r="P3" t="s">
        <v>392</v>
      </c>
      <c r="Q3" s="40" t="s">
        <v>17</v>
      </c>
      <c r="R3" s="41"/>
      <c r="AF3" t="s">
        <v>393</v>
      </c>
      <c r="AG3" t="s">
        <v>394</v>
      </c>
      <c r="AU3" t="s">
        <v>393</v>
      </c>
      <c r="AV3" t="s">
        <v>394</v>
      </c>
    </row>
    <row r="4" spans="1:48" x14ac:dyDescent="0.25">
      <c r="A4">
        <v>1</v>
      </c>
      <c r="B4">
        <v>1</v>
      </c>
      <c r="C4" t="s">
        <v>132</v>
      </c>
      <c r="D4" t="s">
        <v>133</v>
      </c>
      <c r="E4" t="s">
        <v>133</v>
      </c>
      <c r="F4">
        <v>-0.42191096142770512</v>
      </c>
      <c r="G4">
        <v>5.6925799484506483E-2</v>
      </c>
      <c r="H4">
        <v>0.42134723645015959</v>
      </c>
      <c r="I4">
        <v>8.54482318155316E-2</v>
      </c>
      <c r="K4" s="30" t="s">
        <v>133</v>
      </c>
      <c r="L4" s="30">
        <v>140</v>
      </c>
      <c r="M4" s="37">
        <f t="shared" ref="M4:M35" si="0">IF($L$1,F4*$K$1+G4,0)</f>
        <v>2.7392032184567122E-2</v>
      </c>
      <c r="N4" s="37">
        <f t="shared" ref="N4:N35" si="1">IF($L$1,H4*$K$1+I4,0)</f>
        <v>0.11494253836704277</v>
      </c>
      <c r="O4" s="34">
        <f t="shared" ref="O4:O35" si="2">+M4*$L$72/U4</f>
        <v>6.2727753702658706</v>
      </c>
      <c r="P4" s="34">
        <f t="shared" ref="P4:P35" si="3">+N4*$L$73/AJ4</f>
        <v>17.241380755056415</v>
      </c>
      <c r="Q4" s="31" t="s">
        <v>133</v>
      </c>
      <c r="R4" s="32">
        <f t="shared" ref="R4:R35" si="4">+L4+O4+P4</f>
        <v>163.51415612532227</v>
      </c>
      <c r="S4" s="33">
        <f>+R4-L4</f>
        <v>23.514156125322273</v>
      </c>
      <c r="U4" s="13">
        <v>1</v>
      </c>
      <c r="V4" s="13" t="s">
        <v>354</v>
      </c>
      <c r="W4" s="13" t="s">
        <v>355</v>
      </c>
      <c r="X4" s="13">
        <v>4</v>
      </c>
      <c r="Y4" s="13" t="s">
        <v>356</v>
      </c>
      <c r="Z4" s="13" t="s">
        <v>357</v>
      </c>
      <c r="AA4" s="13">
        <v>1</v>
      </c>
      <c r="AB4" s="13" t="s">
        <v>133</v>
      </c>
      <c r="AC4" s="13" t="s">
        <v>355</v>
      </c>
      <c r="AD4" s="13">
        <v>2</v>
      </c>
      <c r="AE4" s="13" t="s">
        <v>358</v>
      </c>
      <c r="AF4" s="1">
        <f t="shared" ref="AF4:AF35" si="5">+O4*X4</f>
        <v>25.091101481063482</v>
      </c>
      <c r="AG4" s="1">
        <f t="shared" ref="AG4:AG35" si="6">+AD4*O4</f>
        <v>12.545550740531741</v>
      </c>
      <c r="AH4" s="1"/>
      <c r="AI4" s="1"/>
      <c r="AJ4" s="13">
        <f t="shared" ref="AJ4:AJ35" si="7">U4</f>
        <v>1</v>
      </c>
      <c r="AK4" s="13" t="s">
        <v>29</v>
      </c>
      <c r="AL4" s="13" t="str">
        <f t="shared" ref="AL4:AL35" si="8">W4</f>
        <v>+</v>
      </c>
      <c r="AM4" s="13">
        <f t="shared" ref="AM4:AM35" si="9">+X4-AJ4</f>
        <v>3</v>
      </c>
      <c r="AN4" s="13" t="str">
        <f t="shared" ref="AN4:AN35" si="10">Y4</f>
        <v>H2</v>
      </c>
      <c r="AO4" s="13" t="str">
        <f t="shared" ref="AO4:AO35" si="11">Z4</f>
        <v>=</v>
      </c>
      <c r="AP4" s="13">
        <f t="shared" ref="AP4:AP35" si="12">AA4</f>
        <v>1</v>
      </c>
      <c r="AQ4" s="13" t="str">
        <f t="shared" ref="AQ4:AQ35" si="13">AB4</f>
        <v>CH4</v>
      </c>
      <c r="AR4" s="13" t="str">
        <f t="shared" ref="AR4:AR35" si="14">AC4</f>
        <v>+</v>
      </c>
      <c r="AS4" s="13">
        <f>+AJ4</f>
        <v>1</v>
      </c>
      <c r="AT4" s="13" t="str">
        <f t="shared" ref="AT4:AT35" si="15">+AE4</f>
        <v>H2O</v>
      </c>
      <c r="AU4" s="1">
        <f t="shared" ref="AU4:AU35" si="16">+P4*AM4</f>
        <v>51.724142265169249</v>
      </c>
      <c r="AV4" s="1">
        <f t="shared" ref="AV4:AV35" si="17">+AS4*P4</f>
        <v>17.241380755056415</v>
      </c>
    </row>
    <row r="5" spans="1:48" x14ac:dyDescent="0.25">
      <c r="A5">
        <v>2</v>
      </c>
      <c r="B5">
        <v>1</v>
      </c>
      <c r="C5" t="s">
        <v>134</v>
      </c>
      <c r="D5" t="s">
        <v>135</v>
      </c>
      <c r="E5" t="s">
        <v>136</v>
      </c>
      <c r="F5">
        <v>-1.565307814836818E-2</v>
      </c>
      <c r="G5">
        <v>2.7883494389970499E-3</v>
      </c>
      <c r="H5">
        <v>7.9167557956915963E-2</v>
      </c>
      <c r="I5">
        <v>1.854492124959676E-3</v>
      </c>
      <c r="K5" s="30" t="s">
        <v>136</v>
      </c>
      <c r="L5" s="30"/>
      <c r="M5" s="37">
        <f t="shared" si="0"/>
        <v>1.6926339686112774E-3</v>
      </c>
      <c r="N5" s="37">
        <f t="shared" si="1"/>
        <v>7.3962211819437931E-3</v>
      </c>
      <c r="O5" s="34">
        <f t="shared" si="2"/>
        <v>0.38761317881198254</v>
      </c>
      <c r="P5" s="34">
        <f t="shared" si="3"/>
        <v>1.1094331772915689</v>
      </c>
      <c r="Q5" s="31" t="s">
        <v>136</v>
      </c>
      <c r="R5" s="32">
        <f t="shared" si="4"/>
        <v>1.4970463561035514</v>
      </c>
      <c r="S5">
        <f t="shared" ref="S5:S36" si="18">+R5*U5</f>
        <v>1.4970463561035514</v>
      </c>
      <c r="U5" s="13">
        <v>1</v>
      </c>
      <c r="V5" s="13" t="s">
        <v>354</v>
      </c>
      <c r="W5" s="13" t="s">
        <v>355</v>
      </c>
      <c r="X5" s="13">
        <v>3</v>
      </c>
      <c r="Y5" s="13" t="s">
        <v>356</v>
      </c>
      <c r="Z5" s="13" t="s">
        <v>357</v>
      </c>
      <c r="AA5" s="13">
        <v>1</v>
      </c>
      <c r="AB5" s="13" t="s">
        <v>135</v>
      </c>
      <c r="AC5" s="13" t="s">
        <v>355</v>
      </c>
      <c r="AD5" s="13">
        <v>1</v>
      </c>
      <c r="AE5" s="13" t="s">
        <v>358</v>
      </c>
      <c r="AF5" s="1">
        <f t="shared" si="5"/>
        <v>1.1628395364359476</v>
      </c>
      <c r="AG5" s="1">
        <f t="shared" si="6"/>
        <v>0.38761317881198254</v>
      </c>
      <c r="AH5" s="1"/>
      <c r="AI5" s="1"/>
      <c r="AJ5" s="13">
        <f t="shared" si="7"/>
        <v>1</v>
      </c>
      <c r="AK5" s="13" t="s">
        <v>29</v>
      </c>
      <c r="AL5" s="13" t="str">
        <f t="shared" si="8"/>
        <v>+</v>
      </c>
      <c r="AM5" s="13">
        <f t="shared" si="9"/>
        <v>2</v>
      </c>
      <c r="AN5" s="13" t="str">
        <f t="shared" si="10"/>
        <v>H2</v>
      </c>
      <c r="AO5" s="13" t="str">
        <f t="shared" si="11"/>
        <v>=</v>
      </c>
      <c r="AP5" s="13">
        <f t="shared" si="12"/>
        <v>1</v>
      </c>
      <c r="AQ5" s="13" t="str">
        <f t="shared" si="13"/>
        <v>CH4O</v>
      </c>
      <c r="AR5" s="13" t="str">
        <f t="shared" si="14"/>
        <v>+</v>
      </c>
      <c r="AS5" s="13">
        <v>0</v>
      </c>
      <c r="AT5" s="13" t="str">
        <f t="shared" si="15"/>
        <v>H2O</v>
      </c>
      <c r="AU5" s="1">
        <f t="shared" si="16"/>
        <v>2.2188663545831377</v>
      </c>
      <c r="AV5" s="1">
        <f t="shared" si="17"/>
        <v>0</v>
      </c>
    </row>
    <row r="6" spans="1:48" x14ac:dyDescent="0.25">
      <c r="A6">
        <v>3</v>
      </c>
      <c r="B6">
        <v>2</v>
      </c>
      <c r="C6" t="s">
        <v>137</v>
      </c>
      <c r="D6" t="s">
        <v>138</v>
      </c>
      <c r="E6" t="s">
        <v>139</v>
      </c>
      <c r="F6">
        <v>-5.6348297964139857E-2</v>
      </c>
      <c r="G6">
        <v>7.5968078376553614E-3</v>
      </c>
      <c r="H6">
        <v>5.5717427979477333E-2</v>
      </c>
      <c r="I6">
        <v>1.1423539288892681E-2</v>
      </c>
      <c r="K6" s="30" t="s">
        <v>139</v>
      </c>
      <c r="L6" s="30"/>
      <c r="M6" s="37">
        <f t="shared" si="0"/>
        <v>3.6524269801655714E-3</v>
      </c>
      <c r="N6" s="37">
        <f t="shared" si="1"/>
        <v>1.5323759247456093E-2</v>
      </c>
      <c r="O6" s="34">
        <f t="shared" si="2"/>
        <v>0.41820288922895793</v>
      </c>
      <c r="P6" s="34">
        <f t="shared" si="3"/>
        <v>1.149281943559207</v>
      </c>
      <c r="Q6" s="31" t="s">
        <v>139</v>
      </c>
      <c r="R6" s="32">
        <f t="shared" si="4"/>
        <v>1.567484832788165</v>
      </c>
      <c r="S6">
        <f t="shared" si="18"/>
        <v>3.1349696655763299</v>
      </c>
      <c r="U6" s="13">
        <v>2</v>
      </c>
      <c r="V6" s="13" t="s">
        <v>354</v>
      </c>
      <c r="W6" s="13" t="s">
        <v>355</v>
      </c>
      <c r="X6" s="13">
        <v>7</v>
      </c>
      <c r="Y6" s="13" t="s">
        <v>356</v>
      </c>
      <c r="Z6" s="13" t="s">
        <v>357</v>
      </c>
      <c r="AA6" s="13">
        <v>1</v>
      </c>
      <c r="AB6" s="13" t="s">
        <v>138</v>
      </c>
      <c r="AC6" s="13" t="s">
        <v>355</v>
      </c>
      <c r="AD6" s="13">
        <v>4</v>
      </c>
      <c r="AE6" s="13" t="s">
        <v>358</v>
      </c>
      <c r="AF6" s="1">
        <f t="shared" si="5"/>
        <v>2.9274202246027055</v>
      </c>
      <c r="AG6" s="1">
        <f t="shared" si="6"/>
        <v>1.6728115569158317</v>
      </c>
      <c r="AH6" s="1"/>
      <c r="AI6" s="1"/>
      <c r="AJ6" s="13">
        <f t="shared" si="7"/>
        <v>2</v>
      </c>
      <c r="AK6" s="13" t="s">
        <v>29</v>
      </c>
      <c r="AL6" s="13" t="str">
        <f t="shared" si="8"/>
        <v>+</v>
      </c>
      <c r="AM6" s="13">
        <f t="shared" si="9"/>
        <v>5</v>
      </c>
      <c r="AN6" s="13" t="str">
        <f t="shared" si="10"/>
        <v>H2</v>
      </c>
      <c r="AO6" s="13" t="str">
        <f t="shared" si="11"/>
        <v>=</v>
      </c>
      <c r="AP6" s="13">
        <f t="shared" si="12"/>
        <v>1</v>
      </c>
      <c r="AQ6" s="13" t="str">
        <f t="shared" si="13"/>
        <v>C2H6</v>
      </c>
      <c r="AR6" s="13" t="str">
        <f t="shared" si="14"/>
        <v>+</v>
      </c>
      <c r="AS6" s="13">
        <f t="shared" ref="AS6:AS37" si="19">+AJ6</f>
        <v>2</v>
      </c>
      <c r="AT6" s="13" t="str">
        <f t="shared" si="15"/>
        <v>H2O</v>
      </c>
      <c r="AU6" s="1">
        <f t="shared" si="16"/>
        <v>5.7464097177960349</v>
      </c>
      <c r="AV6" s="1">
        <f t="shared" si="17"/>
        <v>2.298563887118414</v>
      </c>
    </row>
    <row r="7" spans="1:48" x14ac:dyDescent="0.25">
      <c r="A7">
        <v>4</v>
      </c>
      <c r="B7">
        <v>2</v>
      </c>
      <c r="C7" t="s">
        <v>140</v>
      </c>
      <c r="D7" t="s">
        <v>141</v>
      </c>
      <c r="E7" t="s">
        <v>142</v>
      </c>
      <c r="F7">
        <v>-0.1901952633848146</v>
      </c>
      <c r="G7">
        <v>2.8190737667192049E-2</v>
      </c>
      <c r="H7">
        <v>0.42749126671511561</v>
      </c>
      <c r="I7">
        <v>3.3600492940832311E-2</v>
      </c>
      <c r="K7" s="30" t="s">
        <v>142</v>
      </c>
      <c r="L7" s="30"/>
      <c r="M7" s="37">
        <f t="shared" si="0"/>
        <v>1.4877069230255025E-2</v>
      </c>
      <c r="N7" s="37">
        <f t="shared" si="1"/>
        <v>6.3524881610890399E-2</v>
      </c>
      <c r="O7" s="34">
        <f t="shared" si="2"/>
        <v>1.7034244268642003</v>
      </c>
      <c r="P7" s="34">
        <f t="shared" si="3"/>
        <v>4.7643661208167796</v>
      </c>
      <c r="Q7" s="31" t="s">
        <v>142</v>
      </c>
      <c r="R7" s="32">
        <f t="shared" si="4"/>
        <v>6.4677905476809796</v>
      </c>
      <c r="S7">
        <f t="shared" si="18"/>
        <v>12.935581095361959</v>
      </c>
      <c r="U7" s="13">
        <v>2</v>
      </c>
      <c r="V7" s="13" t="s">
        <v>354</v>
      </c>
      <c r="W7" s="13" t="s">
        <v>355</v>
      </c>
      <c r="X7" s="13">
        <v>6</v>
      </c>
      <c r="Y7" s="13" t="s">
        <v>356</v>
      </c>
      <c r="Z7" s="13" t="s">
        <v>357</v>
      </c>
      <c r="AA7" s="13">
        <v>1</v>
      </c>
      <c r="AB7" s="13" t="s">
        <v>141</v>
      </c>
      <c r="AC7" s="13" t="s">
        <v>355</v>
      </c>
      <c r="AD7" s="13">
        <v>4</v>
      </c>
      <c r="AE7" s="13" t="s">
        <v>358</v>
      </c>
      <c r="AF7" s="1">
        <f t="shared" si="5"/>
        <v>10.220546561185202</v>
      </c>
      <c r="AG7" s="1">
        <f t="shared" si="6"/>
        <v>6.813697707456801</v>
      </c>
      <c r="AH7" s="1"/>
      <c r="AI7" s="1"/>
      <c r="AJ7" s="13">
        <f t="shared" si="7"/>
        <v>2</v>
      </c>
      <c r="AK7" s="13" t="s">
        <v>29</v>
      </c>
      <c r="AL7" s="13" t="str">
        <f t="shared" si="8"/>
        <v>+</v>
      </c>
      <c r="AM7" s="13">
        <f t="shared" si="9"/>
        <v>4</v>
      </c>
      <c r="AN7" s="13" t="str">
        <f t="shared" si="10"/>
        <v>H2</v>
      </c>
      <c r="AO7" s="13" t="str">
        <f t="shared" si="11"/>
        <v>=</v>
      </c>
      <c r="AP7" s="13">
        <f t="shared" si="12"/>
        <v>1</v>
      </c>
      <c r="AQ7" s="13" t="str">
        <f t="shared" si="13"/>
        <v>C2H4</v>
      </c>
      <c r="AR7" s="13" t="str">
        <f t="shared" si="14"/>
        <v>+</v>
      </c>
      <c r="AS7" s="13">
        <f t="shared" si="19"/>
        <v>2</v>
      </c>
      <c r="AT7" s="13" t="str">
        <f t="shared" si="15"/>
        <v>H2O</v>
      </c>
      <c r="AU7" s="1">
        <f t="shared" si="16"/>
        <v>19.057464483267118</v>
      </c>
      <c r="AV7" s="1">
        <f t="shared" si="17"/>
        <v>9.5287322416335591</v>
      </c>
    </row>
    <row r="8" spans="1:48" x14ac:dyDescent="0.25">
      <c r="A8">
        <v>5</v>
      </c>
      <c r="B8">
        <v>3</v>
      </c>
      <c r="C8" t="s">
        <v>143</v>
      </c>
      <c r="D8" t="s">
        <v>144</v>
      </c>
      <c r="E8" t="s">
        <v>145</v>
      </c>
      <c r="F8">
        <v>-3.3934524851379808E-2</v>
      </c>
      <c r="G8">
        <v>4.7899773611590913E-3</v>
      </c>
      <c r="H8">
        <v>5.3747444661743908E-2</v>
      </c>
      <c r="I8">
        <v>6.461427529202023E-3</v>
      </c>
      <c r="K8" s="30" t="s">
        <v>145</v>
      </c>
      <c r="L8" s="30"/>
      <c r="M8" s="37">
        <f t="shared" si="0"/>
        <v>2.4145606215625046E-3</v>
      </c>
      <c r="N8" s="37">
        <f t="shared" si="1"/>
        <v>1.0223748655524096E-2</v>
      </c>
      <c r="O8" s="34">
        <f t="shared" si="2"/>
        <v>0.18431146077927119</v>
      </c>
      <c r="P8" s="34">
        <f t="shared" si="3"/>
        <v>0.51118743277620482</v>
      </c>
      <c r="Q8" s="31" t="s">
        <v>145</v>
      </c>
      <c r="R8" s="32">
        <f t="shared" si="4"/>
        <v>0.69549889355547601</v>
      </c>
      <c r="S8">
        <f t="shared" si="18"/>
        <v>2.086496680666428</v>
      </c>
      <c r="U8" s="13">
        <v>3</v>
      </c>
      <c r="V8" s="13" t="s">
        <v>354</v>
      </c>
      <c r="W8" s="13" t="s">
        <v>355</v>
      </c>
      <c r="X8" s="13">
        <v>10</v>
      </c>
      <c r="Y8" s="13" t="s">
        <v>356</v>
      </c>
      <c r="Z8" s="13" t="s">
        <v>357</v>
      </c>
      <c r="AA8" s="13">
        <v>1</v>
      </c>
      <c r="AB8" s="13" t="s">
        <v>144</v>
      </c>
      <c r="AC8" s="13" t="s">
        <v>355</v>
      </c>
      <c r="AD8" s="13">
        <v>6</v>
      </c>
      <c r="AE8" s="13" t="s">
        <v>358</v>
      </c>
      <c r="AF8" s="1">
        <f t="shared" si="5"/>
        <v>1.8431146077927119</v>
      </c>
      <c r="AG8" s="1">
        <f t="shared" si="6"/>
        <v>1.1058687646756271</v>
      </c>
      <c r="AH8" s="1"/>
      <c r="AI8" s="1"/>
      <c r="AJ8" s="13">
        <f t="shared" si="7"/>
        <v>3</v>
      </c>
      <c r="AK8" s="13" t="s">
        <v>29</v>
      </c>
      <c r="AL8" s="13" t="str">
        <f t="shared" si="8"/>
        <v>+</v>
      </c>
      <c r="AM8" s="13">
        <f t="shared" si="9"/>
        <v>7</v>
      </c>
      <c r="AN8" s="13" t="str">
        <f t="shared" si="10"/>
        <v>H2</v>
      </c>
      <c r="AO8" s="13" t="str">
        <f t="shared" si="11"/>
        <v>=</v>
      </c>
      <c r="AP8" s="13">
        <f t="shared" si="12"/>
        <v>1</v>
      </c>
      <c r="AQ8" s="13" t="str">
        <f t="shared" si="13"/>
        <v>C3H8</v>
      </c>
      <c r="AR8" s="13" t="str">
        <f t="shared" si="14"/>
        <v>+</v>
      </c>
      <c r="AS8" s="13">
        <f t="shared" si="19"/>
        <v>3</v>
      </c>
      <c r="AT8" s="13" t="str">
        <f t="shared" si="15"/>
        <v>H2O</v>
      </c>
      <c r="AU8" s="1">
        <f t="shared" si="16"/>
        <v>3.5783120294334338</v>
      </c>
      <c r="AV8" s="1">
        <f t="shared" si="17"/>
        <v>1.5335622983286146</v>
      </c>
    </row>
    <row r="9" spans="1:48" x14ac:dyDescent="0.25">
      <c r="A9">
        <v>6</v>
      </c>
      <c r="B9">
        <v>3</v>
      </c>
      <c r="C9" t="s">
        <v>146</v>
      </c>
      <c r="D9" t="s">
        <v>147</v>
      </c>
      <c r="E9" t="s">
        <v>148</v>
      </c>
      <c r="F9">
        <v>-0.29103995480445177</v>
      </c>
      <c r="G9">
        <v>4.2744659369803442E-2</v>
      </c>
      <c r="H9">
        <v>0.61721193511729444</v>
      </c>
      <c r="I9">
        <v>5.2181024564220843E-2</v>
      </c>
      <c r="K9" s="30" t="s">
        <v>148</v>
      </c>
      <c r="L9" s="30"/>
      <c r="M9" s="37">
        <f t="shared" si="0"/>
        <v>2.2371862533491816E-2</v>
      </c>
      <c r="N9" s="37">
        <f t="shared" si="1"/>
        <v>9.5385860022431462E-2</v>
      </c>
      <c r="O9" s="34">
        <f t="shared" si="2"/>
        <v>1.7077188400565422</v>
      </c>
      <c r="P9" s="34">
        <f t="shared" si="3"/>
        <v>4.7692930011215733</v>
      </c>
      <c r="Q9" s="31" t="s">
        <v>148</v>
      </c>
      <c r="R9" s="32">
        <f t="shared" si="4"/>
        <v>6.4770118411781157</v>
      </c>
      <c r="S9">
        <f t="shared" si="18"/>
        <v>19.431035523534348</v>
      </c>
      <c r="U9" s="13">
        <v>3</v>
      </c>
      <c r="V9" s="13" t="s">
        <v>354</v>
      </c>
      <c r="W9" s="13" t="s">
        <v>355</v>
      </c>
      <c r="X9" s="13">
        <v>9</v>
      </c>
      <c r="Y9" s="13" t="s">
        <v>356</v>
      </c>
      <c r="Z9" s="13" t="s">
        <v>357</v>
      </c>
      <c r="AA9" s="13">
        <v>1</v>
      </c>
      <c r="AB9" s="13" t="s">
        <v>359</v>
      </c>
      <c r="AC9" s="13" t="s">
        <v>355</v>
      </c>
      <c r="AD9" s="13">
        <v>6</v>
      </c>
      <c r="AE9" s="13" t="s">
        <v>358</v>
      </c>
      <c r="AF9" s="1">
        <f t="shared" si="5"/>
        <v>15.369469560508879</v>
      </c>
      <c r="AG9" s="1">
        <f t="shared" si="6"/>
        <v>10.246313040339253</v>
      </c>
      <c r="AH9" s="1"/>
      <c r="AI9" s="1"/>
      <c r="AJ9" s="13">
        <f t="shared" si="7"/>
        <v>3</v>
      </c>
      <c r="AK9" s="13" t="s">
        <v>29</v>
      </c>
      <c r="AL9" s="13" t="str">
        <f t="shared" si="8"/>
        <v>+</v>
      </c>
      <c r="AM9" s="13">
        <f t="shared" si="9"/>
        <v>6</v>
      </c>
      <c r="AN9" s="13" t="str">
        <f t="shared" si="10"/>
        <v>H2</v>
      </c>
      <c r="AO9" s="13" t="str">
        <f t="shared" si="11"/>
        <v>=</v>
      </c>
      <c r="AP9" s="13">
        <f t="shared" si="12"/>
        <v>1</v>
      </c>
      <c r="AQ9" s="13" t="str">
        <f t="shared" si="13"/>
        <v>C3H6</v>
      </c>
      <c r="AR9" s="13" t="str">
        <f t="shared" si="14"/>
        <v>+</v>
      </c>
      <c r="AS9" s="13">
        <f t="shared" si="19"/>
        <v>3</v>
      </c>
      <c r="AT9" s="13" t="str">
        <f t="shared" si="15"/>
        <v>H2O</v>
      </c>
      <c r="AU9" s="1">
        <f t="shared" si="16"/>
        <v>28.61575800672944</v>
      </c>
      <c r="AV9" s="1">
        <f t="shared" si="17"/>
        <v>14.30787900336472</v>
      </c>
    </row>
    <row r="10" spans="1:48" x14ac:dyDescent="0.25">
      <c r="A10">
        <v>7</v>
      </c>
      <c r="B10">
        <v>4</v>
      </c>
      <c r="C10" t="s">
        <v>149</v>
      </c>
      <c r="D10" t="s">
        <v>150</v>
      </c>
      <c r="E10" t="s">
        <v>151</v>
      </c>
      <c r="F10">
        <v>-3.2527207323274202E-2</v>
      </c>
      <c r="G10">
        <v>4.5919775854091132E-3</v>
      </c>
      <c r="H10">
        <v>5.1579327632474838E-2</v>
      </c>
      <c r="I10">
        <v>6.192201535350628E-3</v>
      </c>
      <c r="K10" s="30" t="s">
        <v>151</v>
      </c>
      <c r="L10" s="30"/>
      <c r="M10" s="37">
        <f t="shared" si="0"/>
        <v>2.3150730727799188E-3</v>
      </c>
      <c r="N10" s="37">
        <f t="shared" si="1"/>
        <v>9.8027544696238679E-3</v>
      </c>
      <c r="O10" s="34">
        <f t="shared" si="2"/>
        <v>0.13253793341665035</v>
      </c>
      <c r="P10" s="34">
        <f t="shared" si="3"/>
        <v>0.36760329261089503</v>
      </c>
      <c r="Q10" s="31" t="s">
        <v>151</v>
      </c>
      <c r="R10" s="32">
        <f t="shared" si="4"/>
        <v>0.5001412260275454</v>
      </c>
      <c r="S10">
        <f t="shared" si="18"/>
        <v>2.0005649041101816</v>
      </c>
      <c r="U10" s="13">
        <v>4</v>
      </c>
      <c r="V10" s="13" t="s">
        <v>354</v>
      </c>
      <c r="W10" s="13" t="s">
        <v>355</v>
      </c>
      <c r="X10" s="13">
        <v>13</v>
      </c>
      <c r="Y10" s="13" t="s">
        <v>356</v>
      </c>
      <c r="Z10" s="13" t="s">
        <v>357</v>
      </c>
      <c r="AA10" s="13">
        <v>1</v>
      </c>
      <c r="AB10" s="13" t="s">
        <v>360</v>
      </c>
      <c r="AC10" s="13" t="s">
        <v>355</v>
      </c>
      <c r="AD10" s="13">
        <v>8</v>
      </c>
      <c r="AE10" s="13" t="s">
        <v>358</v>
      </c>
      <c r="AF10" s="1">
        <f t="shared" si="5"/>
        <v>1.7229931344164546</v>
      </c>
      <c r="AG10" s="1">
        <f t="shared" si="6"/>
        <v>1.0603034673332028</v>
      </c>
      <c r="AH10" s="1"/>
      <c r="AI10" s="1"/>
      <c r="AJ10" s="13">
        <f t="shared" si="7"/>
        <v>4</v>
      </c>
      <c r="AK10" s="13" t="s">
        <v>29</v>
      </c>
      <c r="AL10" s="13" t="str">
        <f t="shared" si="8"/>
        <v>+</v>
      </c>
      <c r="AM10" s="13">
        <f t="shared" si="9"/>
        <v>9</v>
      </c>
      <c r="AN10" s="13" t="str">
        <f t="shared" si="10"/>
        <v>H2</v>
      </c>
      <c r="AO10" s="13" t="str">
        <f t="shared" si="11"/>
        <v>=</v>
      </c>
      <c r="AP10" s="13">
        <f t="shared" si="12"/>
        <v>1</v>
      </c>
      <c r="AQ10" s="13" t="str">
        <f t="shared" si="13"/>
        <v>C4H10</v>
      </c>
      <c r="AR10" s="13" t="str">
        <f t="shared" si="14"/>
        <v>+</v>
      </c>
      <c r="AS10" s="13">
        <f t="shared" si="19"/>
        <v>4</v>
      </c>
      <c r="AT10" s="13" t="str">
        <f t="shared" si="15"/>
        <v>H2O</v>
      </c>
      <c r="AU10" s="1">
        <f t="shared" si="16"/>
        <v>3.3084296334980552</v>
      </c>
      <c r="AV10" s="1">
        <f t="shared" si="17"/>
        <v>1.4704131704435801</v>
      </c>
    </row>
    <row r="11" spans="1:48" x14ac:dyDescent="0.25">
      <c r="A11">
        <v>8</v>
      </c>
      <c r="B11">
        <v>4</v>
      </c>
      <c r="C11" t="s">
        <v>152</v>
      </c>
      <c r="D11" t="s">
        <v>153</v>
      </c>
      <c r="E11" t="s">
        <v>154</v>
      </c>
      <c r="F11">
        <v>-1.077474665296357E-3</v>
      </c>
      <c r="G11">
        <v>1.4264260327107869E-4</v>
      </c>
      <c r="H11">
        <v>8.1918968533377476E-4</v>
      </c>
      <c r="I11">
        <v>2.2353606584803081E-4</v>
      </c>
      <c r="K11" s="30" t="s">
        <v>154</v>
      </c>
      <c r="L11" s="30"/>
      <c r="M11" s="37">
        <f t="shared" si="0"/>
        <v>6.7219376700333695E-5</v>
      </c>
      <c r="N11" s="37">
        <f t="shared" si="1"/>
        <v>2.8087934382139507E-4</v>
      </c>
      <c r="O11" s="34">
        <f t="shared" si="2"/>
        <v>3.8483093160941039E-3</v>
      </c>
      <c r="P11" s="34">
        <f t="shared" si="3"/>
        <v>1.0532975393302314E-2</v>
      </c>
      <c r="Q11" s="31" t="s">
        <v>154</v>
      </c>
      <c r="R11" s="32">
        <f t="shared" si="4"/>
        <v>1.4381284709396418E-2</v>
      </c>
      <c r="S11">
        <f t="shared" si="18"/>
        <v>5.7525138837585671E-2</v>
      </c>
      <c r="U11" s="13">
        <v>4</v>
      </c>
      <c r="V11" s="13" t="s">
        <v>354</v>
      </c>
      <c r="W11" s="13" t="s">
        <v>355</v>
      </c>
      <c r="X11" s="13">
        <v>13</v>
      </c>
      <c r="Y11" s="13" t="s">
        <v>356</v>
      </c>
      <c r="Z11" s="13" t="s">
        <v>357</v>
      </c>
      <c r="AA11" s="13">
        <v>1</v>
      </c>
      <c r="AB11" s="13" t="s">
        <v>360</v>
      </c>
      <c r="AC11" s="13" t="s">
        <v>355</v>
      </c>
      <c r="AD11" s="13">
        <v>8</v>
      </c>
      <c r="AE11" s="13" t="s">
        <v>358</v>
      </c>
      <c r="AF11" s="1">
        <f t="shared" si="5"/>
        <v>5.0028021109223351E-2</v>
      </c>
      <c r="AG11" s="1">
        <f t="shared" si="6"/>
        <v>3.0786474528752831E-2</v>
      </c>
      <c r="AH11" s="1"/>
      <c r="AI11" s="1"/>
      <c r="AJ11" s="13">
        <f t="shared" si="7"/>
        <v>4</v>
      </c>
      <c r="AK11" s="13" t="s">
        <v>29</v>
      </c>
      <c r="AL11" s="13" t="str">
        <f t="shared" si="8"/>
        <v>+</v>
      </c>
      <c r="AM11" s="13">
        <f t="shared" si="9"/>
        <v>9</v>
      </c>
      <c r="AN11" s="13" t="str">
        <f t="shared" si="10"/>
        <v>H2</v>
      </c>
      <c r="AO11" s="13" t="str">
        <f t="shared" si="11"/>
        <v>=</v>
      </c>
      <c r="AP11" s="13">
        <f t="shared" si="12"/>
        <v>1</v>
      </c>
      <c r="AQ11" s="13" t="str">
        <f t="shared" si="13"/>
        <v>C4H10</v>
      </c>
      <c r="AR11" s="13" t="str">
        <f t="shared" si="14"/>
        <v>+</v>
      </c>
      <c r="AS11" s="13">
        <f t="shared" si="19"/>
        <v>4</v>
      </c>
      <c r="AT11" s="13" t="str">
        <f t="shared" si="15"/>
        <v>H2O</v>
      </c>
      <c r="AU11" s="1">
        <f t="shared" si="16"/>
        <v>9.4796778539720822E-2</v>
      </c>
      <c r="AV11" s="1">
        <f t="shared" si="17"/>
        <v>4.2131901573209257E-2</v>
      </c>
    </row>
    <row r="12" spans="1:48" x14ac:dyDescent="0.25">
      <c r="A12">
        <v>9</v>
      </c>
      <c r="B12">
        <v>4</v>
      </c>
      <c r="C12" t="s">
        <v>155</v>
      </c>
      <c r="D12" t="s">
        <v>156</v>
      </c>
      <c r="E12" t="s">
        <v>157</v>
      </c>
      <c r="F12">
        <v>-0.2275999893278548</v>
      </c>
      <c r="G12">
        <v>3.3589610064327792E-2</v>
      </c>
      <c r="H12">
        <v>0.49791926113902502</v>
      </c>
      <c r="I12">
        <v>4.0491076424400391E-2</v>
      </c>
      <c r="K12" s="30" t="s">
        <v>157</v>
      </c>
      <c r="L12" s="30"/>
      <c r="M12" s="37">
        <f t="shared" si="0"/>
        <v>1.7657610811377955E-2</v>
      </c>
      <c r="N12" s="37">
        <f t="shared" si="1"/>
        <v>7.5345424704132136E-2</v>
      </c>
      <c r="O12" s="34">
        <f t="shared" si="2"/>
        <v>1.010898218951388</v>
      </c>
      <c r="P12" s="34">
        <f t="shared" si="3"/>
        <v>2.8254534264049549</v>
      </c>
      <c r="Q12" s="31" t="s">
        <v>157</v>
      </c>
      <c r="R12" s="32">
        <f t="shared" si="4"/>
        <v>3.8363516453563431</v>
      </c>
      <c r="S12">
        <f t="shared" si="18"/>
        <v>15.345406581425372</v>
      </c>
      <c r="U12" s="13">
        <v>4</v>
      </c>
      <c r="V12" s="13" t="s">
        <v>354</v>
      </c>
      <c r="W12" s="13" t="s">
        <v>355</v>
      </c>
      <c r="X12" s="13">
        <v>12</v>
      </c>
      <c r="Y12" s="13" t="s">
        <v>356</v>
      </c>
      <c r="Z12" s="13" t="s">
        <v>357</v>
      </c>
      <c r="AA12" s="13">
        <v>1</v>
      </c>
      <c r="AB12" s="13" t="s">
        <v>361</v>
      </c>
      <c r="AC12" s="13" t="s">
        <v>355</v>
      </c>
      <c r="AD12" s="13">
        <v>8</v>
      </c>
      <c r="AE12" s="13" t="s">
        <v>358</v>
      </c>
      <c r="AF12" s="1">
        <f t="shared" si="5"/>
        <v>12.130778627416657</v>
      </c>
      <c r="AG12" s="1">
        <f t="shared" si="6"/>
        <v>8.0871857516111039</v>
      </c>
      <c r="AH12" s="1"/>
      <c r="AI12" s="1"/>
      <c r="AJ12" s="13">
        <f t="shared" si="7"/>
        <v>4</v>
      </c>
      <c r="AK12" s="13" t="s">
        <v>29</v>
      </c>
      <c r="AL12" s="13" t="str">
        <f t="shared" si="8"/>
        <v>+</v>
      </c>
      <c r="AM12" s="13">
        <f t="shared" si="9"/>
        <v>8</v>
      </c>
      <c r="AN12" s="13" t="str">
        <f t="shared" si="10"/>
        <v>H2</v>
      </c>
      <c r="AO12" s="13" t="str">
        <f t="shared" si="11"/>
        <v>=</v>
      </c>
      <c r="AP12" s="13">
        <f t="shared" si="12"/>
        <v>1</v>
      </c>
      <c r="AQ12" s="13" t="str">
        <f t="shared" si="13"/>
        <v>C4H8</v>
      </c>
      <c r="AR12" s="13" t="str">
        <f t="shared" si="14"/>
        <v>+</v>
      </c>
      <c r="AS12" s="13">
        <f t="shared" si="19"/>
        <v>4</v>
      </c>
      <c r="AT12" s="13" t="str">
        <f t="shared" si="15"/>
        <v>H2O</v>
      </c>
      <c r="AU12" s="1">
        <f t="shared" si="16"/>
        <v>22.603627411239639</v>
      </c>
      <c r="AV12" s="1">
        <f t="shared" si="17"/>
        <v>11.30181370561982</v>
      </c>
    </row>
    <row r="13" spans="1:48" x14ac:dyDescent="0.25">
      <c r="A13">
        <v>10</v>
      </c>
      <c r="B13">
        <v>5</v>
      </c>
      <c r="C13" t="s">
        <v>158</v>
      </c>
      <c r="D13" t="s">
        <v>159</v>
      </c>
      <c r="E13" t="s">
        <v>160</v>
      </c>
      <c r="F13">
        <v>-5.9062955009875517E-2</v>
      </c>
      <c r="G13">
        <v>5.5103721332261059E-3</v>
      </c>
      <c r="H13">
        <v>-0.17196604989805289</v>
      </c>
      <c r="I13">
        <v>1.6744277935884309E-2</v>
      </c>
      <c r="K13" s="30" t="s">
        <v>160</v>
      </c>
      <c r="L13" s="30"/>
      <c r="M13" s="37">
        <f t="shared" si="0"/>
        <v>1.3759652825348192E-3</v>
      </c>
      <c r="N13" s="37">
        <f t="shared" si="1"/>
        <v>4.7066544430206057E-3</v>
      </c>
      <c r="O13" s="34">
        <f t="shared" si="2"/>
        <v>6.3019209940094717E-2</v>
      </c>
      <c r="P13" s="34">
        <f t="shared" si="3"/>
        <v>0.14119963329061819</v>
      </c>
      <c r="Q13" s="31" t="s">
        <v>160</v>
      </c>
      <c r="R13" s="32">
        <f t="shared" si="4"/>
        <v>0.2042188432307129</v>
      </c>
      <c r="S13">
        <f t="shared" si="18"/>
        <v>1.0210942161535645</v>
      </c>
      <c r="U13" s="13">
        <v>5</v>
      </c>
      <c r="V13" s="13" t="s">
        <v>354</v>
      </c>
      <c r="W13" s="13" t="s">
        <v>355</v>
      </c>
      <c r="X13" s="13">
        <v>16</v>
      </c>
      <c r="Y13" s="13" t="s">
        <v>356</v>
      </c>
      <c r="Z13" s="13" t="s">
        <v>357</v>
      </c>
      <c r="AA13" s="13">
        <v>1</v>
      </c>
      <c r="AB13" s="13" t="s">
        <v>362</v>
      </c>
      <c r="AC13" s="13" t="s">
        <v>355</v>
      </c>
      <c r="AD13" s="13">
        <v>10</v>
      </c>
      <c r="AE13" s="13" t="s">
        <v>358</v>
      </c>
      <c r="AF13" s="1">
        <f t="shared" si="5"/>
        <v>1.0083073590415155</v>
      </c>
      <c r="AG13" s="1">
        <f t="shared" si="6"/>
        <v>0.63019209940094711</v>
      </c>
      <c r="AH13" s="1"/>
      <c r="AI13" s="1"/>
      <c r="AJ13" s="13">
        <f t="shared" si="7"/>
        <v>5</v>
      </c>
      <c r="AK13" s="13" t="s">
        <v>29</v>
      </c>
      <c r="AL13" s="13" t="str">
        <f t="shared" si="8"/>
        <v>+</v>
      </c>
      <c r="AM13" s="13">
        <f t="shared" si="9"/>
        <v>11</v>
      </c>
      <c r="AN13" s="13" t="str">
        <f t="shared" si="10"/>
        <v>H2</v>
      </c>
      <c r="AO13" s="13" t="str">
        <f t="shared" si="11"/>
        <v>=</v>
      </c>
      <c r="AP13" s="13">
        <f t="shared" si="12"/>
        <v>1</v>
      </c>
      <c r="AQ13" s="13" t="str">
        <f t="shared" si="13"/>
        <v>C5H12</v>
      </c>
      <c r="AR13" s="13" t="str">
        <f t="shared" si="14"/>
        <v>+</v>
      </c>
      <c r="AS13" s="13">
        <f t="shared" si="19"/>
        <v>5</v>
      </c>
      <c r="AT13" s="13" t="str">
        <f t="shared" si="15"/>
        <v>H2O</v>
      </c>
      <c r="AU13" s="1">
        <f t="shared" si="16"/>
        <v>1.5531959661968</v>
      </c>
      <c r="AV13" s="1">
        <f t="shared" si="17"/>
        <v>0.70599816645309099</v>
      </c>
    </row>
    <row r="14" spans="1:48" x14ac:dyDescent="0.25">
      <c r="A14">
        <v>11</v>
      </c>
      <c r="B14">
        <v>5</v>
      </c>
      <c r="C14" t="s">
        <v>161</v>
      </c>
      <c r="D14" t="s">
        <v>162</v>
      </c>
      <c r="E14" t="s">
        <v>163</v>
      </c>
      <c r="F14">
        <v>1.0017625367695239E-2</v>
      </c>
      <c r="G14">
        <v>-2.5021125819972258E-4</v>
      </c>
      <c r="H14">
        <v>9.3455902812936475E-2</v>
      </c>
      <c r="I14">
        <v>-4.1712616453708773E-3</v>
      </c>
      <c r="K14" s="30" t="s">
        <v>163</v>
      </c>
      <c r="L14" s="30"/>
      <c r="M14" s="37">
        <f t="shared" si="0"/>
        <v>4.5102251753894419E-4</v>
      </c>
      <c r="N14" s="37">
        <f t="shared" si="1"/>
        <v>2.370651551534677E-3</v>
      </c>
      <c r="O14" s="34">
        <f t="shared" si="2"/>
        <v>2.0656831303283642E-2</v>
      </c>
      <c r="P14" s="34">
        <f t="shared" si="3"/>
        <v>7.1119546546040316E-2</v>
      </c>
      <c r="Q14" s="31" t="s">
        <v>163</v>
      </c>
      <c r="R14" s="32">
        <f t="shared" si="4"/>
        <v>9.1776377849323965E-2</v>
      </c>
      <c r="S14">
        <f t="shared" si="18"/>
        <v>0.45888188924661982</v>
      </c>
      <c r="U14" s="13">
        <v>5</v>
      </c>
      <c r="V14" s="13" t="s">
        <v>354</v>
      </c>
      <c r="W14" s="13" t="s">
        <v>355</v>
      </c>
      <c r="X14" s="13">
        <v>16</v>
      </c>
      <c r="Y14" s="13" t="s">
        <v>356</v>
      </c>
      <c r="Z14" s="13" t="s">
        <v>357</v>
      </c>
      <c r="AA14" s="13">
        <v>1</v>
      </c>
      <c r="AB14" s="13" t="s">
        <v>362</v>
      </c>
      <c r="AC14" s="13" t="s">
        <v>355</v>
      </c>
      <c r="AD14" s="13">
        <v>10</v>
      </c>
      <c r="AE14" s="13" t="s">
        <v>358</v>
      </c>
      <c r="AF14" s="1">
        <f t="shared" si="5"/>
        <v>0.33050930085253827</v>
      </c>
      <c r="AG14" s="1">
        <f t="shared" si="6"/>
        <v>0.2065683130328364</v>
      </c>
      <c r="AH14" s="1"/>
      <c r="AI14" s="1"/>
      <c r="AJ14" s="13">
        <f t="shared" si="7"/>
        <v>5</v>
      </c>
      <c r="AK14" s="13" t="s">
        <v>29</v>
      </c>
      <c r="AL14" s="13" t="str">
        <f t="shared" si="8"/>
        <v>+</v>
      </c>
      <c r="AM14" s="13">
        <f t="shared" si="9"/>
        <v>11</v>
      </c>
      <c r="AN14" s="13" t="str">
        <f t="shared" si="10"/>
        <v>H2</v>
      </c>
      <c r="AO14" s="13" t="str">
        <f t="shared" si="11"/>
        <v>=</v>
      </c>
      <c r="AP14" s="13">
        <f t="shared" si="12"/>
        <v>1</v>
      </c>
      <c r="AQ14" s="13" t="str">
        <f t="shared" si="13"/>
        <v>C5H12</v>
      </c>
      <c r="AR14" s="13" t="str">
        <f t="shared" si="14"/>
        <v>+</v>
      </c>
      <c r="AS14" s="13">
        <f t="shared" si="19"/>
        <v>5</v>
      </c>
      <c r="AT14" s="13" t="str">
        <f t="shared" si="15"/>
        <v>H2O</v>
      </c>
      <c r="AU14" s="1">
        <f t="shared" si="16"/>
        <v>0.78231501200644349</v>
      </c>
      <c r="AV14" s="1">
        <f t="shared" si="17"/>
        <v>0.35559773273020157</v>
      </c>
    </row>
    <row r="15" spans="1:48" x14ac:dyDescent="0.25">
      <c r="A15">
        <v>12</v>
      </c>
      <c r="B15">
        <v>5</v>
      </c>
      <c r="C15" t="s">
        <v>165</v>
      </c>
      <c r="D15" t="s">
        <v>166</v>
      </c>
      <c r="E15" t="s">
        <v>167</v>
      </c>
      <c r="F15">
        <v>-0.27721809442826018</v>
      </c>
      <c r="G15">
        <v>3.5790831684658672E-2</v>
      </c>
      <c r="H15">
        <v>0.12538098713715731</v>
      </c>
      <c r="I15">
        <v>5.9280596245114607E-2</v>
      </c>
      <c r="K15" s="30" t="s">
        <v>167</v>
      </c>
      <c r="L15" s="30"/>
      <c r="M15" s="37">
        <f t="shared" si="0"/>
        <v>1.6385565074680458E-2</v>
      </c>
      <c r="N15" s="37">
        <f t="shared" si="1"/>
        <v>6.8057265344715623E-2</v>
      </c>
      <c r="O15" s="34">
        <f t="shared" si="2"/>
        <v>0.7504588804203649</v>
      </c>
      <c r="P15" s="34">
        <f t="shared" si="3"/>
        <v>2.0417179603414688</v>
      </c>
      <c r="Q15" s="31" t="s">
        <v>167</v>
      </c>
      <c r="R15" s="32">
        <f t="shared" si="4"/>
        <v>2.7921768407618339</v>
      </c>
      <c r="S15">
        <f t="shared" si="18"/>
        <v>13.960884203809169</v>
      </c>
      <c r="U15" s="13">
        <v>5</v>
      </c>
      <c r="V15" s="13" t="s">
        <v>354</v>
      </c>
      <c r="W15" s="13" t="s">
        <v>355</v>
      </c>
      <c r="X15" s="13">
        <v>15</v>
      </c>
      <c r="Y15" s="13" t="s">
        <v>356</v>
      </c>
      <c r="Z15" s="13" t="s">
        <v>357</v>
      </c>
      <c r="AA15" s="13">
        <v>1</v>
      </c>
      <c r="AB15" s="13" t="s">
        <v>363</v>
      </c>
      <c r="AC15" s="13" t="s">
        <v>355</v>
      </c>
      <c r="AD15" s="13">
        <v>10</v>
      </c>
      <c r="AE15" s="13" t="s">
        <v>358</v>
      </c>
      <c r="AF15" s="1">
        <f t="shared" si="5"/>
        <v>11.256883206305474</v>
      </c>
      <c r="AG15" s="1">
        <f t="shared" si="6"/>
        <v>7.5045888042036495</v>
      </c>
      <c r="AH15" s="1"/>
      <c r="AI15" s="1"/>
      <c r="AJ15" s="13">
        <f t="shared" si="7"/>
        <v>5</v>
      </c>
      <c r="AK15" s="13" t="s">
        <v>29</v>
      </c>
      <c r="AL15" s="13" t="str">
        <f t="shared" si="8"/>
        <v>+</v>
      </c>
      <c r="AM15" s="13">
        <f t="shared" si="9"/>
        <v>10</v>
      </c>
      <c r="AN15" s="13" t="str">
        <f t="shared" si="10"/>
        <v>H2</v>
      </c>
      <c r="AO15" s="13" t="str">
        <f t="shared" si="11"/>
        <v>=</v>
      </c>
      <c r="AP15" s="13">
        <f t="shared" si="12"/>
        <v>1</v>
      </c>
      <c r="AQ15" s="13" t="str">
        <f t="shared" si="13"/>
        <v>C5H10</v>
      </c>
      <c r="AR15" s="13" t="str">
        <f t="shared" si="14"/>
        <v>+</v>
      </c>
      <c r="AS15" s="13">
        <f t="shared" si="19"/>
        <v>5</v>
      </c>
      <c r="AT15" s="13" t="str">
        <f t="shared" si="15"/>
        <v>H2O</v>
      </c>
      <c r="AU15" s="1">
        <f t="shared" si="16"/>
        <v>20.417179603414688</v>
      </c>
      <c r="AV15" s="1">
        <f t="shared" si="17"/>
        <v>10.208589801707344</v>
      </c>
    </row>
    <row r="16" spans="1:48" x14ac:dyDescent="0.25">
      <c r="A16">
        <v>13</v>
      </c>
      <c r="B16">
        <v>5</v>
      </c>
      <c r="C16" t="s">
        <v>168</v>
      </c>
      <c r="D16">
        <v>0</v>
      </c>
      <c r="E16" t="s">
        <v>169</v>
      </c>
      <c r="F16">
        <v>-1.6255756621740729E-3</v>
      </c>
      <c r="G16">
        <v>2.1520352332631419E-4</v>
      </c>
      <c r="H16">
        <v>1.235903597618559E-3</v>
      </c>
      <c r="I16">
        <v>3.372467121171281E-4</v>
      </c>
      <c r="K16" s="30" t="s">
        <v>169</v>
      </c>
      <c r="L16" s="30"/>
      <c r="M16" s="37">
        <f t="shared" si="0"/>
        <v>1.0141322697412907E-4</v>
      </c>
      <c r="N16" s="37">
        <f t="shared" si="1"/>
        <v>4.2375996395042724E-4</v>
      </c>
      <c r="O16" s="34">
        <f t="shared" si="2"/>
        <v>4.6447257954151111E-3</v>
      </c>
      <c r="P16" s="34">
        <f t="shared" si="3"/>
        <v>1.2712798918512815E-2</v>
      </c>
      <c r="Q16" s="31" t="s">
        <v>169</v>
      </c>
      <c r="R16" s="32">
        <f t="shared" si="4"/>
        <v>1.7357524713927926E-2</v>
      </c>
      <c r="S16">
        <f t="shared" si="18"/>
        <v>8.6787623569639635E-2</v>
      </c>
      <c r="U16" s="13">
        <v>5</v>
      </c>
      <c r="V16" s="13" t="s">
        <v>354</v>
      </c>
      <c r="W16" s="13" t="s">
        <v>355</v>
      </c>
      <c r="X16" s="13">
        <v>15</v>
      </c>
      <c r="Y16" s="13" t="s">
        <v>356</v>
      </c>
      <c r="Z16" s="13" t="s">
        <v>357</v>
      </c>
      <c r="AA16" s="13">
        <v>1</v>
      </c>
      <c r="AB16" s="13" t="s">
        <v>363</v>
      </c>
      <c r="AC16" s="13" t="s">
        <v>355</v>
      </c>
      <c r="AD16" s="13">
        <v>10</v>
      </c>
      <c r="AE16" s="13" t="s">
        <v>358</v>
      </c>
      <c r="AF16" s="1">
        <f t="shared" si="5"/>
        <v>6.9670886931226667E-2</v>
      </c>
      <c r="AG16" s="1">
        <f t="shared" si="6"/>
        <v>4.6447257954151111E-2</v>
      </c>
      <c r="AH16" s="1"/>
      <c r="AI16" s="1"/>
      <c r="AJ16" s="13">
        <f t="shared" si="7"/>
        <v>5</v>
      </c>
      <c r="AK16" s="13" t="s">
        <v>29</v>
      </c>
      <c r="AL16" s="13" t="str">
        <f t="shared" si="8"/>
        <v>+</v>
      </c>
      <c r="AM16" s="13">
        <f t="shared" si="9"/>
        <v>10</v>
      </c>
      <c r="AN16" s="13" t="str">
        <f t="shared" si="10"/>
        <v>H2</v>
      </c>
      <c r="AO16" s="13" t="str">
        <f t="shared" si="11"/>
        <v>=</v>
      </c>
      <c r="AP16" s="13">
        <f t="shared" si="12"/>
        <v>1</v>
      </c>
      <c r="AQ16" s="13" t="str">
        <f t="shared" si="13"/>
        <v>C5H10</v>
      </c>
      <c r="AR16" s="13" t="str">
        <f t="shared" si="14"/>
        <v>+</v>
      </c>
      <c r="AS16" s="13">
        <f t="shared" si="19"/>
        <v>5</v>
      </c>
      <c r="AT16" s="13" t="str">
        <f t="shared" si="15"/>
        <v>H2O</v>
      </c>
      <c r="AU16" s="1">
        <f t="shared" si="16"/>
        <v>0.12712798918512816</v>
      </c>
      <c r="AV16" s="1">
        <f t="shared" si="17"/>
        <v>6.356399459256408E-2</v>
      </c>
    </row>
    <row r="17" spans="1:48" x14ac:dyDescent="0.25">
      <c r="A17">
        <v>14</v>
      </c>
      <c r="B17">
        <v>6</v>
      </c>
      <c r="C17" t="s">
        <v>170</v>
      </c>
      <c r="D17" t="s">
        <v>171</v>
      </c>
      <c r="E17" t="s">
        <v>172</v>
      </c>
      <c r="F17">
        <v>-0.1245391687840009</v>
      </c>
      <c r="G17">
        <v>1.427096835071665E-2</v>
      </c>
      <c r="H17">
        <v>-0.1135001808346697</v>
      </c>
      <c r="I17">
        <v>3.0148315741372451E-2</v>
      </c>
      <c r="K17" s="30" t="s">
        <v>172</v>
      </c>
      <c r="L17" s="30"/>
      <c r="M17" s="37">
        <f t="shared" si="0"/>
        <v>5.5532265358365866E-3</v>
      </c>
      <c r="N17" s="37">
        <f t="shared" si="1"/>
        <v>2.2203303082945571E-2</v>
      </c>
      <c r="O17" s="34">
        <f t="shared" si="2"/>
        <v>0.21194814611776305</v>
      </c>
      <c r="P17" s="34">
        <f t="shared" si="3"/>
        <v>0.55508257707363928</v>
      </c>
      <c r="Q17" s="31" t="s">
        <v>172</v>
      </c>
      <c r="R17" s="32">
        <f t="shared" si="4"/>
        <v>0.76703072319140231</v>
      </c>
      <c r="S17">
        <f t="shared" si="18"/>
        <v>4.6021843391484136</v>
      </c>
      <c r="U17" s="13">
        <v>6</v>
      </c>
      <c r="V17" s="13" t="s">
        <v>354</v>
      </c>
      <c r="W17" s="13" t="s">
        <v>355</v>
      </c>
      <c r="X17" s="13">
        <v>19</v>
      </c>
      <c r="Y17" s="13" t="s">
        <v>356</v>
      </c>
      <c r="Z17" s="13" t="s">
        <v>357</v>
      </c>
      <c r="AA17" s="13">
        <v>1</v>
      </c>
      <c r="AB17" s="13" t="s">
        <v>364</v>
      </c>
      <c r="AC17" s="13" t="s">
        <v>355</v>
      </c>
      <c r="AD17" s="13">
        <v>12</v>
      </c>
      <c r="AE17" s="13" t="s">
        <v>358</v>
      </c>
      <c r="AF17" s="1">
        <f t="shared" si="5"/>
        <v>4.0270147762374977</v>
      </c>
      <c r="AG17" s="1">
        <f t="shared" si="6"/>
        <v>2.5433777534131567</v>
      </c>
      <c r="AH17" s="1"/>
      <c r="AI17" s="1"/>
      <c r="AJ17" s="13">
        <f t="shared" si="7"/>
        <v>6</v>
      </c>
      <c r="AK17" s="13" t="s">
        <v>29</v>
      </c>
      <c r="AL17" s="13" t="str">
        <f t="shared" si="8"/>
        <v>+</v>
      </c>
      <c r="AM17" s="13">
        <f t="shared" si="9"/>
        <v>13</v>
      </c>
      <c r="AN17" s="13" t="str">
        <f t="shared" si="10"/>
        <v>H2</v>
      </c>
      <c r="AO17" s="13" t="str">
        <f t="shared" si="11"/>
        <v>=</v>
      </c>
      <c r="AP17" s="13">
        <f t="shared" si="12"/>
        <v>1</v>
      </c>
      <c r="AQ17" s="13" t="str">
        <f t="shared" si="13"/>
        <v>C6H14</v>
      </c>
      <c r="AR17" s="13" t="str">
        <f t="shared" si="14"/>
        <v>+</v>
      </c>
      <c r="AS17" s="13">
        <f t="shared" si="19"/>
        <v>6</v>
      </c>
      <c r="AT17" s="13" t="str">
        <f t="shared" si="15"/>
        <v>H2O</v>
      </c>
      <c r="AU17" s="1">
        <f t="shared" si="16"/>
        <v>7.216073501957311</v>
      </c>
      <c r="AV17" s="1">
        <f t="shared" si="17"/>
        <v>3.3304954624418359</v>
      </c>
    </row>
    <row r="18" spans="1:48" x14ac:dyDescent="0.25">
      <c r="A18">
        <v>15</v>
      </c>
      <c r="B18">
        <v>6</v>
      </c>
      <c r="C18" t="s">
        <v>173</v>
      </c>
      <c r="D18" t="s">
        <v>174</v>
      </c>
      <c r="E18" t="s">
        <v>175</v>
      </c>
      <c r="F18">
        <v>-1.3150955034054251E-3</v>
      </c>
      <c r="G18">
        <v>1.6206342976185381E-4</v>
      </c>
      <c r="H18">
        <v>-1.308295945296151E-4</v>
      </c>
      <c r="I18">
        <v>2.9624738928953358E-4</v>
      </c>
      <c r="K18" s="30" t="s">
        <v>175</v>
      </c>
      <c r="L18" s="30"/>
      <c r="M18" s="37">
        <f t="shared" si="0"/>
        <v>7.0006744523474048E-5</v>
      </c>
      <c r="N18" s="37">
        <f t="shared" si="1"/>
        <v>2.8708931767246052E-4</v>
      </c>
      <c r="O18" s="34">
        <f t="shared" si="2"/>
        <v>2.6719240826459261E-3</v>
      </c>
      <c r="P18" s="34">
        <f t="shared" si="3"/>
        <v>7.1772329418115129E-3</v>
      </c>
      <c r="Q18" s="31" t="s">
        <v>175</v>
      </c>
      <c r="R18" s="32">
        <f t="shared" si="4"/>
        <v>9.8491570244574386E-3</v>
      </c>
      <c r="S18">
        <f t="shared" si="18"/>
        <v>5.9094942146744628E-2</v>
      </c>
      <c r="U18" s="13">
        <v>6</v>
      </c>
      <c r="V18" s="13" t="s">
        <v>354</v>
      </c>
      <c r="W18" s="13" t="s">
        <v>355</v>
      </c>
      <c r="X18" s="13">
        <v>19</v>
      </c>
      <c r="Y18" s="13" t="s">
        <v>356</v>
      </c>
      <c r="Z18" s="13" t="s">
        <v>357</v>
      </c>
      <c r="AA18" s="13">
        <v>1</v>
      </c>
      <c r="AB18" s="13" t="s">
        <v>364</v>
      </c>
      <c r="AC18" s="13" t="s">
        <v>355</v>
      </c>
      <c r="AD18" s="13">
        <v>12</v>
      </c>
      <c r="AE18" s="13" t="s">
        <v>358</v>
      </c>
      <c r="AF18" s="1">
        <f t="shared" si="5"/>
        <v>5.0766557570272597E-2</v>
      </c>
      <c r="AG18" s="1">
        <f t="shared" si="6"/>
        <v>3.2063088991751115E-2</v>
      </c>
      <c r="AH18" s="1"/>
      <c r="AI18" s="1"/>
      <c r="AJ18" s="13">
        <f t="shared" si="7"/>
        <v>6</v>
      </c>
      <c r="AK18" s="13" t="s">
        <v>29</v>
      </c>
      <c r="AL18" s="13" t="str">
        <f t="shared" si="8"/>
        <v>+</v>
      </c>
      <c r="AM18" s="13">
        <f t="shared" si="9"/>
        <v>13</v>
      </c>
      <c r="AN18" s="13" t="str">
        <f t="shared" si="10"/>
        <v>H2</v>
      </c>
      <c r="AO18" s="13" t="str">
        <f t="shared" si="11"/>
        <v>=</v>
      </c>
      <c r="AP18" s="13">
        <f t="shared" si="12"/>
        <v>1</v>
      </c>
      <c r="AQ18" s="13" t="str">
        <f t="shared" si="13"/>
        <v>C6H14</v>
      </c>
      <c r="AR18" s="13" t="str">
        <f t="shared" si="14"/>
        <v>+</v>
      </c>
      <c r="AS18" s="13">
        <f t="shared" si="19"/>
        <v>6</v>
      </c>
      <c r="AT18" s="13" t="str">
        <f t="shared" si="15"/>
        <v>H2O</v>
      </c>
      <c r="AU18" s="1">
        <f t="shared" si="16"/>
        <v>9.3304028243549664E-2</v>
      </c>
      <c r="AV18" s="1">
        <f t="shared" si="17"/>
        <v>4.3063397650869077E-2</v>
      </c>
    </row>
    <row r="19" spans="1:48" x14ac:dyDescent="0.25">
      <c r="A19">
        <v>16</v>
      </c>
      <c r="B19">
        <v>6</v>
      </c>
      <c r="C19" t="s">
        <v>176</v>
      </c>
      <c r="D19" t="s">
        <v>177</v>
      </c>
      <c r="E19" t="s">
        <v>178</v>
      </c>
      <c r="F19">
        <v>-5.6016075867741093E-2</v>
      </c>
      <c r="G19">
        <v>1.0652215853497011E-2</v>
      </c>
      <c r="H19">
        <v>0.34660530028563169</v>
      </c>
      <c r="I19">
        <v>5.3257564513964732E-3</v>
      </c>
      <c r="K19" s="30" t="s">
        <v>178</v>
      </c>
      <c r="L19" s="30"/>
      <c r="M19" s="37">
        <f t="shared" si="0"/>
        <v>6.7310905427551337E-3</v>
      </c>
      <c r="N19" s="37">
        <f t="shared" si="1"/>
        <v>2.9588127471390693E-2</v>
      </c>
      <c r="O19" s="34">
        <f t="shared" si="2"/>
        <v>0.25690328904848764</v>
      </c>
      <c r="P19" s="34">
        <f t="shared" si="3"/>
        <v>0.73970318678476732</v>
      </c>
      <c r="Q19" s="31" t="s">
        <v>178</v>
      </c>
      <c r="R19" s="32">
        <f t="shared" si="4"/>
        <v>0.9966064758332549</v>
      </c>
      <c r="S19">
        <f t="shared" si="18"/>
        <v>5.9796388549995294</v>
      </c>
      <c r="U19" s="13">
        <v>6</v>
      </c>
      <c r="V19" s="13" t="s">
        <v>354</v>
      </c>
      <c r="W19" s="13" t="s">
        <v>355</v>
      </c>
      <c r="X19" s="13">
        <v>18</v>
      </c>
      <c r="Y19" s="13" t="s">
        <v>356</v>
      </c>
      <c r="Z19" s="13" t="s">
        <v>357</v>
      </c>
      <c r="AA19" s="13">
        <v>1</v>
      </c>
      <c r="AB19" s="13" t="s">
        <v>365</v>
      </c>
      <c r="AC19" s="13" t="s">
        <v>355</v>
      </c>
      <c r="AD19" s="13">
        <v>12</v>
      </c>
      <c r="AE19" s="13" t="s">
        <v>358</v>
      </c>
      <c r="AF19" s="1">
        <f t="shared" si="5"/>
        <v>4.6242592028727776</v>
      </c>
      <c r="AG19" s="1">
        <f t="shared" si="6"/>
        <v>3.0828394685818514</v>
      </c>
      <c r="AH19" s="1"/>
      <c r="AI19" s="1"/>
      <c r="AJ19" s="13">
        <f t="shared" si="7"/>
        <v>6</v>
      </c>
      <c r="AK19" s="13" t="s">
        <v>29</v>
      </c>
      <c r="AL19" s="13" t="str">
        <f t="shared" si="8"/>
        <v>+</v>
      </c>
      <c r="AM19" s="13">
        <f t="shared" si="9"/>
        <v>12</v>
      </c>
      <c r="AN19" s="13" t="str">
        <f t="shared" si="10"/>
        <v>H2</v>
      </c>
      <c r="AO19" s="13" t="str">
        <f t="shared" si="11"/>
        <v>=</v>
      </c>
      <c r="AP19" s="13">
        <f t="shared" si="12"/>
        <v>1</v>
      </c>
      <c r="AQ19" s="13" t="str">
        <f t="shared" si="13"/>
        <v>C6H12</v>
      </c>
      <c r="AR19" s="13" t="str">
        <f t="shared" si="14"/>
        <v>+</v>
      </c>
      <c r="AS19" s="13">
        <f t="shared" si="19"/>
        <v>6</v>
      </c>
      <c r="AT19" s="13" t="str">
        <f t="shared" si="15"/>
        <v>H2O</v>
      </c>
      <c r="AU19" s="1">
        <f t="shared" si="16"/>
        <v>8.8764382414172083</v>
      </c>
      <c r="AV19" s="1">
        <f t="shared" si="17"/>
        <v>4.4382191207086041</v>
      </c>
    </row>
    <row r="20" spans="1:48" x14ac:dyDescent="0.25">
      <c r="A20">
        <v>17</v>
      </c>
      <c r="B20">
        <v>6</v>
      </c>
      <c r="C20" t="s">
        <v>179</v>
      </c>
      <c r="D20">
        <v>0</v>
      </c>
      <c r="E20" t="s">
        <v>180</v>
      </c>
      <c r="F20">
        <v>-5.2262311978804716E-4</v>
      </c>
      <c r="G20">
        <v>6.9188004820248329E-5</v>
      </c>
      <c r="H20">
        <v>3.9734342053376361E-4</v>
      </c>
      <c r="I20">
        <v>1.0842493088829299E-4</v>
      </c>
      <c r="K20" s="30" t="s">
        <v>180</v>
      </c>
      <c r="L20" s="30"/>
      <c r="M20" s="37">
        <f t="shared" si="0"/>
        <v>3.2604386435085023E-5</v>
      </c>
      <c r="N20" s="37">
        <f t="shared" si="1"/>
        <v>1.3623897032565645E-4</v>
      </c>
      <c r="O20" s="34">
        <f t="shared" si="2"/>
        <v>1.2444007489390784E-3</v>
      </c>
      <c r="P20" s="34">
        <f t="shared" si="3"/>
        <v>3.4059742581414114E-3</v>
      </c>
      <c r="Q20" s="31" t="s">
        <v>180</v>
      </c>
      <c r="R20" s="32">
        <f t="shared" si="4"/>
        <v>4.6503750070804898E-3</v>
      </c>
      <c r="S20">
        <f t="shared" si="18"/>
        <v>2.7902250042482937E-2</v>
      </c>
      <c r="U20" s="13">
        <v>6</v>
      </c>
      <c r="V20" s="13" t="s">
        <v>354</v>
      </c>
      <c r="W20" s="13" t="s">
        <v>355</v>
      </c>
      <c r="X20" s="13">
        <v>15</v>
      </c>
      <c r="Y20" s="13" t="s">
        <v>356</v>
      </c>
      <c r="Z20" s="13" t="s">
        <v>357</v>
      </c>
      <c r="AA20" s="13">
        <v>1</v>
      </c>
      <c r="AB20" s="13" t="s">
        <v>366</v>
      </c>
      <c r="AC20" s="13" t="s">
        <v>355</v>
      </c>
      <c r="AD20" s="13">
        <v>12</v>
      </c>
      <c r="AE20" s="13" t="s">
        <v>358</v>
      </c>
      <c r="AF20" s="1">
        <f t="shared" si="5"/>
        <v>1.8666011234086177E-2</v>
      </c>
      <c r="AG20" s="1">
        <f t="shared" si="6"/>
        <v>1.4932808987268941E-2</v>
      </c>
      <c r="AH20" s="1"/>
      <c r="AI20" s="1"/>
      <c r="AJ20" s="13">
        <f t="shared" si="7"/>
        <v>6</v>
      </c>
      <c r="AK20" s="13" t="s">
        <v>29</v>
      </c>
      <c r="AL20" s="13" t="str">
        <f t="shared" si="8"/>
        <v>+</v>
      </c>
      <c r="AM20" s="13">
        <f t="shared" si="9"/>
        <v>9</v>
      </c>
      <c r="AN20" s="13" t="str">
        <f t="shared" si="10"/>
        <v>H2</v>
      </c>
      <c r="AO20" s="13" t="str">
        <f t="shared" si="11"/>
        <v>=</v>
      </c>
      <c r="AP20" s="13">
        <f t="shared" si="12"/>
        <v>1</v>
      </c>
      <c r="AQ20" s="13" t="str">
        <f t="shared" si="13"/>
        <v>C6H6</v>
      </c>
      <c r="AR20" s="13" t="str">
        <f t="shared" si="14"/>
        <v>+</v>
      </c>
      <c r="AS20" s="13">
        <f t="shared" si="19"/>
        <v>6</v>
      </c>
      <c r="AT20" s="13" t="str">
        <f t="shared" si="15"/>
        <v>H2O</v>
      </c>
      <c r="AU20" s="1">
        <f t="shared" si="16"/>
        <v>3.0653768323272702E-2</v>
      </c>
      <c r="AV20" s="1">
        <f t="shared" si="17"/>
        <v>2.0435845548848468E-2</v>
      </c>
    </row>
    <row r="21" spans="1:48" x14ac:dyDescent="0.25">
      <c r="A21">
        <v>18</v>
      </c>
      <c r="B21">
        <v>6</v>
      </c>
      <c r="C21" t="s">
        <v>181</v>
      </c>
      <c r="D21">
        <v>0</v>
      </c>
      <c r="E21" t="s">
        <v>182</v>
      </c>
      <c r="F21">
        <v>-6.2982618723457029E-3</v>
      </c>
      <c r="G21">
        <v>8.3380194309001776E-4</v>
      </c>
      <c r="H21">
        <v>4.7884848967075172E-3</v>
      </c>
      <c r="I21">
        <v>1.3066559483675411E-3</v>
      </c>
      <c r="K21" s="30" t="s">
        <v>182</v>
      </c>
      <c r="L21" s="30"/>
      <c r="M21" s="37">
        <f t="shared" si="0"/>
        <v>3.9292361202581853E-4</v>
      </c>
      <c r="N21" s="37">
        <f t="shared" si="1"/>
        <v>1.6418498911370673E-3</v>
      </c>
      <c r="O21" s="34">
        <f t="shared" si="2"/>
        <v>1.4996584525652073E-2</v>
      </c>
      <c r="P21" s="34">
        <f t="shared" si="3"/>
        <v>4.1046247278426685E-2</v>
      </c>
      <c r="Q21" s="31" t="s">
        <v>182</v>
      </c>
      <c r="R21" s="32">
        <f t="shared" si="4"/>
        <v>5.6042831804078756E-2</v>
      </c>
      <c r="S21">
        <f t="shared" si="18"/>
        <v>0.33625699082447252</v>
      </c>
      <c r="U21" s="13">
        <v>6</v>
      </c>
      <c r="V21" s="13" t="s">
        <v>354</v>
      </c>
      <c r="W21" s="13" t="s">
        <v>355</v>
      </c>
      <c r="X21" s="13">
        <v>18</v>
      </c>
      <c r="Y21" s="13" t="s">
        <v>356</v>
      </c>
      <c r="Z21" s="13" t="s">
        <v>357</v>
      </c>
      <c r="AA21" s="13">
        <v>1</v>
      </c>
      <c r="AB21" s="13" t="s">
        <v>365</v>
      </c>
      <c r="AC21" s="13" t="s">
        <v>355</v>
      </c>
      <c r="AD21" s="13">
        <v>12</v>
      </c>
      <c r="AE21" s="13" t="s">
        <v>358</v>
      </c>
      <c r="AF21" s="1">
        <f t="shared" si="5"/>
        <v>0.2699385214617373</v>
      </c>
      <c r="AG21" s="1">
        <f t="shared" si="6"/>
        <v>0.17995901430782488</v>
      </c>
      <c r="AH21" s="1"/>
      <c r="AI21" s="1"/>
      <c r="AJ21" s="13">
        <f t="shared" si="7"/>
        <v>6</v>
      </c>
      <c r="AK21" s="13" t="s">
        <v>29</v>
      </c>
      <c r="AL21" s="13" t="str">
        <f t="shared" si="8"/>
        <v>+</v>
      </c>
      <c r="AM21" s="13">
        <f t="shared" si="9"/>
        <v>12</v>
      </c>
      <c r="AN21" s="13" t="str">
        <f t="shared" si="10"/>
        <v>H2</v>
      </c>
      <c r="AO21" s="13" t="str">
        <f t="shared" si="11"/>
        <v>=</v>
      </c>
      <c r="AP21" s="13">
        <f t="shared" si="12"/>
        <v>1</v>
      </c>
      <c r="AQ21" s="13" t="str">
        <f t="shared" si="13"/>
        <v>C6H12</v>
      </c>
      <c r="AR21" s="13" t="str">
        <f t="shared" si="14"/>
        <v>+</v>
      </c>
      <c r="AS21" s="13">
        <f t="shared" si="19"/>
        <v>6</v>
      </c>
      <c r="AT21" s="13" t="str">
        <f t="shared" si="15"/>
        <v>H2O</v>
      </c>
      <c r="AU21" s="1">
        <f t="shared" si="16"/>
        <v>0.49255496734112025</v>
      </c>
      <c r="AV21" s="1">
        <f t="shared" si="17"/>
        <v>0.24627748367056013</v>
      </c>
    </row>
    <row r="22" spans="1:48" x14ac:dyDescent="0.25">
      <c r="A22">
        <v>19</v>
      </c>
      <c r="B22">
        <v>7</v>
      </c>
      <c r="C22" t="s">
        <v>183</v>
      </c>
      <c r="D22" t="s">
        <v>184</v>
      </c>
      <c r="E22" t="s">
        <v>185</v>
      </c>
      <c r="F22">
        <v>-1.7285745547401601E-5</v>
      </c>
      <c r="G22">
        <v>1.7151210509855349E-6</v>
      </c>
      <c r="H22">
        <v>-4.0707895939010978E-5</v>
      </c>
      <c r="I22">
        <v>4.7012635096357523E-6</v>
      </c>
      <c r="K22" s="30" t="s">
        <v>185</v>
      </c>
      <c r="L22" s="30"/>
      <c r="M22" s="37">
        <f t="shared" si="0"/>
        <v>5.0511886266742264E-7</v>
      </c>
      <c r="N22" s="37">
        <f t="shared" si="1"/>
        <v>1.8517107939049836E-6</v>
      </c>
      <c r="O22" s="34">
        <f t="shared" si="2"/>
        <v>1.6524602792977114E-5</v>
      </c>
      <c r="P22" s="34">
        <f t="shared" si="3"/>
        <v>3.9679517012249653E-5</v>
      </c>
      <c r="Q22" s="31" t="s">
        <v>185</v>
      </c>
      <c r="R22" s="32">
        <f t="shared" si="4"/>
        <v>5.6204119805226767E-5</v>
      </c>
      <c r="S22">
        <f t="shared" si="18"/>
        <v>3.934288386365874E-4</v>
      </c>
      <c r="U22" s="13">
        <v>7</v>
      </c>
      <c r="V22" s="13" t="s">
        <v>354</v>
      </c>
      <c r="W22" s="13" t="s">
        <v>355</v>
      </c>
      <c r="X22" s="13">
        <v>22</v>
      </c>
      <c r="Y22" s="13" t="s">
        <v>356</v>
      </c>
      <c r="Z22" s="13" t="s">
        <v>357</v>
      </c>
      <c r="AA22" s="13">
        <v>1</v>
      </c>
      <c r="AB22" s="13" t="s">
        <v>367</v>
      </c>
      <c r="AC22" s="13" t="s">
        <v>355</v>
      </c>
      <c r="AD22" s="13">
        <v>14</v>
      </c>
      <c r="AE22" s="13" t="s">
        <v>358</v>
      </c>
      <c r="AF22" s="1">
        <f t="shared" si="5"/>
        <v>3.6354126144549649E-4</v>
      </c>
      <c r="AG22" s="1">
        <f t="shared" si="6"/>
        <v>2.3134443910167958E-4</v>
      </c>
      <c r="AH22" s="1"/>
      <c r="AI22" s="1"/>
      <c r="AJ22" s="13">
        <f t="shared" si="7"/>
        <v>7</v>
      </c>
      <c r="AK22" s="13" t="s">
        <v>29</v>
      </c>
      <c r="AL22" s="13" t="str">
        <f t="shared" si="8"/>
        <v>+</v>
      </c>
      <c r="AM22" s="13">
        <f t="shared" si="9"/>
        <v>15</v>
      </c>
      <c r="AN22" s="13" t="str">
        <f t="shared" si="10"/>
        <v>H2</v>
      </c>
      <c r="AO22" s="13" t="str">
        <f t="shared" si="11"/>
        <v>=</v>
      </c>
      <c r="AP22" s="13">
        <f t="shared" si="12"/>
        <v>1</v>
      </c>
      <c r="AQ22" s="13" t="str">
        <f t="shared" si="13"/>
        <v>C7H16</v>
      </c>
      <c r="AR22" s="13" t="str">
        <f t="shared" si="14"/>
        <v>+</v>
      </c>
      <c r="AS22" s="13">
        <f t="shared" si="19"/>
        <v>7</v>
      </c>
      <c r="AT22" s="13" t="str">
        <f t="shared" si="15"/>
        <v>H2O</v>
      </c>
      <c r="AU22" s="1">
        <f t="shared" si="16"/>
        <v>5.9519275518374478E-4</v>
      </c>
      <c r="AV22" s="1">
        <f t="shared" si="17"/>
        <v>2.7775661908574755E-4</v>
      </c>
    </row>
    <row r="23" spans="1:48" x14ac:dyDescent="0.25">
      <c r="A23">
        <v>20</v>
      </c>
      <c r="B23">
        <v>7</v>
      </c>
      <c r="C23" t="s">
        <v>186</v>
      </c>
      <c r="D23" t="s">
        <v>187</v>
      </c>
      <c r="E23" t="s">
        <v>188</v>
      </c>
      <c r="F23">
        <v>-6.2203988214805578E-2</v>
      </c>
      <c r="G23">
        <v>8.2474192173840211E-3</v>
      </c>
      <c r="H23">
        <v>4.846513449704646E-2</v>
      </c>
      <c r="I23">
        <v>1.2880747493236099E-2</v>
      </c>
      <c r="K23" s="30" t="s">
        <v>188</v>
      </c>
      <c r="L23" s="30"/>
      <c r="M23" s="37">
        <f t="shared" si="0"/>
        <v>3.8931400423476304E-3</v>
      </c>
      <c r="N23" s="37">
        <f t="shared" si="1"/>
        <v>1.6273306908029351E-2</v>
      </c>
      <c r="O23" s="34">
        <f t="shared" si="2"/>
        <v>0.12736129567108675</v>
      </c>
      <c r="P23" s="34">
        <f t="shared" si="3"/>
        <v>0.3487137194577718</v>
      </c>
      <c r="Q23" s="31" t="s">
        <v>188</v>
      </c>
      <c r="R23" s="32">
        <f t="shared" si="4"/>
        <v>0.47607501512885853</v>
      </c>
      <c r="S23">
        <f t="shared" si="18"/>
        <v>3.3325251059020098</v>
      </c>
      <c r="U23" s="13">
        <v>7</v>
      </c>
      <c r="V23" s="13" t="s">
        <v>354</v>
      </c>
      <c r="W23" s="13" t="s">
        <v>355</v>
      </c>
      <c r="X23" s="13">
        <v>22</v>
      </c>
      <c r="Y23" s="13" t="s">
        <v>356</v>
      </c>
      <c r="Z23" s="13" t="s">
        <v>357</v>
      </c>
      <c r="AA23" s="13">
        <v>1</v>
      </c>
      <c r="AB23" s="13" t="s">
        <v>367</v>
      </c>
      <c r="AC23" s="13" t="s">
        <v>355</v>
      </c>
      <c r="AD23" s="13">
        <v>14</v>
      </c>
      <c r="AE23" s="13" t="s">
        <v>358</v>
      </c>
      <c r="AF23" s="1">
        <f t="shared" si="5"/>
        <v>2.8019485047639088</v>
      </c>
      <c r="AG23" s="1">
        <f t="shared" si="6"/>
        <v>1.7830581393952145</v>
      </c>
      <c r="AH23" s="1"/>
      <c r="AI23" s="1"/>
      <c r="AJ23" s="13">
        <f t="shared" si="7"/>
        <v>7</v>
      </c>
      <c r="AK23" s="13" t="s">
        <v>29</v>
      </c>
      <c r="AL23" s="13" t="str">
        <f t="shared" si="8"/>
        <v>+</v>
      </c>
      <c r="AM23" s="13">
        <f t="shared" si="9"/>
        <v>15</v>
      </c>
      <c r="AN23" s="13" t="str">
        <f t="shared" si="10"/>
        <v>H2</v>
      </c>
      <c r="AO23" s="13" t="str">
        <f t="shared" si="11"/>
        <v>=</v>
      </c>
      <c r="AP23" s="13">
        <f t="shared" si="12"/>
        <v>1</v>
      </c>
      <c r="AQ23" s="13" t="str">
        <f t="shared" si="13"/>
        <v>C7H16</v>
      </c>
      <c r="AR23" s="13" t="str">
        <f t="shared" si="14"/>
        <v>+</v>
      </c>
      <c r="AS23" s="13">
        <f t="shared" si="19"/>
        <v>7</v>
      </c>
      <c r="AT23" s="13" t="str">
        <f t="shared" si="15"/>
        <v>H2O</v>
      </c>
      <c r="AU23" s="1">
        <f t="shared" si="16"/>
        <v>5.2307057918665771</v>
      </c>
      <c r="AV23" s="1">
        <f t="shared" si="17"/>
        <v>2.4409960362044028</v>
      </c>
    </row>
    <row r="24" spans="1:48" x14ac:dyDescent="0.25">
      <c r="A24">
        <v>21</v>
      </c>
      <c r="B24">
        <v>7</v>
      </c>
      <c r="C24" t="s">
        <v>189</v>
      </c>
      <c r="D24" t="s">
        <v>190</v>
      </c>
      <c r="E24" t="s">
        <v>191</v>
      </c>
      <c r="F24">
        <v>-4.0591718025171322E-2</v>
      </c>
      <c r="G24">
        <v>5.6088172516127778E-3</v>
      </c>
      <c r="H24">
        <v>5.2939818305753443E-2</v>
      </c>
      <c r="I24">
        <v>7.964082152045783E-3</v>
      </c>
      <c r="K24" s="30" t="s">
        <v>191</v>
      </c>
      <c r="L24" s="30"/>
      <c r="M24" s="37">
        <f t="shared" si="0"/>
        <v>2.7673969898507848E-3</v>
      </c>
      <c r="N24" s="37">
        <f t="shared" si="1"/>
        <v>1.1669869433448525E-2</v>
      </c>
      <c r="O24" s="34">
        <f t="shared" si="2"/>
        <v>9.0533415810832824E-2</v>
      </c>
      <c r="P24" s="34">
        <f t="shared" si="3"/>
        <v>0.25006863071675411</v>
      </c>
      <c r="Q24" s="31" t="s">
        <v>191</v>
      </c>
      <c r="R24" s="32">
        <f t="shared" si="4"/>
        <v>0.34060204652758697</v>
      </c>
      <c r="S24">
        <f t="shared" si="18"/>
        <v>2.384214325693109</v>
      </c>
      <c r="U24" s="13">
        <v>7</v>
      </c>
      <c r="V24" s="13" t="s">
        <v>354</v>
      </c>
      <c r="W24" s="13" t="s">
        <v>355</v>
      </c>
      <c r="X24" s="13">
        <v>21</v>
      </c>
      <c r="Y24" s="13" t="s">
        <v>356</v>
      </c>
      <c r="Z24" s="13" t="s">
        <v>357</v>
      </c>
      <c r="AA24" s="13">
        <v>1</v>
      </c>
      <c r="AB24" s="13" t="s">
        <v>368</v>
      </c>
      <c r="AC24" s="13" t="s">
        <v>355</v>
      </c>
      <c r="AD24" s="13">
        <v>14</v>
      </c>
      <c r="AE24" s="13" t="s">
        <v>358</v>
      </c>
      <c r="AF24" s="1">
        <f t="shared" si="5"/>
        <v>1.9012017320274892</v>
      </c>
      <c r="AG24" s="1">
        <f t="shared" si="6"/>
        <v>1.2674678213516595</v>
      </c>
      <c r="AH24" s="1"/>
      <c r="AI24" s="1"/>
      <c r="AJ24" s="13">
        <f t="shared" si="7"/>
        <v>7</v>
      </c>
      <c r="AK24" s="13" t="s">
        <v>29</v>
      </c>
      <c r="AL24" s="13" t="str">
        <f t="shared" si="8"/>
        <v>+</v>
      </c>
      <c r="AM24" s="13">
        <f t="shared" si="9"/>
        <v>14</v>
      </c>
      <c r="AN24" s="13" t="str">
        <f t="shared" si="10"/>
        <v>H2</v>
      </c>
      <c r="AO24" s="13" t="str">
        <f t="shared" si="11"/>
        <v>=</v>
      </c>
      <c r="AP24" s="13">
        <f t="shared" si="12"/>
        <v>1</v>
      </c>
      <c r="AQ24" s="13" t="str">
        <f t="shared" si="13"/>
        <v>C7H14</v>
      </c>
      <c r="AR24" s="13" t="str">
        <f t="shared" si="14"/>
        <v>+</v>
      </c>
      <c r="AS24" s="13">
        <f t="shared" si="19"/>
        <v>7</v>
      </c>
      <c r="AT24" s="13" t="str">
        <f t="shared" si="15"/>
        <v>H2O</v>
      </c>
      <c r="AU24" s="1">
        <f t="shared" si="16"/>
        <v>3.5009608300345576</v>
      </c>
      <c r="AV24" s="1">
        <f t="shared" si="17"/>
        <v>1.7504804150172788</v>
      </c>
    </row>
    <row r="25" spans="1:48" x14ac:dyDescent="0.25">
      <c r="A25">
        <v>22</v>
      </c>
      <c r="B25">
        <v>7</v>
      </c>
      <c r="C25" t="s">
        <v>192</v>
      </c>
      <c r="D25" t="s">
        <v>193</v>
      </c>
      <c r="E25" t="s">
        <v>194</v>
      </c>
      <c r="F25">
        <v>-1.6302574942888401E-3</v>
      </c>
      <c r="G25">
        <v>2.158233325361622E-4</v>
      </c>
      <c r="H25">
        <v>1.239463132427509E-3</v>
      </c>
      <c r="I25">
        <v>3.3821801878966892E-4</v>
      </c>
      <c r="K25" s="30" t="s">
        <v>194</v>
      </c>
      <c r="L25" s="30"/>
      <c r="M25" s="37">
        <f t="shared" si="0"/>
        <v>1.0170530793594339E-4</v>
      </c>
      <c r="N25" s="37">
        <f t="shared" si="1"/>
        <v>4.2498043805959455E-4</v>
      </c>
      <c r="O25" s="34">
        <f t="shared" si="2"/>
        <v>3.3272165024758626E-3</v>
      </c>
      <c r="P25" s="34">
        <f t="shared" si="3"/>
        <v>9.1067236727055967E-3</v>
      </c>
      <c r="Q25" s="31" t="s">
        <v>194</v>
      </c>
      <c r="R25" s="32">
        <f t="shared" si="4"/>
        <v>1.2433940175181459E-2</v>
      </c>
      <c r="S25">
        <f t="shared" si="18"/>
        <v>8.7037581226270214E-2</v>
      </c>
      <c r="U25" s="13">
        <v>7</v>
      </c>
      <c r="V25" s="13" t="s">
        <v>354</v>
      </c>
      <c r="W25" s="13" t="s">
        <v>355</v>
      </c>
      <c r="X25" s="13">
        <v>18</v>
      </c>
      <c r="Y25" s="13" t="s">
        <v>356</v>
      </c>
      <c r="Z25" s="13" t="s">
        <v>357</v>
      </c>
      <c r="AA25" s="13">
        <v>1</v>
      </c>
      <c r="AB25" s="13" t="s">
        <v>193</v>
      </c>
      <c r="AC25" s="13" t="s">
        <v>355</v>
      </c>
      <c r="AD25" s="13">
        <v>14</v>
      </c>
      <c r="AE25" s="13" t="s">
        <v>358</v>
      </c>
      <c r="AF25" s="1">
        <f t="shared" si="5"/>
        <v>5.9889897044565529E-2</v>
      </c>
      <c r="AG25" s="1">
        <f t="shared" si="6"/>
        <v>4.6581031034662074E-2</v>
      </c>
      <c r="AH25" s="1"/>
      <c r="AI25" s="1"/>
      <c r="AJ25" s="13">
        <f t="shared" si="7"/>
        <v>7</v>
      </c>
      <c r="AK25" s="13" t="s">
        <v>29</v>
      </c>
      <c r="AL25" s="13" t="str">
        <f t="shared" si="8"/>
        <v>+</v>
      </c>
      <c r="AM25" s="13">
        <f t="shared" si="9"/>
        <v>11</v>
      </c>
      <c r="AN25" s="13" t="str">
        <f t="shared" si="10"/>
        <v>H2</v>
      </c>
      <c r="AO25" s="13" t="str">
        <f t="shared" si="11"/>
        <v>=</v>
      </c>
      <c r="AP25" s="13">
        <f t="shared" si="12"/>
        <v>1</v>
      </c>
      <c r="AQ25" s="13" t="str">
        <f t="shared" si="13"/>
        <v>C7H8</v>
      </c>
      <c r="AR25" s="13" t="str">
        <f t="shared" si="14"/>
        <v>+</v>
      </c>
      <c r="AS25" s="13">
        <f t="shared" si="19"/>
        <v>7</v>
      </c>
      <c r="AT25" s="13" t="str">
        <f t="shared" si="15"/>
        <v>H2O</v>
      </c>
      <c r="AU25" s="1">
        <f t="shared" si="16"/>
        <v>0.10017396039976156</v>
      </c>
      <c r="AV25" s="1">
        <f t="shared" si="17"/>
        <v>6.3747065708939177E-2</v>
      </c>
    </row>
    <row r="26" spans="1:48" x14ac:dyDescent="0.25">
      <c r="A26">
        <v>23</v>
      </c>
      <c r="B26">
        <v>7</v>
      </c>
      <c r="C26" t="s">
        <v>54</v>
      </c>
      <c r="D26">
        <v>0</v>
      </c>
      <c r="E26" t="s">
        <v>195</v>
      </c>
      <c r="F26">
        <v>-6.6353537846089933E-3</v>
      </c>
      <c r="G26">
        <v>8.7842820619907789E-4</v>
      </c>
      <c r="H26">
        <v>5.0447714029517969E-3</v>
      </c>
      <c r="I26">
        <v>1.37659002879049E-3</v>
      </c>
      <c r="K26" s="30" t="s">
        <v>195</v>
      </c>
      <c r="L26" s="30"/>
      <c r="M26" s="37">
        <f t="shared" si="0"/>
        <v>4.1395344127644832E-4</v>
      </c>
      <c r="N26" s="37">
        <f t="shared" si="1"/>
        <v>1.7297240269971157E-3</v>
      </c>
      <c r="O26" s="34">
        <f t="shared" si="2"/>
        <v>1.3542191150329523E-2</v>
      </c>
      <c r="P26" s="34">
        <f t="shared" si="3"/>
        <v>3.7065514864223902E-2</v>
      </c>
      <c r="Q26" s="31" t="s">
        <v>195</v>
      </c>
      <c r="R26" s="32">
        <f t="shared" si="4"/>
        <v>5.0607706014553423E-2</v>
      </c>
      <c r="S26">
        <f t="shared" si="18"/>
        <v>0.35425394210187394</v>
      </c>
      <c r="U26" s="13">
        <v>7</v>
      </c>
      <c r="V26" s="13" t="s">
        <v>354</v>
      </c>
      <c r="W26" s="13" t="s">
        <v>355</v>
      </c>
      <c r="X26" s="13">
        <v>21</v>
      </c>
      <c r="Y26" s="13" t="s">
        <v>356</v>
      </c>
      <c r="Z26" s="13" t="s">
        <v>357</v>
      </c>
      <c r="AA26" s="13">
        <v>1</v>
      </c>
      <c r="AB26" s="13" t="s">
        <v>368</v>
      </c>
      <c r="AC26" s="13" t="s">
        <v>355</v>
      </c>
      <c r="AD26" s="13">
        <v>14</v>
      </c>
      <c r="AE26" s="13" t="s">
        <v>358</v>
      </c>
      <c r="AF26" s="1">
        <f t="shared" si="5"/>
        <v>0.28438601415692</v>
      </c>
      <c r="AG26" s="1">
        <f t="shared" si="6"/>
        <v>0.18959067610461333</v>
      </c>
      <c r="AH26" s="1"/>
      <c r="AI26" s="1"/>
      <c r="AJ26" s="13">
        <f t="shared" si="7"/>
        <v>7</v>
      </c>
      <c r="AK26" s="13" t="s">
        <v>29</v>
      </c>
      <c r="AL26" s="13" t="str">
        <f t="shared" si="8"/>
        <v>+</v>
      </c>
      <c r="AM26" s="13">
        <f t="shared" si="9"/>
        <v>14</v>
      </c>
      <c r="AN26" s="13" t="str">
        <f t="shared" si="10"/>
        <v>H2</v>
      </c>
      <c r="AO26" s="13" t="str">
        <f t="shared" si="11"/>
        <v>=</v>
      </c>
      <c r="AP26" s="13">
        <f t="shared" si="12"/>
        <v>1</v>
      </c>
      <c r="AQ26" s="13" t="str">
        <f t="shared" si="13"/>
        <v>C7H14</v>
      </c>
      <c r="AR26" s="13" t="str">
        <f t="shared" si="14"/>
        <v>+</v>
      </c>
      <c r="AS26" s="13">
        <f t="shared" si="19"/>
        <v>7</v>
      </c>
      <c r="AT26" s="13" t="str">
        <f t="shared" si="15"/>
        <v>H2O</v>
      </c>
      <c r="AU26" s="1">
        <f t="shared" si="16"/>
        <v>0.51891720809913466</v>
      </c>
      <c r="AV26" s="1">
        <f t="shared" si="17"/>
        <v>0.25945860404956733</v>
      </c>
    </row>
    <row r="27" spans="1:48" x14ac:dyDescent="0.25">
      <c r="A27">
        <v>24</v>
      </c>
      <c r="B27">
        <v>8</v>
      </c>
      <c r="C27" t="s">
        <v>196</v>
      </c>
      <c r="D27" t="s">
        <v>197</v>
      </c>
      <c r="E27" t="s">
        <v>198</v>
      </c>
      <c r="F27">
        <v>-2.9030915664796648E-3</v>
      </c>
      <c r="G27">
        <v>5.5853150036614643E-4</v>
      </c>
      <c r="H27">
        <v>1.8570873635706021E-2</v>
      </c>
      <c r="I27">
        <v>2.6342895181021551E-4</v>
      </c>
      <c r="K27" s="30" t="s">
        <v>198</v>
      </c>
      <c r="L27" s="30"/>
      <c r="M27" s="37">
        <f t="shared" si="0"/>
        <v>3.5531509071256987E-4</v>
      </c>
      <c r="N27" s="37">
        <f t="shared" si="1"/>
        <v>1.5633901063096371E-3</v>
      </c>
      <c r="O27" s="34">
        <f t="shared" si="2"/>
        <v>1.0170894471647313E-2</v>
      </c>
      <c r="P27" s="34">
        <f t="shared" si="3"/>
        <v>2.9313564493305695E-2</v>
      </c>
      <c r="Q27" s="31" t="s">
        <v>198</v>
      </c>
      <c r="R27" s="32">
        <f t="shared" si="4"/>
        <v>3.9484458964953006E-2</v>
      </c>
      <c r="S27">
        <f t="shared" si="18"/>
        <v>0.31587567171962405</v>
      </c>
      <c r="U27" s="13">
        <v>8</v>
      </c>
      <c r="V27" s="13" t="s">
        <v>354</v>
      </c>
      <c r="W27" s="13" t="s">
        <v>355</v>
      </c>
      <c r="X27" s="13">
        <v>25</v>
      </c>
      <c r="Y27" s="13" t="s">
        <v>356</v>
      </c>
      <c r="Z27" s="13" t="s">
        <v>357</v>
      </c>
      <c r="AA27" s="13">
        <v>1</v>
      </c>
      <c r="AB27" s="13" t="s">
        <v>369</v>
      </c>
      <c r="AC27" s="13" t="s">
        <v>355</v>
      </c>
      <c r="AD27" s="13">
        <v>16</v>
      </c>
      <c r="AE27" s="13" t="s">
        <v>358</v>
      </c>
      <c r="AF27" s="1">
        <f t="shared" si="5"/>
        <v>0.25427236179118284</v>
      </c>
      <c r="AG27" s="1">
        <f t="shared" si="6"/>
        <v>0.16273431154635701</v>
      </c>
      <c r="AH27" s="1"/>
      <c r="AI27" s="1"/>
      <c r="AJ27" s="13">
        <f t="shared" si="7"/>
        <v>8</v>
      </c>
      <c r="AK27" s="13" t="s">
        <v>29</v>
      </c>
      <c r="AL27" s="13" t="str">
        <f t="shared" si="8"/>
        <v>+</v>
      </c>
      <c r="AM27" s="13">
        <f t="shared" si="9"/>
        <v>17</v>
      </c>
      <c r="AN27" s="13" t="str">
        <f t="shared" si="10"/>
        <v>H2</v>
      </c>
      <c r="AO27" s="13" t="str">
        <f t="shared" si="11"/>
        <v>=</v>
      </c>
      <c r="AP27" s="13">
        <f t="shared" si="12"/>
        <v>1</v>
      </c>
      <c r="AQ27" s="13" t="str">
        <f t="shared" si="13"/>
        <v>C8H18</v>
      </c>
      <c r="AR27" s="13" t="str">
        <f t="shared" si="14"/>
        <v>+</v>
      </c>
      <c r="AS27" s="13">
        <f t="shared" si="19"/>
        <v>8</v>
      </c>
      <c r="AT27" s="13" t="str">
        <f t="shared" si="15"/>
        <v>H2O</v>
      </c>
      <c r="AU27" s="1">
        <f t="shared" si="16"/>
        <v>0.49833059638619681</v>
      </c>
      <c r="AV27" s="1">
        <f t="shared" si="17"/>
        <v>0.23450851594644556</v>
      </c>
    </row>
    <row r="28" spans="1:48" x14ac:dyDescent="0.25">
      <c r="A28">
        <v>25</v>
      </c>
      <c r="B28">
        <v>8</v>
      </c>
      <c r="C28" t="s">
        <v>199</v>
      </c>
      <c r="D28" t="s">
        <v>200</v>
      </c>
      <c r="E28" t="s">
        <v>201</v>
      </c>
      <c r="F28">
        <v>-2.975903147926438E-2</v>
      </c>
      <c r="G28">
        <v>3.9396803078063066E-3</v>
      </c>
      <c r="H28">
        <v>2.262539660422672E-2</v>
      </c>
      <c r="I28">
        <v>6.1738962729975507E-3</v>
      </c>
      <c r="K28" s="30" t="s">
        <v>201</v>
      </c>
      <c r="L28" s="30"/>
      <c r="M28" s="37">
        <f t="shared" si="0"/>
        <v>1.8565481042577998E-3</v>
      </c>
      <c r="N28" s="37">
        <f t="shared" si="1"/>
        <v>7.757674035293421E-3</v>
      </c>
      <c r="O28" s="34">
        <f t="shared" si="2"/>
        <v>5.3143689484379524E-2</v>
      </c>
      <c r="P28" s="34">
        <f t="shared" si="3"/>
        <v>0.14545638816175163</v>
      </c>
      <c r="Q28" s="31" t="s">
        <v>201</v>
      </c>
      <c r="R28" s="32">
        <f t="shared" si="4"/>
        <v>0.19860007764613116</v>
      </c>
      <c r="S28">
        <f t="shared" si="18"/>
        <v>1.5888006211690493</v>
      </c>
      <c r="U28" s="13">
        <v>8</v>
      </c>
      <c r="V28" s="13" t="s">
        <v>354</v>
      </c>
      <c r="W28" s="13" t="s">
        <v>355</v>
      </c>
      <c r="X28" s="13">
        <v>25</v>
      </c>
      <c r="Y28" s="13" t="s">
        <v>356</v>
      </c>
      <c r="Z28" s="13" t="s">
        <v>357</v>
      </c>
      <c r="AA28" s="13">
        <v>1</v>
      </c>
      <c r="AB28" s="13" t="s">
        <v>369</v>
      </c>
      <c r="AC28" s="13" t="s">
        <v>355</v>
      </c>
      <c r="AD28" s="13">
        <v>16</v>
      </c>
      <c r="AE28" s="13" t="s">
        <v>358</v>
      </c>
      <c r="AF28" s="1">
        <f t="shared" si="5"/>
        <v>1.328592237109488</v>
      </c>
      <c r="AG28" s="1">
        <f t="shared" si="6"/>
        <v>0.85029903175007238</v>
      </c>
      <c r="AH28" s="1"/>
      <c r="AI28" s="1"/>
      <c r="AJ28" s="13">
        <f t="shared" si="7"/>
        <v>8</v>
      </c>
      <c r="AK28" s="13" t="s">
        <v>29</v>
      </c>
      <c r="AL28" s="13" t="str">
        <f t="shared" si="8"/>
        <v>+</v>
      </c>
      <c r="AM28" s="13">
        <f t="shared" si="9"/>
        <v>17</v>
      </c>
      <c r="AN28" s="13" t="str">
        <f t="shared" si="10"/>
        <v>H2</v>
      </c>
      <c r="AO28" s="13" t="str">
        <f t="shared" si="11"/>
        <v>=</v>
      </c>
      <c r="AP28" s="13">
        <f t="shared" si="12"/>
        <v>1</v>
      </c>
      <c r="AQ28" s="13" t="str">
        <f t="shared" si="13"/>
        <v>C8H18</v>
      </c>
      <c r="AR28" s="13" t="str">
        <f t="shared" si="14"/>
        <v>+</v>
      </c>
      <c r="AS28" s="13">
        <f t="shared" si="19"/>
        <v>8</v>
      </c>
      <c r="AT28" s="13" t="str">
        <f t="shared" si="15"/>
        <v>H2O</v>
      </c>
      <c r="AU28" s="1">
        <f t="shared" si="16"/>
        <v>2.4727585987497775</v>
      </c>
      <c r="AV28" s="1">
        <f t="shared" si="17"/>
        <v>1.1636511052940131</v>
      </c>
    </row>
    <row r="29" spans="1:48" x14ac:dyDescent="0.25">
      <c r="A29">
        <v>26</v>
      </c>
      <c r="B29">
        <v>8</v>
      </c>
      <c r="C29" t="s">
        <v>202</v>
      </c>
      <c r="D29" t="s">
        <v>203</v>
      </c>
      <c r="E29" t="s">
        <v>204</v>
      </c>
      <c r="F29">
        <v>-8.1697317123800517E-2</v>
      </c>
      <c r="G29">
        <v>1.0815584226842589E-2</v>
      </c>
      <c r="H29">
        <v>6.2113385736872161E-2</v>
      </c>
      <c r="I29">
        <v>1.694916590467611E-2</v>
      </c>
      <c r="K29" s="30" t="s">
        <v>204</v>
      </c>
      <c r="L29" s="30"/>
      <c r="M29" s="37">
        <f t="shared" si="0"/>
        <v>5.0967720281765525E-3</v>
      </c>
      <c r="N29" s="37">
        <f t="shared" si="1"/>
        <v>2.1297102906257161E-2</v>
      </c>
      <c r="O29" s="34">
        <f t="shared" si="2"/>
        <v>0.14589509930655381</v>
      </c>
      <c r="P29" s="34">
        <f t="shared" si="3"/>
        <v>0.39932067949232175</v>
      </c>
      <c r="Q29" s="31" t="s">
        <v>204</v>
      </c>
      <c r="R29" s="32">
        <f t="shared" si="4"/>
        <v>0.54521577879887562</v>
      </c>
      <c r="S29">
        <f t="shared" si="18"/>
        <v>4.3617262303910049</v>
      </c>
      <c r="U29" s="13">
        <v>8</v>
      </c>
      <c r="V29" s="13" t="s">
        <v>354</v>
      </c>
      <c r="W29" s="13" t="s">
        <v>355</v>
      </c>
      <c r="X29" s="13">
        <v>24</v>
      </c>
      <c r="Y29" s="13" t="s">
        <v>356</v>
      </c>
      <c r="Z29" s="13" t="s">
        <v>357</v>
      </c>
      <c r="AA29" s="13">
        <v>1</v>
      </c>
      <c r="AB29" s="13" t="s">
        <v>370</v>
      </c>
      <c r="AC29" s="13" t="s">
        <v>355</v>
      </c>
      <c r="AD29" s="13">
        <v>16</v>
      </c>
      <c r="AE29" s="13" t="s">
        <v>358</v>
      </c>
      <c r="AF29" s="1">
        <f t="shared" si="5"/>
        <v>3.5014823833572915</v>
      </c>
      <c r="AG29" s="1">
        <f t="shared" si="6"/>
        <v>2.334321588904861</v>
      </c>
      <c r="AH29" s="1"/>
      <c r="AI29" s="1"/>
      <c r="AJ29" s="13">
        <f t="shared" si="7"/>
        <v>8</v>
      </c>
      <c r="AK29" s="13" t="s">
        <v>29</v>
      </c>
      <c r="AL29" s="13" t="str">
        <f t="shared" si="8"/>
        <v>+</v>
      </c>
      <c r="AM29" s="13">
        <f t="shared" si="9"/>
        <v>16</v>
      </c>
      <c r="AN29" s="13" t="str">
        <f t="shared" si="10"/>
        <v>H2</v>
      </c>
      <c r="AO29" s="13" t="str">
        <f t="shared" si="11"/>
        <v>=</v>
      </c>
      <c r="AP29" s="13">
        <f t="shared" si="12"/>
        <v>1</v>
      </c>
      <c r="AQ29" s="13" t="str">
        <f t="shared" si="13"/>
        <v>C8H16</v>
      </c>
      <c r="AR29" s="13" t="str">
        <f t="shared" si="14"/>
        <v>+</v>
      </c>
      <c r="AS29" s="13">
        <f t="shared" si="19"/>
        <v>8</v>
      </c>
      <c r="AT29" s="13" t="str">
        <f t="shared" si="15"/>
        <v>H2O</v>
      </c>
      <c r="AU29" s="1">
        <f t="shared" si="16"/>
        <v>6.389130871877148</v>
      </c>
      <c r="AV29" s="1">
        <f t="shared" si="17"/>
        <v>3.194565435938574</v>
      </c>
    </row>
    <row r="30" spans="1:48" x14ac:dyDescent="0.25">
      <c r="A30">
        <v>27</v>
      </c>
      <c r="B30">
        <v>8</v>
      </c>
      <c r="C30" t="s">
        <v>205</v>
      </c>
      <c r="D30" t="s">
        <v>206</v>
      </c>
      <c r="E30" t="s">
        <v>207</v>
      </c>
      <c r="F30">
        <v>-1.335824694178249E-2</v>
      </c>
      <c r="G30">
        <v>1.7684454032055479E-3</v>
      </c>
      <c r="H30">
        <v>1.015609782884298E-2</v>
      </c>
      <c r="I30">
        <v>2.771341233504769E-3</v>
      </c>
      <c r="K30" s="30" t="s">
        <v>207</v>
      </c>
      <c r="L30" s="30"/>
      <c r="M30" s="37">
        <f t="shared" si="0"/>
        <v>8.3336811728077355E-4</v>
      </c>
      <c r="N30" s="37">
        <f t="shared" si="1"/>
        <v>3.4822680815237775E-3</v>
      </c>
      <c r="O30" s="34">
        <f t="shared" si="2"/>
        <v>2.3855162357162143E-2</v>
      </c>
      <c r="P30" s="34">
        <f t="shared" si="3"/>
        <v>6.529252652857083E-2</v>
      </c>
      <c r="Q30" s="31" t="s">
        <v>207</v>
      </c>
      <c r="R30" s="32">
        <f t="shared" si="4"/>
        <v>8.9147688885732976E-2</v>
      </c>
      <c r="S30">
        <f t="shared" si="18"/>
        <v>0.71318151108586381</v>
      </c>
      <c r="U30" s="13">
        <v>8</v>
      </c>
      <c r="V30" s="13" t="s">
        <v>354</v>
      </c>
      <c r="W30" s="13" t="s">
        <v>355</v>
      </c>
      <c r="X30" s="13">
        <v>24</v>
      </c>
      <c r="Y30" s="13" t="s">
        <v>356</v>
      </c>
      <c r="Z30" s="13" t="s">
        <v>357</v>
      </c>
      <c r="AA30" s="13">
        <v>1</v>
      </c>
      <c r="AB30" s="13" t="s">
        <v>370</v>
      </c>
      <c r="AC30" s="13" t="s">
        <v>355</v>
      </c>
      <c r="AD30" s="13">
        <v>16</v>
      </c>
      <c r="AE30" s="13" t="s">
        <v>358</v>
      </c>
      <c r="AF30" s="1">
        <f t="shared" si="5"/>
        <v>0.5725238965718914</v>
      </c>
      <c r="AG30" s="1">
        <f t="shared" si="6"/>
        <v>0.38168259771459428</v>
      </c>
      <c r="AH30" s="1"/>
      <c r="AI30" s="1"/>
      <c r="AJ30" s="13">
        <f t="shared" si="7"/>
        <v>8</v>
      </c>
      <c r="AK30" s="13" t="s">
        <v>29</v>
      </c>
      <c r="AL30" s="13" t="str">
        <f t="shared" si="8"/>
        <v>+</v>
      </c>
      <c r="AM30" s="13">
        <f t="shared" si="9"/>
        <v>16</v>
      </c>
      <c r="AN30" s="13" t="str">
        <f t="shared" si="10"/>
        <v>H2</v>
      </c>
      <c r="AO30" s="13" t="str">
        <f t="shared" si="11"/>
        <v>=</v>
      </c>
      <c r="AP30" s="13">
        <f t="shared" si="12"/>
        <v>1</v>
      </c>
      <c r="AQ30" s="13" t="str">
        <f t="shared" si="13"/>
        <v>C8H16</v>
      </c>
      <c r="AR30" s="13" t="str">
        <f t="shared" si="14"/>
        <v>+</v>
      </c>
      <c r="AS30" s="13">
        <f t="shared" si="19"/>
        <v>8</v>
      </c>
      <c r="AT30" s="13" t="str">
        <f t="shared" si="15"/>
        <v>H2O</v>
      </c>
      <c r="AU30" s="1">
        <f t="shared" si="16"/>
        <v>1.0446804244571333</v>
      </c>
      <c r="AV30" s="1">
        <f t="shared" si="17"/>
        <v>0.52234021222856664</v>
      </c>
    </row>
    <row r="31" spans="1:48" x14ac:dyDescent="0.25">
      <c r="A31">
        <v>28</v>
      </c>
      <c r="B31">
        <v>8</v>
      </c>
      <c r="C31" t="s">
        <v>208</v>
      </c>
      <c r="D31" t="s">
        <v>209</v>
      </c>
      <c r="E31" t="s">
        <v>210</v>
      </c>
      <c r="F31">
        <v>-3.2377699482869081E-2</v>
      </c>
      <c r="G31">
        <v>3.9863176012065321E-3</v>
      </c>
      <c r="H31">
        <v>-3.5676466581421921E-3</v>
      </c>
      <c r="I31">
        <v>7.3007992373693197E-3</v>
      </c>
      <c r="K31" s="30" t="s">
        <v>210</v>
      </c>
      <c r="L31" s="30"/>
      <c r="M31" s="37">
        <f t="shared" si="0"/>
        <v>1.7198786374056961E-3</v>
      </c>
      <c r="N31" s="37">
        <f t="shared" si="1"/>
        <v>7.0510639712993662E-3</v>
      </c>
      <c r="O31" s="34">
        <f t="shared" si="2"/>
        <v>4.9231525995738053E-2</v>
      </c>
      <c r="P31" s="34">
        <f t="shared" si="3"/>
        <v>0.13220744946186311</v>
      </c>
      <c r="Q31" s="31" t="s">
        <v>210</v>
      </c>
      <c r="R31" s="32">
        <f t="shared" si="4"/>
        <v>0.18143897545760115</v>
      </c>
      <c r="S31">
        <f t="shared" si="18"/>
        <v>1.4515118036608092</v>
      </c>
      <c r="U31" s="13">
        <v>8</v>
      </c>
      <c r="V31" s="13" t="s">
        <v>354</v>
      </c>
      <c r="W31" s="13" t="s">
        <v>355</v>
      </c>
      <c r="X31" s="13">
        <v>21</v>
      </c>
      <c r="Y31" s="13" t="s">
        <v>356</v>
      </c>
      <c r="Z31" s="13" t="s">
        <v>357</v>
      </c>
      <c r="AA31" s="13">
        <v>1</v>
      </c>
      <c r="AB31" s="13" t="s">
        <v>371</v>
      </c>
      <c r="AC31" s="13" t="s">
        <v>355</v>
      </c>
      <c r="AD31" s="13">
        <v>16</v>
      </c>
      <c r="AE31" s="13" t="s">
        <v>358</v>
      </c>
      <c r="AF31" s="1">
        <f t="shared" si="5"/>
        <v>1.033862045910499</v>
      </c>
      <c r="AG31" s="1">
        <f t="shared" si="6"/>
        <v>0.78770441593180884</v>
      </c>
      <c r="AH31" s="1"/>
      <c r="AI31" s="1"/>
      <c r="AJ31" s="13">
        <f t="shared" si="7"/>
        <v>8</v>
      </c>
      <c r="AK31" s="13" t="s">
        <v>29</v>
      </c>
      <c r="AL31" s="13" t="str">
        <f t="shared" si="8"/>
        <v>+</v>
      </c>
      <c r="AM31" s="13">
        <f t="shared" si="9"/>
        <v>13</v>
      </c>
      <c r="AN31" s="13" t="str">
        <f t="shared" si="10"/>
        <v>H2</v>
      </c>
      <c r="AO31" s="13" t="str">
        <f t="shared" si="11"/>
        <v>=</v>
      </c>
      <c r="AP31" s="13">
        <f t="shared" si="12"/>
        <v>1</v>
      </c>
      <c r="AQ31" s="13" t="str">
        <f t="shared" si="13"/>
        <v>C8H10</v>
      </c>
      <c r="AR31" s="13" t="str">
        <f t="shared" si="14"/>
        <v>+</v>
      </c>
      <c r="AS31" s="13">
        <f t="shared" si="19"/>
        <v>8</v>
      </c>
      <c r="AT31" s="13" t="str">
        <f t="shared" si="15"/>
        <v>H2O</v>
      </c>
      <c r="AU31" s="1">
        <f t="shared" si="16"/>
        <v>1.7186968430042204</v>
      </c>
      <c r="AV31" s="1">
        <f t="shared" si="17"/>
        <v>1.0576595956949049</v>
      </c>
    </row>
    <row r="32" spans="1:48" x14ac:dyDescent="0.25">
      <c r="A32">
        <v>29</v>
      </c>
      <c r="B32">
        <v>9</v>
      </c>
      <c r="C32" t="s">
        <v>212</v>
      </c>
      <c r="D32" t="s">
        <v>213</v>
      </c>
      <c r="E32" t="s">
        <v>214</v>
      </c>
      <c r="F32">
        <v>-1.067021949862219E-2</v>
      </c>
      <c r="G32">
        <v>1.655600872271993E-3</v>
      </c>
      <c r="H32">
        <v>3.0939776102934469E-2</v>
      </c>
      <c r="I32">
        <v>1.740972463542332E-3</v>
      </c>
      <c r="K32" s="30" t="s">
        <v>214</v>
      </c>
      <c r="L32" s="30"/>
      <c r="M32" s="37">
        <f t="shared" si="0"/>
        <v>9.0868550736843969E-4</v>
      </c>
      <c r="N32" s="37">
        <f t="shared" si="1"/>
        <v>3.906756790747745E-3</v>
      </c>
      <c r="O32" s="34">
        <f t="shared" si="2"/>
        <v>2.3120997909708077E-2</v>
      </c>
      <c r="P32" s="34">
        <f t="shared" si="3"/>
        <v>6.5112613179129086E-2</v>
      </c>
      <c r="Q32" s="31" t="s">
        <v>214</v>
      </c>
      <c r="R32" s="32">
        <f t="shared" si="4"/>
        <v>8.8233611088837163E-2</v>
      </c>
      <c r="S32">
        <f t="shared" si="18"/>
        <v>0.79410249979953451</v>
      </c>
      <c r="U32" s="13">
        <v>9</v>
      </c>
      <c r="V32" s="13" t="s">
        <v>354</v>
      </c>
      <c r="W32" s="13" t="s">
        <v>355</v>
      </c>
      <c r="X32" s="13">
        <v>28</v>
      </c>
      <c r="Y32" s="13" t="s">
        <v>356</v>
      </c>
      <c r="Z32" s="13" t="s">
        <v>357</v>
      </c>
      <c r="AA32" s="13">
        <v>1</v>
      </c>
      <c r="AB32" s="13" t="s">
        <v>372</v>
      </c>
      <c r="AC32" s="13" t="s">
        <v>355</v>
      </c>
      <c r="AD32" s="13">
        <v>18</v>
      </c>
      <c r="AE32" s="13" t="s">
        <v>358</v>
      </c>
      <c r="AF32" s="1">
        <f t="shared" si="5"/>
        <v>0.64738794147182621</v>
      </c>
      <c r="AG32" s="1">
        <f t="shared" si="6"/>
        <v>0.41617796237474536</v>
      </c>
      <c r="AH32" s="1"/>
      <c r="AI32" s="1"/>
      <c r="AJ32" s="13">
        <f t="shared" si="7"/>
        <v>9</v>
      </c>
      <c r="AK32" s="13" t="s">
        <v>29</v>
      </c>
      <c r="AL32" s="13" t="str">
        <f t="shared" si="8"/>
        <v>+</v>
      </c>
      <c r="AM32" s="13">
        <f t="shared" si="9"/>
        <v>19</v>
      </c>
      <c r="AN32" s="13" t="str">
        <f t="shared" si="10"/>
        <v>H2</v>
      </c>
      <c r="AO32" s="13" t="str">
        <f t="shared" si="11"/>
        <v>=</v>
      </c>
      <c r="AP32" s="13">
        <f t="shared" si="12"/>
        <v>1</v>
      </c>
      <c r="AQ32" s="13" t="str">
        <f t="shared" si="13"/>
        <v>C9H20</v>
      </c>
      <c r="AR32" s="13" t="str">
        <f t="shared" si="14"/>
        <v>+</v>
      </c>
      <c r="AS32" s="13">
        <f t="shared" si="19"/>
        <v>9</v>
      </c>
      <c r="AT32" s="13" t="str">
        <f t="shared" si="15"/>
        <v>H2O</v>
      </c>
      <c r="AU32" s="1">
        <f t="shared" si="16"/>
        <v>1.2371396504034526</v>
      </c>
      <c r="AV32" s="1">
        <f t="shared" si="17"/>
        <v>0.58601351861216178</v>
      </c>
    </row>
    <row r="33" spans="1:48" x14ac:dyDescent="0.25">
      <c r="A33">
        <v>30</v>
      </c>
      <c r="B33">
        <v>9</v>
      </c>
      <c r="C33" t="s">
        <v>215</v>
      </c>
      <c r="D33" t="s">
        <v>216</v>
      </c>
      <c r="E33" t="s">
        <v>217</v>
      </c>
      <c r="F33">
        <v>-8.8024105508101289E-2</v>
      </c>
      <c r="G33">
        <v>1.165316268186237E-2</v>
      </c>
      <c r="H33">
        <v>6.6923558961950513E-2</v>
      </c>
      <c r="I33">
        <v>1.826174004718796E-2</v>
      </c>
      <c r="K33" s="30" t="s">
        <v>217</v>
      </c>
      <c r="L33" s="30"/>
      <c r="M33" s="37">
        <f t="shared" si="0"/>
        <v>5.4914752962952791E-3</v>
      </c>
      <c r="N33" s="37">
        <f t="shared" si="1"/>
        <v>2.2946389174524497E-2</v>
      </c>
      <c r="O33" s="34">
        <f t="shared" si="2"/>
        <v>0.13972753809462432</v>
      </c>
      <c r="P33" s="34">
        <f t="shared" si="3"/>
        <v>0.38243981957540829</v>
      </c>
      <c r="Q33" s="31" t="s">
        <v>217</v>
      </c>
      <c r="R33" s="32">
        <f t="shared" si="4"/>
        <v>0.52216735767003264</v>
      </c>
      <c r="S33">
        <f t="shared" si="18"/>
        <v>4.6995062190302939</v>
      </c>
      <c r="U33" s="13">
        <v>9</v>
      </c>
      <c r="V33" s="13" t="s">
        <v>354</v>
      </c>
      <c r="W33" s="13" t="s">
        <v>355</v>
      </c>
      <c r="X33" s="13">
        <v>28</v>
      </c>
      <c r="Y33" s="13" t="s">
        <v>356</v>
      </c>
      <c r="Z33" s="13" t="s">
        <v>357</v>
      </c>
      <c r="AA33" s="13">
        <v>1</v>
      </c>
      <c r="AB33" s="13" t="s">
        <v>372</v>
      </c>
      <c r="AC33" s="13" t="s">
        <v>355</v>
      </c>
      <c r="AD33" s="13">
        <v>18</v>
      </c>
      <c r="AE33" s="13" t="s">
        <v>358</v>
      </c>
      <c r="AF33" s="1">
        <f t="shared" si="5"/>
        <v>3.9123710666494809</v>
      </c>
      <c r="AG33" s="1">
        <f t="shared" si="6"/>
        <v>2.5150956857032378</v>
      </c>
      <c r="AH33" s="1"/>
      <c r="AI33" s="1"/>
      <c r="AJ33" s="13">
        <f t="shared" si="7"/>
        <v>9</v>
      </c>
      <c r="AK33" s="13" t="s">
        <v>29</v>
      </c>
      <c r="AL33" s="13" t="str">
        <f t="shared" si="8"/>
        <v>+</v>
      </c>
      <c r="AM33" s="13">
        <f t="shared" si="9"/>
        <v>19</v>
      </c>
      <c r="AN33" s="13" t="str">
        <f t="shared" si="10"/>
        <v>H2</v>
      </c>
      <c r="AO33" s="13" t="str">
        <f t="shared" si="11"/>
        <v>=</v>
      </c>
      <c r="AP33" s="13">
        <f t="shared" si="12"/>
        <v>1</v>
      </c>
      <c r="AQ33" s="13" t="str">
        <f t="shared" si="13"/>
        <v>C9H20</v>
      </c>
      <c r="AR33" s="13" t="str">
        <f t="shared" si="14"/>
        <v>+</v>
      </c>
      <c r="AS33" s="13">
        <f t="shared" si="19"/>
        <v>9</v>
      </c>
      <c r="AT33" s="13" t="str">
        <f t="shared" si="15"/>
        <v>H2O</v>
      </c>
      <c r="AU33" s="1">
        <f t="shared" si="16"/>
        <v>7.2663565719327572</v>
      </c>
      <c r="AV33" s="1">
        <f t="shared" si="17"/>
        <v>3.4419583761786745</v>
      </c>
    </row>
    <row r="34" spans="1:48" x14ac:dyDescent="0.25">
      <c r="A34">
        <v>31</v>
      </c>
      <c r="B34">
        <v>9</v>
      </c>
      <c r="C34" t="s">
        <v>218</v>
      </c>
      <c r="D34" t="s">
        <v>219</v>
      </c>
      <c r="E34" t="s">
        <v>220</v>
      </c>
      <c r="F34">
        <v>-1.6221568359321249E-2</v>
      </c>
      <c r="G34">
        <v>2.1475091846144831E-3</v>
      </c>
      <c r="H34">
        <v>1.2333043094092369E-2</v>
      </c>
      <c r="I34">
        <v>3.3653743236090041E-3</v>
      </c>
      <c r="K34" s="30" t="s">
        <v>220</v>
      </c>
      <c r="L34" s="30"/>
      <c r="M34" s="37">
        <f t="shared" si="0"/>
        <v>1.0119993994619956E-3</v>
      </c>
      <c r="N34" s="37">
        <f t="shared" si="1"/>
        <v>4.22868734019547E-3</v>
      </c>
      <c r="O34" s="34">
        <f t="shared" si="2"/>
        <v>2.5749762497421887E-2</v>
      </c>
      <c r="P34" s="34">
        <f t="shared" si="3"/>
        <v>7.0478122336591176E-2</v>
      </c>
      <c r="Q34" s="31" t="s">
        <v>220</v>
      </c>
      <c r="R34" s="32">
        <f t="shared" si="4"/>
        <v>9.6227884834013067E-2</v>
      </c>
      <c r="S34">
        <f t="shared" si="18"/>
        <v>0.86605096350611754</v>
      </c>
      <c r="U34" s="13">
        <v>9</v>
      </c>
      <c r="V34" s="13" t="s">
        <v>354</v>
      </c>
      <c r="W34" s="13" t="s">
        <v>355</v>
      </c>
      <c r="X34" s="13">
        <v>27</v>
      </c>
      <c r="Y34" s="13" t="s">
        <v>356</v>
      </c>
      <c r="Z34" s="13" t="s">
        <v>357</v>
      </c>
      <c r="AA34" s="13">
        <v>1</v>
      </c>
      <c r="AB34" s="13" t="s">
        <v>373</v>
      </c>
      <c r="AC34" s="13" t="s">
        <v>355</v>
      </c>
      <c r="AD34" s="13">
        <v>18</v>
      </c>
      <c r="AE34" s="13" t="s">
        <v>358</v>
      </c>
      <c r="AF34" s="1">
        <f t="shared" si="5"/>
        <v>0.69524358743039094</v>
      </c>
      <c r="AG34" s="1">
        <f t="shared" si="6"/>
        <v>0.46349572495359398</v>
      </c>
      <c r="AH34" s="1"/>
      <c r="AI34" s="1"/>
      <c r="AJ34" s="13">
        <f t="shared" si="7"/>
        <v>9</v>
      </c>
      <c r="AK34" s="13" t="s">
        <v>29</v>
      </c>
      <c r="AL34" s="13" t="str">
        <f t="shared" si="8"/>
        <v>+</v>
      </c>
      <c r="AM34" s="13">
        <f t="shared" si="9"/>
        <v>18</v>
      </c>
      <c r="AN34" s="13" t="str">
        <f t="shared" si="10"/>
        <v>H2</v>
      </c>
      <c r="AO34" s="13" t="str">
        <f t="shared" si="11"/>
        <v>=</v>
      </c>
      <c r="AP34" s="13">
        <f t="shared" si="12"/>
        <v>1</v>
      </c>
      <c r="AQ34" s="13" t="str">
        <f t="shared" si="13"/>
        <v>C9H18</v>
      </c>
      <c r="AR34" s="13" t="str">
        <f t="shared" si="14"/>
        <v>+</v>
      </c>
      <c r="AS34" s="13">
        <f t="shared" si="19"/>
        <v>9</v>
      </c>
      <c r="AT34" s="13" t="str">
        <f t="shared" si="15"/>
        <v>H2O</v>
      </c>
      <c r="AU34" s="1">
        <f t="shared" si="16"/>
        <v>1.2686062020586411</v>
      </c>
      <c r="AV34" s="1">
        <f t="shared" si="17"/>
        <v>0.63430310102932053</v>
      </c>
    </row>
    <row r="35" spans="1:48" x14ac:dyDescent="0.25">
      <c r="A35">
        <v>32</v>
      </c>
      <c r="B35">
        <v>9</v>
      </c>
      <c r="C35" t="s">
        <v>221</v>
      </c>
      <c r="D35" t="s">
        <v>222</v>
      </c>
      <c r="E35" t="s">
        <v>223</v>
      </c>
      <c r="F35">
        <v>-9.1445980384913562E-3</v>
      </c>
      <c r="G35">
        <v>1.210617114342295E-3</v>
      </c>
      <c r="H35">
        <v>6.9525165007895346E-3</v>
      </c>
      <c r="I35">
        <v>1.8971652282179061E-3</v>
      </c>
      <c r="K35" s="30" t="s">
        <v>223</v>
      </c>
      <c r="L35" s="30"/>
      <c r="M35" s="37">
        <f t="shared" si="0"/>
        <v>5.7049525164789997E-4</v>
      </c>
      <c r="N35" s="37">
        <f t="shared" si="1"/>
        <v>2.3838413832731734E-3</v>
      </c>
      <c r="O35" s="34">
        <f t="shared" si="2"/>
        <v>1.4515934736374343E-2</v>
      </c>
      <c r="P35" s="34">
        <f t="shared" si="3"/>
        <v>3.9730689721219556E-2</v>
      </c>
      <c r="Q35" s="31" t="s">
        <v>223</v>
      </c>
      <c r="R35" s="32">
        <f t="shared" si="4"/>
        <v>5.4246624457593901E-2</v>
      </c>
      <c r="S35">
        <f t="shared" si="18"/>
        <v>0.48821962011834508</v>
      </c>
      <c r="U35" s="13">
        <v>9</v>
      </c>
      <c r="V35" s="13" t="s">
        <v>354</v>
      </c>
      <c r="W35" s="13" t="s">
        <v>355</v>
      </c>
      <c r="X35" s="13">
        <v>27</v>
      </c>
      <c r="Y35" s="13" t="s">
        <v>356</v>
      </c>
      <c r="Z35" s="13" t="s">
        <v>357</v>
      </c>
      <c r="AA35" s="13">
        <v>1</v>
      </c>
      <c r="AB35" s="13" t="s">
        <v>373</v>
      </c>
      <c r="AC35" s="13" t="s">
        <v>355</v>
      </c>
      <c r="AD35" s="13">
        <v>18</v>
      </c>
      <c r="AE35" s="13" t="s">
        <v>358</v>
      </c>
      <c r="AF35" s="1">
        <f t="shared" si="5"/>
        <v>0.39193023788210724</v>
      </c>
      <c r="AG35" s="1">
        <f t="shared" si="6"/>
        <v>0.26128682525473818</v>
      </c>
      <c r="AH35" s="1"/>
      <c r="AI35" s="1"/>
      <c r="AJ35" s="13">
        <f t="shared" si="7"/>
        <v>9</v>
      </c>
      <c r="AK35" s="13" t="s">
        <v>29</v>
      </c>
      <c r="AL35" s="13" t="str">
        <f t="shared" si="8"/>
        <v>+</v>
      </c>
      <c r="AM35" s="13">
        <f t="shared" si="9"/>
        <v>18</v>
      </c>
      <c r="AN35" s="13" t="str">
        <f t="shared" si="10"/>
        <v>H2</v>
      </c>
      <c r="AO35" s="13" t="str">
        <f t="shared" si="11"/>
        <v>=</v>
      </c>
      <c r="AP35" s="13">
        <f t="shared" si="12"/>
        <v>1</v>
      </c>
      <c r="AQ35" s="13" t="str">
        <f t="shared" si="13"/>
        <v>C9H18</v>
      </c>
      <c r="AR35" s="13" t="str">
        <f t="shared" si="14"/>
        <v>+</v>
      </c>
      <c r="AS35" s="13">
        <f t="shared" si="19"/>
        <v>9</v>
      </c>
      <c r="AT35" s="13" t="str">
        <f t="shared" si="15"/>
        <v>H2O</v>
      </c>
      <c r="AU35" s="1">
        <f t="shared" si="16"/>
        <v>0.71515241498195203</v>
      </c>
      <c r="AV35" s="1">
        <f t="shared" si="17"/>
        <v>0.35757620749097602</v>
      </c>
    </row>
    <row r="36" spans="1:48" x14ac:dyDescent="0.25">
      <c r="A36">
        <v>33</v>
      </c>
      <c r="B36">
        <v>9</v>
      </c>
      <c r="C36" t="s">
        <v>224</v>
      </c>
      <c r="D36" t="s">
        <v>225</v>
      </c>
      <c r="E36" t="s">
        <v>226</v>
      </c>
      <c r="F36">
        <v>-4.604036335060295E-2</v>
      </c>
      <c r="G36">
        <v>5.1163762518555353E-3</v>
      </c>
      <c r="H36">
        <v>-5.6932442357978723E-2</v>
      </c>
      <c r="I36">
        <v>1.1455462139040961E-2</v>
      </c>
      <c r="K36" s="30" t="s">
        <v>226</v>
      </c>
      <c r="L36" s="30"/>
      <c r="M36" s="37">
        <f t="shared" ref="M36:M67" si="20">IF($L$1,F36*$K$1+G36,0)</f>
        <v>1.8935508173133285E-3</v>
      </c>
      <c r="N36" s="37">
        <f t="shared" ref="N36:N67" si="21">IF($L$1,H36*$K$1+I36,0)</f>
        <v>7.4701911739824493E-3</v>
      </c>
      <c r="O36" s="34">
        <f t="shared" ref="O36:O71" si="22">+M36*$L$72/U36</f>
        <v>4.8180348573861359E-2</v>
      </c>
      <c r="P36" s="34">
        <f t="shared" ref="P36:P71" si="23">+N36*$L$73/AJ36</f>
        <v>0.12450318623304082</v>
      </c>
      <c r="Q36" s="31" t="s">
        <v>226</v>
      </c>
      <c r="R36" s="32">
        <f t="shared" ref="R36:R71" si="24">+L36+O36+P36</f>
        <v>0.17268353480690218</v>
      </c>
      <c r="S36">
        <f t="shared" si="18"/>
        <v>1.5541518132621197</v>
      </c>
      <c r="U36" s="13">
        <v>9</v>
      </c>
      <c r="V36" s="13" t="s">
        <v>354</v>
      </c>
      <c r="W36" s="13" t="s">
        <v>355</v>
      </c>
      <c r="X36" s="13">
        <v>23</v>
      </c>
      <c r="Y36" s="13" t="s">
        <v>356</v>
      </c>
      <c r="Z36" s="13" t="s">
        <v>357</v>
      </c>
      <c r="AA36" s="13">
        <v>1</v>
      </c>
      <c r="AB36" s="13" t="s">
        <v>374</v>
      </c>
      <c r="AC36" s="13" t="s">
        <v>355</v>
      </c>
      <c r="AD36" s="13">
        <v>18</v>
      </c>
      <c r="AE36" s="13" t="s">
        <v>358</v>
      </c>
      <c r="AF36" s="1">
        <f t="shared" ref="AF36:AF71" si="25">+O36*X36</f>
        <v>1.1081480171988112</v>
      </c>
      <c r="AG36" s="1">
        <f t="shared" ref="AG36:AG71" si="26">+AD36*O36</f>
        <v>0.86724627432950441</v>
      </c>
      <c r="AH36" s="1"/>
      <c r="AI36" s="1"/>
      <c r="AJ36" s="13">
        <f t="shared" ref="AJ36:AJ71" si="27">U36</f>
        <v>9</v>
      </c>
      <c r="AK36" s="13" t="s">
        <v>29</v>
      </c>
      <c r="AL36" s="13" t="str">
        <f t="shared" ref="AL36:AL71" si="28">W36</f>
        <v>+</v>
      </c>
      <c r="AM36" s="13">
        <f t="shared" ref="AM36:AM71" si="29">+X36-AJ36</f>
        <v>14</v>
      </c>
      <c r="AN36" s="13" t="str">
        <f t="shared" ref="AN36:AN71" si="30">Y36</f>
        <v>H2</v>
      </c>
      <c r="AO36" s="13" t="str">
        <f t="shared" ref="AO36:AO71" si="31">Z36</f>
        <v>=</v>
      </c>
      <c r="AP36" s="13">
        <f t="shared" ref="AP36:AP71" si="32">AA36</f>
        <v>1</v>
      </c>
      <c r="AQ36" s="13" t="str">
        <f t="shared" ref="AQ36:AQ71" si="33">AB36</f>
        <v>C9H10</v>
      </c>
      <c r="AR36" s="13" t="str">
        <f t="shared" ref="AR36:AR71" si="34">AC36</f>
        <v>+</v>
      </c>
      <c r="AS36" s="13">
        <f t="shared" si="19"/>
        <v>9</v>
      </c>
      <c r="AT36" s="13" t="str">
        <f t="shared" ref="AT36:AT71" si="35">+AE36</f>
        <v>H2O</v>
      </c>
      <c r="AU36" s="1">
        <f t="shared" ref="AU36:AU71" si="36">+P36*AM36</f>
        <v>1.7430446072625716</v>
      </c>
      <c r="AV36" s="1">
        <f t="shared" ref="AV36:AV71" si="37">+AS36*P36</f>
        <v>1.1205286760973674</v>
      </c>
    </row>
    <row r="37" spans="1:48" x14ac:dyDescent="0.25">
      <c r="A37">
        <v>34</v>
      </c>
      <c r="B37">
        <v>10</v>
      </c>
      <c r="C37" t="s">
        <v>227</v>
      </c>
      <c r="D37" t="s">
        <v>228</v>
      </c>
      <c r="E37" t="s">
        <v>229</v>
      </c>
      <c r="F37">
        <v>-1.316400779458151E-2</v>
      </c>
      <c r="G37">
        <v>2.3405229755603741E-3</v>
      </c>
      <c r="H37">
        <v>6.6161887711366371E-2</v>
      </c>
      <c r="I37">
        <v>1.5682327558777321E-3</v>
      </c>
      <c r="K37" s="30" t="s">
        <v>229</v>
      </c>
      <c r="L37" s="30"/>
      <c r="M37" s="37">
        <f t="shared" si="20"/>
        <v>1.4190424299396682E-3</v>
      </c>
      <c r="N37" s="37">
        <f t="shared" si="21"/>
        <v>6.1995648956733786E-3</v>
      </c>
      <c r="O37" s="34">
        <f t="shared" si="22"/>
        <v>3.24960716456184E-2</v>
      </c>
      <c r="P37" s="34">
        <f t="shared" si="23"/>
        <v>9.2993473435100685E-2</v>
      </c>
      <c r="Q37" s="31" t="s">
        <v>229</v>
      </c>
      <c r="R37" s="32">
        <f t="shared" si="24"/>
        <v>0.12548954508071908</v>
      </c>
      <c r="S37">
        <f t="shared" ref="S37:S68" si="38">+R37*U37</f>
        <v>1.2548954508071908</v>
      </c>
      <c r="U37" s="13">
        <v>10</v>
      </c>
      <c r="V37" s="13" t="s">
        <v>354</v>
      </c>
      <c r="W37" s="13" t="s">
        <v>355</v>
      </c>
      <c r="X37" s="13">
        <v>31</v>
      </c>
      <c r="Y37" s="13" t="s">
        <v>356</v>
      </c>
      <c r="Z37" s="13" t="s">
        <v>357</v>
      </c>
      <c r="AA37" s="13">
        <v>1</v>
      </c>
      <c r="AB37" s="13" t="s">
        <v>375</v>
      </c>
      <c r="AC37" s="13" t="s">
        <v>355</v>
      </c>
      <c r="AD37" s="13">
        <v>20</v>
      </c>
      <c r="AE37" s="13" t="s">
        <v>358</v>
      </c>
      <c r="AF37" s="1">
        <f t="shared" si="25"/>
        <v>1.0073782210141704</v>
      </c>
      <c r="AG37" s="1">
        <f t="shared" si="26"/>
        <v>0.64992143291236804</v>
      </c>
      <c r="AH37" s="1"/>
      <c r="AI37" s="1"/>
      <c r="AJ37" s="13">
        <f t="shared" si="27"/>
        <v>10</v>
      </c>
      <c r="AK37" s="13" t="s">
        <v>29</v>
      </c>
      <c r="AL37" s="13" t="str">
        <f t="shared" si="28"/>
        <v>+</v>
      </c>
      <c r="AM37" s="13">
        <f t="shared" si="29"/>
        <v>21</v>
      </c>
      <c r="AN37" s="13" t="str">
        <f t="shared" si="30"/>
        <v>H2</v>
      </c>
      <c r="AO37" s="13" t="str">
        <f t="shared" si="31"/>
        <v>=</v>
      </c>
      <c r="AP37" s="13">
        <f t="shared" si="32"/>
        <v>1</v>
      </c>
      <c r="AQ37" s="13" t="str">
        <f t="shared" si="33"/>
        <v>C10H22</v>
      </c>
      <c r="AR37" s="13" t="str">
        <f t="shared" si="34"/>
        <v>+</v>
      </c>
      <c r="AS37" s="13">
        <f t="shared" si="19"/>
        <v>10</v>
      </c>
      <c r="AT37" s="13" t="str">
        <f t="shared" si="35"/>
        <v>H2O</v>
      </c>
      <c r="AU37" s="1">
        <f t="shared" si="36"/>
        <v>1.9528629421371144</v>
      </c>
      <c r="AV37" s="1">
        <f t="shared" si="37"/>
        <v>0.92993473435100682</v>
      </c>
    </row>
    <row r="38" spans="1:48" x14ac:dyDescent="0.25">
      <c r="A38">
        <v>35</v>
      </c>
      <c r="B38">
        <v>10</v>
      </c>
      <c r="C38" t="s">
        <v>230</v>
      </c>
      <c r="D38" t="s">
        <v>231</v>
      </c>
      <c r="E38" t="s">
        <v>232</v>
      </c>
      <c r="F38">
        <v>-3.3247540803849597E-2</v>
      </c>
      <c r="G38">
        <v>4.4015102399814652E-3</v>
      </c>
      <c r="H38">
        <v>2.5277663936289569E-2</v>
      </c>
      <c r="I38">
        <v>6.8976326866769062E-3</v>
      </c>
      <c r="K38" s="30" t="s">
        <v>232</v>
      </c>
      <c r="L38" s="30"/>
      <c r="M38" s="37">
        <f t="shared" si="20"/>
        <v>2.0741823837119931E-3</v>
      </c>
      <c r="N38" s="37">
        <f t="shared" si="21"/>
        <v>8.6670691622171767E-3</v>
      </c>
      <c r="O38" s="34">
        <f t="shared" si="22"/>
        <v>4.7498776587004646E-2</v>
      </c>
      <c r="P38" s="34">
        <f t="shared" si="23"/>
        <v>0.13000603743325764</v>
      </c>
      <c r="Q38" s="31" t="s">
        <v>232</v>
      </c>
      <c r="R38" s="32">
        <f t="shared" si="24"/>
        <v>0.1775048140202623</v>
      </c>
      <c r="S38">
        <f t="shared" si="38"/>
        <v>1.775048140202623</v>
      </c>
      <c r="U38" s="13">
        <v>10</v>
      </c>
      <c r="V38" s="13" t="s">
        <v>354</v>
      </c>
      <c r="W38" s="13" t="s">
        <v>355</v>
      </c>
      <c r="X38" s="13">
        <v>31</v>
      </c>
      <c r="Y38" s="13" t="s">
        <v>356</v>
      </c>
      <c r="Z38" s="13" t="s">
        <v>357</v>
      </c>
      <c r="AA38" s="13">
        <v>1</v>
      </c>
      <c r="AB38" s="13" t="s">
        <v>375</v>
      </c>
      <c r="AC38" s="13" t="s">
        <v>355</v>
      </c>
      <c r="AD38" s="13">
        <v>20</v>
      </c>
      <c r="AE38" s="13" t="s">
        <v>358</v>
      </c>
      <c r="AF38" s="1">
        <f t="shared" si="25"/>
        <v>1.4724620741971439</v>
      </c>
      <c r="AG38" s="1">
        <f t="shared" si="26"/>
        <v>0.94997553174009286</v>
      </c>
      <c r="AH38" s="1"/>
      <c r="AI38" s="1"/>
      <c r="AJ38" s="13">
        <f t="shared" si="27"/>
        <v>10</v>
      </c>
      <c r="AK38" s="13" t="s">
        <v>29</v>
      </c>
      <c r="AL38" s="13" t="str">
        <f t="shared" si="28"/>
        <v>+</v>
      </c>
      <c r="AM38" s="13">
        <f t="shared" si="29"/>
        <v>21</v>
      </c>
      <c r="AN38" s="13" t="str">
        <f t="shared" si="30"/>
        <v>H2</v>
      </c>
      <c r="AO38" s="13" t="str">
        <f t="shared" si="31"/>
        <v>=</v>
      </c>
      <c r="AP38" s="13">
        <f t="shared" si="32"/>
        <v>1</v>
      </c>
      <c r="AQ38" s="13" t="str">
        <f t="shared" si="33"/>
        <v>C10H22</v>
      </c>
      <c r="AR38" s="13" t="str">
        <f t="shared" si="34"/>
        <v>+</v>
      </c>
      <c r="AS38" s="13">
        <f t="shared" ref="AS38:AS71" si="39">+AJ38</f>
        <v>10</v>
      </c>
      <c r="AT38" s="13" t="str">
        <f t="shared" si="35"/>
        <v>H2O</v>
      </c>
      <c r="AU38" s="1">
        <f t="shared" si="36"/>
        <v>2.7301267860984106</v>
      </c>
      <c r="AV38" s="1">
        <f t="shared" si="37"/>
        <v>1.3000603743325765</v>
      </c>
    </row>
    <row r="39" spans="1:48" x14ac:dyDescent="0.25">
      <c r="A39">
        <v>36</v>
      </c>
      <c r="B39">
        <v>10</v>
      </c>
      <c r="C39" t="s">
        <v>233</v>
      </c>
      <c r="D39" t="s">
        <v>234</v>
      </c>
      <c r="E39" t="s">
        <v>235</v>
      </c>
      <c r="F39">
        <v>-3.627372999872705E-2</v>
      </c>
      <c r="G39">
        <v>4.8021176777397721E-3</v>
      </c>
      <c r="H39">
        <v>2.757676679050608E-2</v>
      </c>
      <c r="I39">
        <v>7.5254893586479757E-3</v>
      </c>
      <c r="K39" s="30" t="s">
        <v>235</v>
      </c>
      <c r="L39" s="30"/>
      <c r="M39" s="37">
        <f t="shared" si="20"/>
        <v>2.2629565778288785E-3</v>
      </c>
      <c r="N39" s="37">
        <f t="shared" si="21"/>
        <v>9.4558630339834013E-3</v>
      </c>
      <c r="O39" s="34">
        <f t="shared" si="22"/>
        <v>5.182170563228132E-2</v>
      </c>
      <c r="P39" s="34">
        <f t="shared" si="23"/>
        <v>0.14183794550975101</v>
      </c>
      <c r="Q39" s="31" t="s">
        <v>235</v>
      </c>
      <c r="R39" s="32">
        <f t="shared" si="24"/>
        <v>0.19365965114203232</v>
      </c>
      <c r="S39">
        <f t="shared" si="38"/>
        <v>1.9365965114203232</v>
      </c>
      <c r="U39" s="13">
        <v>10</v>
      </c>
      <c r="V39" s="13" t="s">
        <v>354</v>
      </c>
      <c r="W39" s="13" t="s">
        <v>355</v>
      </c>
      <c r="X39" s="13">
        <v>30</v>
      </c>
      <c r="Y39" s="13" t="s">
        <v>356</v>
      </c>
      <c r="Z39" s="13" t="s">
        <v>357</v>
      </c>
      <c r="AA39" s="13">
        <v>1</v>
      </c>
      <c r="AB39" s="13" t="s">
        <v>376</v>
      </c>
      <c r="AC39" s="13" t="s">
        <v>355</v>
      </c>
      <c r="AD39" s="13">
        <v>20</v>
      </c>
      <c r="AE39" s="13" t="s">
        <v>358</v>
      </c>
      <c r="AF39" s="1">
        <f t="shared" si="25"/>
        <v>1.5546511689684397</v>
      </c>
      <c r="AG39" s="1">
        <f t="shared" si="26"/>
        <v>1.0364341126456265</v>
      </c>
      <c r="AH39" s="1"/>
      <c r="AI39" s="1"/>
      <c r="AJ39" s="13">
        <f t="shared" si="27"/>
        <v>10</v>
      </c>
      <c r="AK39" s="13" t="s">
        <v>29</v>
      </c>
      <c r="AL39" s="13" t="str">
        <f t="shared" si="28"/>
        <v>+</v>
      </c>
      <c r="AM39" s="13">
        <f t="shared" si="29"/>
        <v>20</v>
      </c>
      <c r="AN39" s="13" t="str">
        <f t="shared" si="30"/>
        <v>H2</v>
      </c>
      <c r="AO39" s="13" t="str">
        <f t="shared" si="31"/>
        <v>=</v>
      </c>
      <c r="AP39" s="13">
        <f t="shared" si="32"/>
        <v>1</v>
      </c>
      <c r="AQ39" s="13" t="str">
        <f t="shared" si="33"/>
        <v>C10H20</v>
      </c>
      <c r="AR39" s="13" t="str">
        <f t="shared" si="34"/>
        <v>+</v>
      </c>
      <c r="AS39" s="13">
        <f t="shared" si="39"/>
        <v>10</v>
      </c>
      <c r="AT39" s="13" t="str">
        <f t="shared" si="35"/>
        <v>H2O</v>
      </c>
      <c r="AU39" s="1">
        <f t="shared" si="36"/>
        <v>2.8367589101950204</v>
      </c>
      <c r="AV39" s="1">
        <f t="shared" si="37"/>
        <v>1.4183794550975102</v>
      </c>
    </row>
    <row r="40" spans="1:48" x14ac:dyDescent="0.25">
      <c r="A40">
        <v>37</v>
      </c>
      <c r="B40">
        <v>10</v>
      </c>
      <c r="C40" t="s">
        <v>236</v>
      </c>
      <c r="D40" t="s">
        <v>237</v>
      </c>
      <c r="E40" t="s">
        <v>238</v>
      </c>
      <c r="F40">
        <v>-2.1103086057774841E-2</v>
      </c>
      <c r="G40">
        <v>2.7937539779709429E-3</v>
      </c>
      <c r="H40">
        <v>1.6044396201636259E-2</v>
      </c>
      <c r="I40">
        <v>4.3781083551601967E-3</v>
      </c>
      <c r="K40" s="30" t="s">
        <v>238</v>
      </c>
      <c r="L40" s="30"/>
      <c r="M40" s="37">
        <f t="shared" si="20"/>
        <v>1.3165379539267039E-3</v>
      </c>
      <c r="N40" s="37">
        <f t="shared" si="21"/>
        <v>5.5012160892747349E-3</v>
      </c>
      <c r="O40" s="34">
        <f t="shared" si="22"/>
        <v>3.014871914492152E-2</v>
      </c>
      <c r="P40" s="34">
        <f t="shared" si="23"/>
        <v>8.2518241339121029E-2</v>
      </c>
      <c r="Q40" s="31" t="s">
        <v>238</v>
      </c>
      <c r="R40" s="32">
        <f t="shared" si="24"/>
        <v>0.11266696048404255</v>
      </c>
      <c r="S40">
        <f t="shared" si="38"/>
        <v>1.1266696048404254</v>
      </c>
      <c r="U40" s="13">
        <v>10</v>
      </c>
      <c r="V40" s="13" t="s">
        <v>354</v>
      </c>
      <c r="W40" s="13" t="s">
        <v>355</v>
      </c>
      <c r="X40" s="13">
        <v>30</v>
      </c>
      <c r="Y40" s="13" t="s">
        <v>356</v>
      </c>
      <c r="Z40" s="13" t="s">
        <v>357</v>
      </c>
      <c r="AA40" s="13">
        <v>1</v>
      </c>
      <c r="AB40" s="13" t="s">
        <v>376</v>
      </c>
      <c r="AC40" s="13" t="s">
        <v>355</v>
      </c>
      <c r="AD40" s="13">
        <v>20</v>
      </c>
      <c r="AE40" s="13" t="s">
        <v>358</v>
      </c>
      <c r="AF40" s="1">
        <f t="shared" si="25"/>
        <v>0.90446157434764562</v>
      </c>
      <c r="AG40" s="1">
        <f t="shared" si="26"/>
        <v>0.60297438289843042</v>
      </c>
      <c r="AH40" s="1"/>
      <c r="AI40" s="1"/>
      <c r="AJ40" s="13">
        <f t="shared" si="27"/>
        <v>10</v>
      </c>
      <c r="AK40" s="13" t="s">
        <v>29</v>
      </c>
      <c r="AL40" s="13" t="str">
        <f t="shared" si="28"/>
        <v>+</v>
      </c>
      <c r="AM40" s="13">
        <f t="shared" si="29"/>
        <v>20</v>
      </c>
      <c r="AN40" s="13" t="str">
        <f t="shared" si="30"/>
        <v>H2</v>
      </c>
      <c r="AO40" s="13" t="str">
        <f t="shared" si="31"/>
        <v>=</v>
      </c>
      <c r="AP40" s="13">
        <f t="shared" si="32"/>
        <v>1</v>
      </c>
      <c r="AQ40" s="13" t="str">
        <f t="shared" si="33"/>
        <v>C10H20</v>
      </c>
      <c r="AR40" s="13" t="str">
        <f t="shared" si="34"/>
        <v>+</v>
      </c>
      <c r="AS40" s="13">
        <f t="shared" si="39"/>
        <v>10</v>
      </c>
      <c r="AT40" s="13" t="str">
        <f t="shared" si="35"/>
        <v>H2O</v>
      </c>
      <c r="AU40" s="1">
        <f t="shared" si="36"/>
        <v>1.6503648267824205</v>
      </c>
      <c r="AV40" s="1">
        <f t="shared" si="37"/>
        <v>0.82518241339121023</v>
      </c>
    </row>
    <row r="41" spans="1:48" x14ac:dyDescent="0.25">
      <c r="A41">
        <v>38</v>
      </c>
      <c r="B41">
        <v>10</v>
      </c>
      <c r="C41" t="s">
        <v>239</v>
      </c>
      <c r="D41" t="s">
        <v>240</v>
      </c>
      <c r="E41" t="s">
        <v>241</v>
      </c>
      <c r="F41">
        <v>-2.5832825291856681E-2</v>
      </c>
      <c r="G41">
        <v>3.4199054215941918E-3</v>
      </c>
      <c r="H41">
        <v>1.9640354157466809E-2</v>
      </c>
      <c r="I41">
        <v>5.3593539796992504E-3</v>
      </c>
      <c r="K41" s="30" t="s">
        <v>241</v>
      </c>
      <c r="L41" s="30"/>
      <c r="M41" s="37">
        <f t="shared" si="20"/>
        <v>1.611607651164224E-3</v>
      </c>
      <c r="N41" s="37">
        <f t="shared" si="21"/>
        <v>6.7341787707219276E-3</v>
      </c>
      <c r="O41" s="34">
        <f t="shared" si="22"/>
        <v>3.6905815211660732E-2</v>
      </c>
      <c r="P41" s="34">
        <f t="shared" si="23"/>
        <v>0.10101268156082892</v>
      </c>
      <c r="Q41" s="31" t="s">
        <v>241</v>
      </c>
      <c r="R41" s="32">
        <f t="shared" si="24"/>
        <v>0.13791849677248966</v>
      </c>
      <c r="S41">
        <f t="shared" si="38"/>
        <v>1.3791849677248966</v>
      </c>
      <c r="U41" s="13">
        <v>10</v>
      </c>
      <c r="V41" s="13" t="s">
        <v>354</v>
      </c>
      <c r="W41" s="13" t="s">
        <v>355</v>
      </c>
      <c r="X41" s="13">
        <v>27</v>
      </c>
      <c r="Y41" s="13" t="s">
        <v>356</v>
      </c>
      <c r="Z41" s="13" t="s">
        <v>357</v>
      </c>
      <c r="AA41" s="13">
        <v>1</v>
      </c>
      <c r="AB41" s="13" t="s">
        <v>377</v>
      </c>
      <c r="AC41" s="13" t="s">
        <v>355</v>
      </c>
      <c r="AD41" s="13">
        <v>20</v>
      </c>
      <c r="AE41" s="13" t="s">
        <v>358</v>
      </c>
      <c r="AF41" s="1">
        <f t="shared" si="25"/>
        <v>0.99645701071483972</v>
      </c>
      <c r="AG41" s="1">
        <f t="shared" si="26"/>
        <v>0.73811630423321462</v>
      </c>
      <c r="AH41" s="1"/>
      <c r="AI41" s="1"/>
      <c r="AJ41" s="13">
        <f t="shared" si="27"/>
        <v>10</v>
      </c>
      <c r="AK41" s="13" t="s">
        <v>29</v>
      </c>
      <c r="AL41" s="13" t="str">
        <f t="shared" si="28"/>
        <v>+</v>
      </c>
      <c r="AM41" s="13">
        <f t="shared" si="29"/>
        <v>17</v>
      </c>
      <c r="AN41" s="13" t="str">
        <f t="shared" si="30"/>
        <v>H2</v>
      </c>
      <c r="AO41" s="13" t="str">
        <f t="shared" si="31"/>
        <v>=</v>
      </c>
      <c r="AP41" s="13">
        <f t="shared" si="32"/>
        <v>1</v>
      </c>
      <c r="AQ41" s="13" t="str">
        <f t="shared" si="33"/>
        <v>C10H14</v>
      </c>
      <c r="AR41" s="13" t="str">
        <f t="shared" si="34"/>
        <v>+</v>
      </c>
      <c r="AS41" s="13">
        <f t="shared" si="39"/>
        <v>10</v>
      </c>
      <c r="AT41" s="13" t="str">
        <f t="shared" si="35"/>
        <v>H2O</v>
      </c>
      <c r="AU41" s="1">
        <f t="shared" si="36"/>
        <v>1.7172155865340917</v>
      </c>
      <c r="AV41" s="1">
        <f t="shared" si="37"/>
        <v>1.0101268156082892</v>
      </c>
    </row>
    <row r="42" spans="1:48" x14ac:dyDescent="0.25">
      <c r="A42">
        <v>39</v>
      </c>
      <c r="B42">
        <v>11</v>
      </c>
      <c r="C42" t="s">
        <v>244</v>
      </c>
      <c r="D42" t="s">
        <v>245</v>
      </c>
      <c r="E42" t="s">
        <v>246</v>
      </c>
      <c r="F42">
        <v>-1.4062735155562219E-2</v>
      </c>
      <c r="G42">
        <v>2.7335943533231401E-3</v>
      </c>
      <c r="H42">
        <v>9.2591987595166056E-2</v>
      </c>
      <c r="I42">
        <v>1.2215273049727159E-3</v>
      </c>
      <c r="K42" s="30" t="s">
        <v>246</v>
      </c>
      <c r="L42" s="30"/>
      <c r="M42" s="37">
        <f t="shared" si="20"/>
        <v>1.7492028924337847E-3</v>
      </c>
      <c r="N42" s="37">
        <f t="shared" si="21"/>
        <v>7.7029664366343401E-3</v>
      </c>
      <c r="O42" s="34">
        <f t="shared" si="22"/>
        <v>3.6415223851576063E-2</v>
      </c>
      <c r="P42" s="34">
        <f t="shared" si="23"/>
        <v>0.10504045140865009</v>
      </c>
      <c r="Q42" s="31" t="s">
        <v>246</v>
      </c>
      <c r="R42" s="32">
        <f t="shared" si="24"/>
        <v>0.14145567526022615</v>
      </c>
      <c r="S42">
        <f t="shared" si="38"/>
        <v>1.5560124278624876</v>
      </c>
      <c r="U42" s="13">
        <v>11</v>
      </c>
      <c r="V42" s="13" t="s">
        <v>354</v>
      </c>
      <c r="W42" s="13" t="s">
        <v>355</v>
      </c>
      <c r="X42" s="13">
        <v>34</v>
      </c>
      <c r="Y42" s="13" t="s">
        <v>356</v>
      </c>
      <c r="Z42" s="13" t="s">
        <v>357</v>
      </c>
      <c r="AA42" s="13">
        <v>1</v>
      </c>
      <c r="AB42" s="13" t="s">
        <v>245</v>
      </c>
      <c r="AC42" s="13" t="s">
        <v>355</v>
      </c>
      <c r="AD42" s="13">
        <v>22</v>
      </c>
      <c r="AE42" s="13" t="s">
        <v>358</v>
      </c>
      <c r="AF42" s="1">
        <f t="shared" si="25"/>
        <v>1.2381176109535861</v>
      </c>
      <c r="AG42" s="1">
        <f t="shared" si="26"/>
        <v>0.8011349247346734</v>
      </c>
      <c r="AH42" s="1"/>
      <c r="AI42" s="1"/>
      <c r="AJ42" s="13">
        <f t="shared" si="27"/>
        <v>11</v>
      </c>
      <c r="AK42" s="13" t="s">
        <v>29</v>
      </c>
      <c r="AL42" s="13" t="str">
        <f t="shared" si="28"/>
        <v>+</v>
      </c>
      <c r="AM42" s="13">
        <f t="shared" si="29"/>
        <v>23</v>
      </c>
      <c r="AN42" s="13" t="str">
        <f t="shared" si="30"/>
        <v>H2</v>
      </c>
      <c r="AO42" s="13" t="str">
        <f t="shared" si="31"/>
        <v>=</v>
      </c>
      <c r="AP42" s="13">
        <f t="shared" si="32"/>
        <v>1</v>
      </c>
      <c r="AQ42" s="13" t="str">
        <f t="shared" si="33"/>
        <v>C11H24</v>
      </c>
      <c r="AR42" s="13" t="str">
        <f t="shared" si="34"/>
        <v>+</v>
      </c>
      <c r="AS42" s="13">
        <f t="shared" si="39"/>
        <v>11</v>
      </c>
      <c r="AT42" s="13" t="str">
        <f t="shared" si="35"/>
        <v>H2O</v>
      </c>
      <c r="AU42" s="1">
        <f t="shared" si="36"/>
        <v>2.415930382398952</v>
      </c>
      <c r="AV42" s="1">
        <f t="shared" si="37"/>
        <v>1.1554449654951511</v>
      </c>
    </row>
    <row r="43" spans="1:48" x14ac:dyDescent="0.25">
      <c r="A43">
        <v>40</v>
      </c>
      <c r="B43">
        <v>11</v>
      </c>
      <c r="C43" t="s">
        <v>247</v>
      </c>
      <c r="D43" t="s">
        <v>248</v>
      </c>
      <c r="E43" t="s">
        <v>249</v>
      </c>
      <c r="F43">
        <v>-3.7883752275452702E-2</v>
      </c>
      <c r="G43">
        <v>5.0152799135754229E-3</v>
      </c>
      <c r="H43">
        <v>2.8802513975820489E-2</v>
      </c>
      <c r="I43">
        <v>7.8594747662924062E-3</v>
      </c>
      <c r="K43" s="30" t="s">
        <v>249</v>
      </c>
      <c r="L43" s="30"/>
      <c r="M43" s="37">
        <f t="shared" si="20"/>
        <v>2.3634172542937337E-3</v>
      </c>
      <c r="N43" s="37">
        <f t="shared" si="21"/>
        <v>9.8756507445998398E-3</v>
      </c>
      <c r="O43" s="34">
        <f t="shared" si="22"/>
        <v>4.9202050112115002E-2</v>
      </c>
      <c r="P43" s="34">
        <f t="shared" si="23"/>
        <v>0.13466796469908873</v>
      </c>
      <c r="Q43" s="31" t="s">
        <v>249</v>
      </c>
      <c r="R43" s="32">
        <f t="shared" si="24"/>
        <v>0.18387001481120374</v>
      </c>
      <c r="S43">
        <f t="shared" si="38"/>
        <v>2.0225701629232411</v>
      </c>
      <c r="U43" s="13">
        <v>11</v>
      </c>
      <c r="V43" s="13" t="s">
        <v>354</v>
      </c>
      <c r="W43" s="13" t="s">
        <v>355</v>
      </c>
      <c r="X43" s="13">
        <v>34</v>
      </c>
      <c r="Y43" s="13" t="s">
        <v>356</v>
      </c>
      <c r="Z43" s="13" t="s">
        <v>357</v>
      </c>
      <c r="AA43" s="13">
        <v>1</v>
      </c>
      <c r="AB43" s="13" t="s">
        <v>245</v>
      </c>
      <c r="AC43" s="13" t="s">
        <v>355</v>
      </c>
      <c r="AD43" s="13">
        <v>22</v>
      </c>
      <c r="AE43" s="13" t="s">
        <v>358</v>
      </c>
      <c r="AF43" s="1">
        <f t="shared" si="25"/>
        <v>1.67286970381191</v>
      </c>
      <c r="AG43" s="1">
        <f t="shared" si="26"/>
        <v>1.08244510246653</v>
      </c>
      <c r="AH43" s="1"/>
      <c r="AI43" s="1"/>
      <c r="AJ43" s="13">
        <f t="shared" si="27"/>
        <v>11</v>
      </c>
      <c r="AK43" s="13" t="s">
        <v>29</v>
      </c>
      <c r="AL43" s="13" t="str">
        <f t="shared" si="28"/>
        <v>+</v>
      </c>
      <c r="AM43" s="13">
        <f t="shared" si="29"/>
        <v>23</v>
      </c>
      <c r="AN43" s="13" t="str">
        <f t="shared" si="30"/>
        <v>H2</v>
      </c>
      <c r="AO43" s="13" t="str">
        <f t="shared" si="31"/>
        <v>=</v>
      </c>
      <c r="AP43" s="13">
        <f t="shared" si="32"/>
        <v>1</v>
      </c>
      <c r="AQ43" s="13" t="str">
        <f t="shared" si="33"/>
        <v>C11H24</v>
      </c>
      <c r="AR43" s="13" t="str">
        <f t="shared" si="34"/>
        <v>+</v>
      </c>
      <c r="AS43" s="13">
        <f t="shared" si="39"/>
        <v>11</v>
      </c>
      <c r="AT43" s="13" t="str">
        <f t="shared" si="35"/>
        <v>H2O</v>
      </c>
      <c r="AU43" s="1">
        <f t="shared" si="36"/>
        <v>3.0973631880790409</v>
      </c>
      <c r="AV43" s="1">
        <f t="shared" si="37"/>
        <v>1.481347611689976</v>
      </c>
    </row>
    <row r="44" spans="1:48" x14ac:dyDescent="0.25">
      <c r="A44">
        <v>41</v>
      </c>
      <c r="B44">
        <v>11</v>
      </c>
      <c r="C44" t="s">
        <v>250</v>
      </c>
      <c r="D44" t="s">
        <v>251</v>
      </c>
      <c r="E44" t="s">
        <v>252</v>
      </c>
      <c r="F44">
        <v>-1.518535914452482E-2</v>
      </c>
      <c r="G44">
        <v>2.010329550890669E-3</v>
      </c>
      <c r="H44">
        <v>1.1545226983004871E-2</v>
      </c>
      <c r="I44">
        <v>3.150399309595694E-3</v>
      </c>
      <c r="K44" s="30" t="s">
        <v>252</v>
      </c>
      <c r="L44" s="30"/>
      <c r="M44" s="37">
        <f t="shared" si="20"/>
        <v>9.4735441077393144E-4</v>
      </c>
      <c r="N44" s="37">
        <f t="shared" si="21"/>
        <v>3.9585651984060354E-3</v>
      </c>
      <c r="O44" s="34">
        <f t="shared" si="22"/>
        <v>1.9722196369748209E-2</v>
      </c>
      <c r="P44" s="34">
        <f t="shared" si="23"/>
        <v>5.3980434523718659E-2</v>
      </c>
      <c r="Q44" s="31" t="s">
        <v>252</v>
      </c>
      <c r="R44" s="32">
        <f t="shared" si="24"/>
        <v>7.3702630893466875E-2</v>
      </c>
      <c r="S44">
        <f t="shared" si="38"/>
        <v>0.81072893982813565</v>
      </c>
      <c r="U44" s="13">
        <v>11</v>
      </c>
      <c r="V44" s="13" t="s">
        <v>354</v>
      </c>
      <c r="W44" s="13" t="s">
        <v>355</v>
      </c>
      <c r="X44" s="13">
        <v>30</v>
      </c>
      <c r="Y44" s="13" t="s">
        <v>356</v>
      </c>
      <c r="Z44" s="13" t="s">
        <v>357</v>
      </c>
      <c r="AA44" s="13">
        <v>1</v>
      </c>
      <c r="AB44" s="13" t="s">
        <v>378</v>
      </c>
      <c r="AC44" s="13" t="s">
        <v>355</v>
      </c>
      <c r="AD44" s="13">
        <v>22</v>
      </c>
      <c r="AE44" s="13" t="s">
        <v>358</v>
      </c>
      <c r="AF44" s="1">
        <f t="shared" si="25"/>
        <v>0.59166589109244627</v>
      </c>
      <c r="AG44" s="1">
        <f t="shared" si="26"/>
        <v>0.4338883201344606</v>
      </c>
      <c r="AH44" s="1"/>
      <c r="AI44" s="1"/>
      <c r="AJ44" s="13">
        <f t="shared" si="27"/>
        <v>11</v>
      </c>
      <c r="AK44" s="13" t="s">
        <v>29</v>
      </c>
      <c r="AL44" s="13" t="str">
        <f t="shared" si="28"/>
        <v>+</v>
      </c>
      <c r="AM44" s="13">
        <f t="shared" si="29"/>
        <v>19</v>
      </c>
      <c r="AN44" s="13" t="str">
        <f t="shared" si="30"/>
        <v>H2</v>
      </c>
      <c r="AO44" s="13" t="str">
        <f t="shared" si="31"/>
        <v>=</v>
      </c>
      <c r="AP44" s="13">
        <f t="shared" si="32"/>
        <v>1</v>
      </c>
      <c r="AQ44" s="13" t="str">
        <f t="shared" si="33"/>
        <v>C11H16</v>
      </c>
      <c r="AR44" s="13" t="str">
        <f t="shared" si="34"/>
        <v>+</v>
      </c>
      <c r="AS44" s="13">
        <f t="shared" si="39"/>
        <v>11</v>
      </c>
      <c r="AT44" s="13" t="str">
        <f t="shared" si="35"/>
        <v>H2O</v>
      </c>
      <c r="AU44" s="1">
        <f t="shared" si="36"/>
        <v>1.0256282559506544</v>
      </c>
      <c r="AV44" s="1">
        <f t="shared" si="37"/>
        <v>0.59378477976090527</v>
      </c>
    </row>
    <row r="45" spans="1:48" x14ac:dyDescent="0.25">
      <c r="A45">
        <v>42</v>
      </c>
      <c r="B45">
        <v>11</v>
      </c>
      <c r="C45" t="s">
        <v>86</v>
      </c>
      <c r="D45">
        <v>0</v>
      </c>
      <c r="E45" t="s">
        <v>253</v>
      </c>
      <c r="F45">
        <v>-2.4390712120691549E-2</v>
      </c>
      <c r="G45">
        <v>3.22898977079332E-3</v>
      </c>
      <c r="H45">
        <v>1.8543934656431449E-2</v>
      </c>
      <c r="I45">
        <v>5.0601689360293672E-3</v>
      </c>
      <c r="K45" s="30" t="s">
        <v>253</v>
      </c>
      <c r="L45" s="30"/>
      <c r="M45" s="37">
        <f t="shared" si="20"/>
        <v>1.5216399223449114E-3</v>
      </c>
      <c r="N45" s="37">
        <f t="shared" si="21"/>
        <v>6.3582443619795686E-3</v>
      </c>
      <c r="O45" s="34">
        <f t="shared" si="22"/>
        <v>3.1677776565180428E-2</v>
      </c>
      <c r="P45" s="34">
        <f t="shared" si="23"/>
        <v>8.6703332208812309E-2</v>
      </c>
      <c r="Q45" s="31" t="s">
        <v>253</v>
      </c>
      <c r="R45" s="32">
        <f t="shared" si="24"/>
        <v>0.11838110877399274</v>
      </c>
      <c r="S45">
        <f t="shared" si="38"/>
        <v>1.3021921965139203</v>
      </c>
      <c r="U45" s="13">
        <v>11</v>
      </c>
      <c r="V45" s="13" t="s">
        <v>354</v>
      </c>
      <c r="W45" s="13" t="s">
        <v>355</v>
      </c>
      <c r="X45" s="13">
        <v>33</v>
      </c>
      <c r="Y45" s="13" t="s">
        <v>356</v>
      </c>
      <c r="Z45" s="13" t="s">
        <v>357</v>
      </c>
      <c r="AA45" s="13">
        <v>1</v>
      </c>
      <c r="AB45" s="13" t="s">
        <v>379</v>
      </c>
      <c r="AC45" s="13" t="s">
        <v>355</v>
      </c>
      <c r="AD45" s="13">
        <v>22</v>
      </c>
      <c r="AE45" s="13" t="s">
        <v>358</v>
      </c>
      <c r="AF45" s="1">
        <f t="shared" si="25"/>
        <v>1.045366626650954</v>
      </c>
      <c r="AG45" s="1">
        <f t="shared" si="26"/>
        <v>0.69691108443396943</v>
      </c>
      <c r="AH45" s="1"/>
      <c r="AI45" s="1"/>
      <c r="AJ45" s="13">
        <f t="shared" si="27"/>
        <v>11</v>
      </c>
      <c r="AK45" s="13" t="s">
        <v>29</v>
      </c>
      <c r="AL45" s="13" t="str">
        <f t="shared" si="28"/>
        <v>+</v>
      </c>
      <c r="AM45" s="13">
        <f t="shared" si="29"/>
        <v>22</v>
      </c>
      <c r="AN45" s="13" t="str">
        <f t="shared" si="30"/>
        <v>H2</v>
      </c>
      <c r="AO45" s="13" t="str">
        <f t="shared" si="31"/>
        <v>=</v>
      </c>
      <c r="AP45" s="13">
        <f t="shared" si="32"/>
        <v>1</v>
      </c>
      <c r="AQ45" s="13" t="str">
        <f t="shared" si="33"/>
        <v>C11H22</v>
      </c>
      <c r="AR45" s="13" t="str">
        <f t="shared" si="34"/>
        <v>+</v>
      </c>
      <c r="AS45" s="13">
        <f t="shared" si="39"/>
        <v>11</v>
      </c>
      <c r="AT45" s="13" t="str">
        <f t="shared" si="35"/>
        <v>H2O</v>
      </c>
      <c r="AU45" s="1">
        <f t="shared" si="36"/>
        <v>1.9074733085938709</v>
      </c>
      <c r="AV45" s="1">
        <f t="shared" si="37"/>
        <v>0.95373665429693544</v>
      </c>
    </row>
    <row r="46" spans="1:48" x14ac:dyDescent="0.25">
      <c r="A46">
        <v>43</v>
      </c>
      <c r="B46">
        <v>12</v>
      </c>
      <c r="C46" t="s">
        <v>254</v>
      </c>
      <c r="D46" t="s">
        <v>255</v>
      </c>
      <c r="E46" t="s">
        <v>256</v>
      </c>
      <c r="F46">
        <v>-2.9131012696985741E-2</v>
      </c>
      <c r="G46">
        <v>3.856539388680641E-3</v>
      </c>
      <c r="H46">
        <v>2.2147922260552001E-2</v>
      </c>
      <c r="I46">
        <v>6.0436056477134494E-3</v>
      </c>
      <c r="K46" s="30" t="s">
        <v>256</v>
      </c>
      <c r="L46" s="30"/>
      <c r="M46" s="37">
        <f t="shared" si="20"/>
        <v>1.8173684998916391E-3</v>
      </c>
      <c r="N46" s="37">
        <f t="shared" si="21"/>
        <v>7.593960205952089E-3</v>
      </c>
      <c r="O46" s="34">
        <f t="shared" si="22"/>
        <v>3.4681448872932112E-2</v>
      </c>
      <c r="P46" s="34">
        <f t="shared" si="23"/>
        <v>9.4924502574401104E-2</v>
      </c>
      <c r="Q46" s="31" t="s">
        <v>256</v>
      </c>
      <c r="R46" s="32">
        <f t="shared" si="24"/>
        <v>0.12960595144733322</v>
      </c>
      <c r="S46">
        <f t="shared" si="38"/>
        <v>1.5552714173679987</v>
      </c>
      <c r="U46" s="13">
        <v>12</v>
      </c>
      <c r="V46" s="13" t="s">
        <v>354</v>
      </c>
      <c r="W46" s="13" t="s">
        <v>355</v>
      </c>
      <c r="X46" s="13">
        <v>37</v>
      </c>
      <c r="Y46" s="13" t="s">
        <v>356</v>
      </c>
      <c r="Z46" s="13" t="s">
        <v>357</v>
      </c>
      <c r="AA46" s="13">
        <v>1</v>
      </c>
      <c r="AB46" s="13" t="s">
        <v>258</v>
      </c>
      <c r="AC46" s="13" t="s">
        <v>355</v>
      </c>
      <c r="AD46" s="13">
        <v>24</v>
      </c>
      <c r="AE46" s="13" t="s">
        <v>358</v>
      </c>
      <c r="AF46" s="1">
        <f t="shared" si="25"/>
        <v>1.2832136082984882</v>
      </c>
      <c r="AG46" s="1">
        <f t="shared" si="26"/>
        <v>0.83235477295037064</v>
      </c>
      <c r="AH46" s="1"/>
      <c r="AI46" s="1"/>
      <c r="AJ46" s="13">
        <f t="shared" si="27"/>
        <v>12</v>
      </c>
      <c r="AK46" s="13" t="s">
        <v>29</v>
      </c>
      <c r="AL46" s="13" t="str">
        <f t="shared" si="28"/>
        <v>+</v>
      </c>
      <c r="AM46" s="13">
        <f t="shared" si="29"/>
        <v>25</v>
      </c>
      <c r="AN46" s="13" t="str">
        <f t="shared" si="30"/>
        <v>H2</v>
      </c>
      <c r="AO46" s="13" t="str">
        <f t="shared" si="31"/>
        <v>=</v>
      </c>
      <c r="AP46" s="13">
        <f t="shared" si="32"/>
        <v>1</v>
      </c>
      <c r="AQ46" s="13" t="str">
        <f t="shared" si="33"/>
        <v>C12H26</v>
      </c>
      <c r="AR46" s="13" t="str">
        <f t="shared" si="34"/>
        <v>+</v>
      </c>
      <c r="AS46" s="13">
        <f t="shared" si="39"/>
        <v>12</v>
      </c>
      <c r="AT46" s="13" t="str">
        <f t="shared" si="35"/>
        <v>H2O</v>
      </c>
      <c r="AU46" s="1">
        <f t="shared" si="36"/>
        <v>2.3731125643600275</v>
      </c>
      <c r="AV46" s="1">
        <f t="shared" si="37"/>
        <v>1.1390940308928132</v>
      </c>
    </row>
    <row r="47" spans="1:48" x14ac:dyDescent="0.25">
      <c r="A47">
        <v>44</v>
      </c>
      <c r="B47">
        <v>12</v>
      </c>
      <c r="C47" t="s">
        <v>257</v>
      </c>
      <c r="D47" t="s">
        <v>258</v>
      </c>
      <c r="E47" t="s">
        <v>259</v>
      </c>
      <c r="F47">
        <v>-1.646212513048298E-2</v>
      </c>
      <c r="G47">
        <v>3.276832593452724E-3</v>
      </c>
      <c r="H47">
        <v>0.1156071926350518</v>
      </c>
      <c r="I47">
        <v>1.280494625553432E-3</v>
      </c>
      <c r="K47" s="30" t="s">
        <v>259</v>
      </c>
      <c r="L47" s="30"/>
      <c r="M47" s="37">
        <f t="shared" si="20"/>
        <v>2.1244838343189151E-3</v>
      </c>
      <c r="N47" s="37">
        <f t="shared" si="21"/>
        <v>9.3729981100070595E-3</v>
      </c>
      <c r="O47" s="34">
        <f t="shared" si="22"/>
        <v>4.0542233171585965E-2</v>
      </c>
      <c r="P47" s="34">
        <f t="shared" si="23"/>
        <v>0.11716247637508824</v>
      </c>
      <c r="Q47" s="31" t="s">
        <v>259</v>
      </c>
      <c r="R47" s="32">
        <f t="shared" si="24"/>
        <v>0.1577047095466742</v>
      </c>
      <c r="S47">
        <f t="shared" si="38"/>
        <v>1.8924565145600905</v>
      </c>
      <c r="U47" s="13">
        <v>12</v>
      </c>
      <c r="V47" s="13" t="s">
        <v>354</v>
      </c>
      <c r="W47" s="13" t="s">
        <v>355</v>
      </c>
      <c r="X47" s="13">
        <v>37</v>
      </c>
      <c r="Y47" s="13" t="s">
        <v>356</v>
      </c>
      <c r="Z47" s="13" t="s">
        <v>357</v>
      </c>
      <c r="AA47" s="13">
        <v>1</v>
      </c>
      <c r="AB47" s="13" t="s">
        <v>258</v>
      </c>
      <c r="AC47" s="13" t="s">
        <v>355</v>
      </c>
      <c r="AD47" s="13">
        <v>24</v>
      </c>
      <c r="AE47" s="13" t="s">
        <v>358</v>
      </c>
      <c r="AF47" s="1">
        <f t="shared" si="25"/>
        <v>1.5000626273486808</v>
      </c>
      <c r="AG47" s="1">
        <f t="shared" si="26"/>
        <v>0.97301359611806315</v>
      </c>
      <c r="AH47" s="1"/>
      <c r="AI47" s="1"/>
      <c r="AJ47" s="13">
        <f t="shared" si="27"/>
        <v>12</v>
      </c>
      <c r="AK47" s="13" t="s">
        <v>29</v>
      </c>
      <c r="AL47" s="13" t="str">
        <f t="shared" si="28"/>
        <v>+</v>
      </c>
      <c r="AM47" s="13">
        <f t="shared" si="29"/>
        <v>25</v>
      </c>
      <c r="AN47" s="13" t="str">
        <f t="shared" si="30"/>
        <v>H2</v>
      </c>
      <c r="AO47" s="13" t="str">
        <f t="shared" si="31"/>
        <v>=</v>
      </c>
      <c r="AP47" s="13">
        <f t="shared" si="32"/>
        <v>1</v>
      </c>
      <c r="AQ47" s="13" t="str">
        <f t="shared" si="33"/>
        <v>C12H26</v>
      </c>
      <c r="AR47" s="13" t="str">
        <f t="shared" si="34"/>
        <v>+</v>
      </c>
      <c r="AS47" s="13">
        <f t="shared" si="39"/>
        <v>12</v>
      </c>
      <c r="AT47" s="13" t="str">
        <f t="shared" si="35"/>
        <v>H2O</v>
      </c>
      <c r="AU47" s="1">
        <f t="shared" si="36"/>
        <v>2.9290619093772059</v>
      </c>
      <c r="AV47" s="1">
        <f t="shared" si="37"/>
        <v>1.4059497165010588</v>
      </c>
    </row>
    <row r="48" spans="1:48" x14ac:dyDescent="0.25">
      <c r="A48">
        <v>45</v>
      </c>
      <c r="B48">
        <v>12</v>
      </c>
      <c r="C48" t="s">
        <v>260</v>
      </c>
      <c r="D48" t="s">
        <v>261</v>
      </c>
      <c r="E48" t="s">
        <v>262</v>
      </c>
      <c r="F48">
        <v>-2.8613615808395589E-3</v>
      </c>
      <c r="G48">
        <v>3.7880432639085971E-4</v>
      </c>
      <c r="H48">
        <v>2.1754552274223572E-3</v>
      </c>
      <c r="I48">
        <v>5.9362649661340414E-4</v>
      </c>
      <c r="K48" s="30" t="s">
        <v>262</v>
      </c>
      <c r="L48" s="30"/>
      <c r="M48" s="37">
        <f t="shared" si="20"/>
        <v>1.7850901573209055E-4</v>
      </c>
      <c r="N48" s="37">
        <f t="shared" si="21"/>
        <v>7.4590836253296913E-4</v>
      </c>
      <c r="O48" s="34">
        <f t="shared" si="22"/>
        <v>3.406547050220728E-3</v>
      </c>
      <c r="P48" s="34">
        <f t="shared" si="23"/>
        <v>9.3238545316621149E-3</v>
      </c>
      <c r="Q48" s="31" t="s">
        <v>262</v>
      </c>
      <c r="R48" s="32">
        <f t="shared" si="24"/>
        <v>1.2730401581882843E-2</v>
      </c>
      <c r="S48">
        <f t="shared" si="38"/>
        <v>0.15276481898259411</v>
      </c>
      <c r="U48" s="13">
        <v>12</v>
      </c>
      <c r="V48" s="13" t="s">
        <v>354</v>
      </c>
      <c r="W48" s="13" t="s">
        <v>355</v>
      </c>
      <c r="X48" s="13">
        <v>36</v>
      </c>
      <c r="Y48" s="13" t="s">
        <v>356</v>
      </c>
      <c r="Z48" s="13" t="s">
        <v>357</v>
      </c>
      <c r="AA48" s="13">
        <v>1</v>
      </c>
      <c r="AB48" s="13" t="s">
        <v>380</v>
      </c>
      <c r="AC48" s="13" t="s">
        <v>355</v>
      </c>
      <c r="AD48" s="13">
        <v>24</v>
      </c>
      <c r="AE48" s="13" t="s">
        <v>358</v>
      </c>
      <c r="AF48" s="1">
        <f t="shared" si="25"/>
        <v>0.1226356938079462</v>
      </c>
      <c r="AG48" s="1">
        <f t="shared" si="26"/>
        <v>8.1757129205297471E-2</v>
      </c>
      <c r="AH48" s="1"/>
      <c r="AI48" s="1"/>
      <c r="AJ48" s="13">
        <f t="shared" si="27"/>
        <v>12</v>
      </c>
      <c r="AK48" s="13" t="s">
        <v>29</v>
      </c>
      <c r="AL48" s="13" t="str">
        <f t="shared" si="28"/>
        <v>+</v>
      </c>
      <c r="AM48" s="13">
        <f t="shared" si="29"/>
        <v>24</v>
      </c>
      <c r="AN48" s="13" t="str">
        <f t="shared" si="30"/>
        <v>H2</v>
      </c>
      <c r="AO48" s="13" t="str">
        <f t="shared" si="31"/>
        <v>=</v>
      </c>
      <c r="AP48" s="13">
        <f t="shared" si="32"/>
        <v>1</v>
      </c>
      <c r="AQ48" s="13" t="str">
        <f t="shared" si="33"/>
        <v>C12H24</v>
      </c>
      <c r="AR48" s="13" t="str">
        <f t="shared" si="34"/>
        <v>+</v>
      </c>
      <c r="AS48" s="13">
        <f t="shared" si="39"/>
        <v>12</v>
      </c>
      <c r="AT48" s="13" t="str">
        <f t="shared" si="35"/>
        <v>H2O</v>
      </c>
      <c r="AU48" s="1">
        <f t="shared" si="36"/>
        <v>0.22377250875989074</v>
      </c>
      <c r="AV48" s="1">
        <f t="shared" si="37"/>
        <v>0.11188625437994537</v>
      </c>
    </row>
    <row r="49" spans="1:48" x14ac:dyDescent="0.25">
      <c r="A49">
        <v>46</v>
      </c>
      <c r="B49">
        <v>12</v>
      </c>
      <c r="C49" t="s">
        <v>263</v>
      </c>
      <c r="D49" t="s">
        <v>264</v>
      </c>
      <c r="E49" t="s">
        <v>265</v>
      </c>
      <c r="F49">
        <v>-1.008531965410984E-2</v>
      </c>
      <c r="G49">
        <v>1.3351555230187431E-3</v>
      </c>
      <c r="H49">
        <v>7.6677346577503011E-3</v>
      </c>
      <c r="I49">
        <v>2.0923301038168339E-3</v>
      </c>
      <c r="K49" s="30" t="s">
        <v>265</v>
      </c>
      <c r="L49" s="30"/>
      <c r="M49" s="37">
        <f t="shared" si="20"/>
        <v>6.2918314723105424E-4</v>
      </c>
      <c r="N49" s="37">
        <f t="shared" si="21"/>
        <v>2.6290715298593549E-3</v>
      </c>
      <c r="O49" s="34">
        <f t="shared" si="22"/>
        <v>1.2006911726325951E-2</v>
      </c>
      <c r="P49" s="34">
        <f t="shared" si="23"/>
        <v>3.2863394123241935E-2</v>
      </c>
      <c r="Q49" s="31" t="s">
        <v>265</v>
      </c>
      <c r="R49" s="32">
        <f t="shared" si="24"/>
        <v>4.4870305849567887E-2</v>
      </c>
      <c r="S49">
        <f t="shared" si="38"/>
        <v>0.53844367019481465</v>
      </c>
      <c r="U49" s="13">
        <v>12</v>
      </c>
      <c r="V49" s="13" t="s">
        <v>354</v>
      </c>
      <c r="W49" s="13" t="s">
        <v>355</v>
      </c>
      <c r="X49" s="13">
        <v>33</v>
      </c>
      <c r="Y49" s="13" t="s">
        <v>356</v>
      </c>
      <c r="Z49" s="13" t="s">
        <v>357</v>
      </c>
      <c r="AA49" s="13">
        <v>1</v>
      </c>
      <c r="AB49" s="13" t="s">
        <v>381</v>
      </c>
      <c r="AC49" s="13" t="s">
        <v>355</v>
      </c>
      <c r="AD49" s="13">
        <v>24</v>
      </c>
      <c r="AE49" s="13" t="s">
        <v>358</v>
      </c>
      <c r="AF49" s="1">
        <f t="shared" si="25"/>
        <v>0.39622808696875639</v>
      </c>
      <c r="AG49" s="1">
        <f t="shared" si="26"/>
        <v>0.28816588143182281</v>
      </c>
      <c r="AH49" s="1"/>
      <c r="AI49" s="1"/>
      <c r="AJ49" s="13">
        <f t="shared" si="27"/>
        <v>12</v>
      </c>
      <c r="AK49" s="13" t="s">
        <v>29</v>
      </c>
      <c r="AL49" s="13" t="str">
        <f t="shared" si="28"/>
        <v>+</v>
      </c>
      <c r="AM49" s="13">
        <f t="shared" si="29"/>
        <v>21</v>
      </c>
      <c r="AN49" s="13" t="str">
        <f t="shared" si="30"/>
        <v>H2</v>
      </c>
      <c r="AO49" s="13" t="str">
        <f t="shared" si="31"/>
        <v>=</v>
      </c>
      <c r="AP49" s="13">
        <f t="shared" si="32"/>
        <v>1</v>
      </c>
      <c r="AQ49" s="13" t="str">
        <f t="shared" si="33"/>
        <v>C12H18</v>
      </c>
      <c r="AR49" s="13" t="str">
        <f t="shared" si="34"/>
        <v>+</v>
      </c>
      <c r="AS49" s="13">
        <f t="shared" si="39"/>
        <v>12</v>
      </c>
      <c r="AT49" s="13" t="str">
        <f t="shared" si="35"/>
        <v>H2O</v>
      </c>
      <c r="AU49" s="1">
        <f t="shared" si="36"/>
        <v>0.6901312765880806</v>
      </c>
      <c r="AV49" s="1">
        <f t="shared" si="37"/>
        <v>0.39436072947890322</v>
      </c>
    </row>
    <row r="50" spans="1:48" x14ac:dyDescent="0.25">
      <c r="A50">
        <v>47</v>
      </c>
      <c r="B50">
        <v>12</v>
      </c>
      <c r="C50">
        <v>0</v>
      </c>
      <c r="D50">
        <v>0</v>
      </c>
      <c r="E50" t="s">
        <v>266</v>
      </c>
      <c r="F50">
        <v>-2.6209549457370568E-3</v>
      </c>
      <c r="G50">
        <v>3.4697784417354551E-4</v>
      </c>
      <c r="H50">
        <v>1.9926772539768209E-3</v>
      </c>
      <c r="I50">
        <v>5.4375102840478967E-4</v>
      </c>
      <c r="K50" s="30" t="s">
        <v>266</v>
      </c>
      <c r="L50" s="30"/>
      <c r="M50" s="37">
        <f t="shared" si="20"/>
        <v>1.6351099797195151E-4</v>
      </c>
      <c r="N50" s="37">
        <f t="shared" si="21"/>
        <v>6.8323843618316713E-4</v>
      </c>
      <c r="O50" s="34">
        <f t="shared" si="22"/>
        <v>3.1203348779647415E-3</v>
      </c>
      <c r="P50" s="34">
        <f t="shared" si="23"/>
        <v>8.5404804522895891E-3</v>
      </c>
      <c r="Q50" s="31" t="s">
        <v>266</v>
      </c>
      <c r="R50" s="32">
        <f t="shared" si="24"/>
        <v>1.1660815330254331E-2</v>
      </c>
      <c r="S50">
        <f t="shared" si="38"/>
        <v>0.13992978396305197</v>
      </c>
      <c r="U50" s="13">
        <v>12</v>
      </c>
      <c r="V50" s="13" t="s">
        <v>354</v>
      </c>
      <c r="W50" s="13" t="s">
        <v>355</v>
      </c>
      <c r="X50" s="13">
        <v>36</v>
      </c>
      <c r="Y50" s="13" t="s">
        <v>356</v>
      </c>
      <c r="Z50" s="13" t="s">
        <v>357</v>
      </c>
      <c r="AA50" s="13">
        <v>1</v>
      </c>
      <c r="AB50" s="13" t="s">
        <v>380</v>
      </c>
      <c r="AC50" s="13" t="s">
        <v>355</v>
      </c>
      <c r="AD50" s="13">
        <v>24</v>
      </c>
      <c r="AE50" s="13" t="s">
        <v>358</v>
      </c>
      <c r="AF50" s="1">
        <f t="shared" si="25"/>
        <v>0.11233205560673069</v>
      </c>
      <c r="AG50" s="1">
        <f t="shared" si="26"/>
        <v>7.4888037071153796E-2</v>
      </c>
      <c r="AH50" s="1"/>
      <c r="AI50" s="1"/>
      <c r="AJ50" s="13">
        <f t="shared" si="27"/>
        <v>12</v>
      </c>
      <c r="AK50" s="13" t="s">
        <v>29</v>
      </c>
      <c r="AL50" s="13" t="str">
        <f t="shared" si="28"/>
        <v>+</v>
      </c>
      <c r="AM50" s="13">
        <f t="shared" si="29"/>
        <v>24</v>
      </c>
      <c r="AN50" s="13" t="str">
        <f t="shared" si="30"/>
        <v>H2</v>
      </c>
      <c r="AO50" s="13" t="str">
        <f t="shared" si="31"/>
        <v>=</v>
      </c>
      <c r="AP50" s="13">
        <f t="shared" si="32"/>
        <v>1</v>
      </c>
      <c r="AQ50" s="13" t="str">
        <f t="shared" si="33"/>
        <v>C12H24</v>
      </c>
      <c r="AR50" s="13" t="str">
        <f t="shared" si="34"/>
        <v>+</v>
      </c>
      <c r="AS50" s="13">
        <f t="shared" si="39"/>
        <v>12</v>
      </c>
      <c r="AT50" s="13" t="str">
        <f t="shared" si="35"/>
        <v>H2O</v>
      </c>
      <c r="AU50" s="1">
        <f t="shared" si="36"/>
        <v>0.20497153085495012</v>
      </c>
      <c r="AV50" s="1">
        <f t="shared" si="37"/>
        <v>0.10248576542747506</v>
      </c>
    </row>
    <row r="51" spans="1:48" x14ac:dyDescent="0.25">
      <c r="A51">
        <v>48</v>
      </c>
      <c r="B51">
        <v>13</v>
      </c>
      <c r="C51" t="s">
        <v>267</v>
      </c>
      <c r="D51" t="s">
        <v>268</v>
      </c>
      <c r="E51" t="s">
        <v>269</v>
      </c>
      <c r="F51">
        <v>-1.139993456001003E-2</v>
      </c>
      <c r="G51">
        <v>1.5091921834770091E-3</v>
      </c>
      <c r="H51">
        <v>8.6672189201512668E-3</v>
      </c>
      <c r="I51">
        <v>2.365063982055428E-3</v>
      </c>
      <c r="K51" s="30" t="s">
        <v>269</v>
      </c>
      <c r="L51" s="30"/>
      <c r="M51" s="37">
        <f t="shared" si="20"/>
        <v>7.1119676427630694E-4</v>
      </c>
      <c r="N51" s="37">
        <f t="shared" si="21"/>
        <v>2.9717693064660166E-3</v>
      </c>
      <c r="O51" s="34">
        <f t="shared" si="22"/>
        <v>1.2528004539944175E-2</v>
      </c>
      <c r="P51" s="34">
        <f t="shared" si="23"/>
        <v>3.4289645843838652E-2</v>
      </c>
      <c r="Q51" s="31" t="s">
        <v>269</v>
      </c>
      <c r="R51" s="32">
        <f t="shared" si="24"/>
        <v>4.6817650383782827E-2</v>
      </c>
      <c r="S51">
        <f t="shared" si="38"/>
        <v>0.60862945498917675</v>
      </c>
      <c r="U51" s="13">
        <v>13</v>
      </c>
      <c r="V51" s="13" t="s">
        <v>354</v>
      </c>
      <c r="W51" s="13" t="s">
        <v>355</v>
      </c>
      <c r="X51" s="13">
        <v>40</v>
      </c>
      <c r="Y51" s="13" t="s">
        <v>356</v>
      </c>
      <c r="Z51" s="13" t="s">
        <v>357</v>
      </c>
      <c r="AA51" s="13">
        <v>1</v>
      </c>
      <c r="AB51" s="13" t="s">
        <v>274</v>
      </c>
      <c r="AC51" s="13" t="s">
        <v>355</v>
      </c>
      <c r="AD51" s="13">
        <v>26</v>
      </c>
      <c r="AE51" s="13" t="s">
        <v>358</v>
      </c>
      <c r="AF51" s="1">
        <f t="shared" si="25"/>
        <v>0.50112018159776706</v>
      </c>
      <c r="AG51" s="1">
        <f t="shared" si="26"/>
        <v>0.32572811803854856</v>
      </c>
      <c r="AH51" s="1"/>
      <c r="AI51" s="1"/>
      <c r="AJ51" s="13">
        <f t="shared" si="27"/>
        <v>13</v>
      </c>
      <c r="AK51" s="13" t="s">
        <v>29</v>
      </c>
      <c r="AL51" s="13" t="str">
        <f t="shared" si="28"/>
        <v>+</v>
      </c>
      <c r="AM51" s="13">
        <f t="shared" si="29"/>
        <v>27</v>
      </c>
      <c r="AN51" s="13" t="str">
        <f t="shared" si="30"/>
        <v>H2</v>
      </c>
      <c r="AO51" s="13" t="str">
        <f t="shared" si="31"/>
        <v>=</v>
      </c>
      <c r="AP51" s="13">
        <f t="shared" si="32"/>
        <v>1</v>
      </c>
      <c r="AQ51" s="13" t="str">
        <f t="shared" si="33"/>
        <v>C13H28</v>
      </c>
      <c r="AR51" s="13" t="str">
        <f t="shared" si="34"/>
        <v>+</v>
      </c>
      <c r="AS51" s="13">
        <f t="shared" si="39"/>
        <v>13</v>
      </c>
      <c r="AT51" s="13" t="str">
        <f t="shared" si="35"/>
        <v>H2O</v>
      </c>
      <c r="AU51" s="1">
        <f t="shared" si="36"/>
        <v>0.92582043778364365</v>
      </c>
      <c r="AV51" s="1">
        <f t="shared" si="37"/>
        <v>0.4457653959699025</v>
      </c>
    </row>
    <row r="52" spans="1:48" x14ac:dyDescent="0.25">
      <c r="A52">
        <v>49</v>
      </c>
      <c r="B52">
        <v>13</v>
      </c>
      <c r="C52" t="s">
        <v>270</v>
      </c>
      <c r="D52" t="s">
        <v>271</v>
      </c>
      <c r="E52" t="s">
        <v>272</v>
      </c>
      <c r="F52">
        <v>-9.8514458080046856E-4</v>
      </c>
      <c r="G52">
        <v>1.304193890861681E-4</v>
      </c>
      <c r="H52">
        <v>7.4899234770614402E-4</v>
      </c>
      <c r="I52">
        <v>2.0438099472443221E-4</v>
      </c>
      <c r="K52" s="30" t="s">
        <v>272</v>
      </c>
      <c r="L52" s="30"/>
      <c r="M52" s="37">
        <f t="shared" si="20"/>
        <v>6.1459268430135293E-5</v>
      </c>
      <c r="N52" s="37">
        <f t="shared" si="21"/>
        <v>2.5681045906386228E-4</v>
      </c>
      <c r="O52" s="34">
        <f t="shared" si="22"/>
        <v>1.0826286515769985E-3</v>
      </c>
      <c r="P52" s="34">
        <f t="shared" si="23"/>
        <v>2.9631976045830263E-3</v>
      </c>
      <c r="Q52" s="31" t="s">
        <v>272</v>
      </c>
      <c r="R52" s="32">
        <f t="shared" si="24"/>
        <v>4.0458262561600244E-3</v>
      </c>
      <c r="S52">
        <f t="shared" si="38"/>
        <v>5.2595741330080319E-2</v>
      </c>
      <c r="U52" s="13">
        <v>13</v>
      </c>
      <c r="V52" s="13" t="s">
        <v>354</v>
      </c>
      <c r="W52" s="13" t="s">
        <v>355</v>
      </c>
      <c r="X52" s="13">
        <v>39</v>
      </c>
      <c r="Y52" s="13" t="s">
        <v>356</v>
      </c>
      <c r="Z52" s="13" t="s">
        <v>357</v>
      </c>
      <c r="AA52" s="13">
        <v>1</v>
      </c>
      <c r="AB52" s="13" t="s">
        <v>382</v>
      </c>
      <c r="AC52" s="13" t="s">
        <v>355</v>
      </c>
      <c r="AD52" s="13">
        <v>26</v>
      </c>
      <c r="AE52" s="13" t="s">
        <v>358</v>
      </c>
      <c r="AF52" s="1">
        <f t="shared" si="25"/>
        <v>4.2222517411502944E-2</v>
      </c>
      <c r="AG52" s="1">
        <f t="shared" si="26"/>
        <v>2.8148344941001963E-2</v>
      </c>
      <c r="AH52" s="1"/>
      <c r="AI52" s="1"/>
      <c r="AJ52" s="13">
        <f t="shared" si="27"/>
        <v>13</v>
      </c>
      <c r="AK52" s="13" t="s">
        <v>29</v>
      </c>
      <c r="AL52" s="13" t="str">
        <f t="shared" si="28"/>
        <v>+</v>
      </c>
      <c r="AM52" s="13">
        <f t="shared" si="29"/>
        <v>26</v>
      </c>
      <c r="AN52" s="13" t="str">
        <f t="shared" si="30"/>
        <v>H2</v>
      </c>
      <c r="AO52" s="13" t="str">
        <f t="shared" si="31"/>
        <v>=</v>
      </c>
      <c r="AP52" s="13">
        <f t="shared" si="32"/>
        <v>1</v>
      </c>
      <c r="AQ52" s="13" t="str">
        <f t="shared" si="33"/>
        <v>C13H26</v>
      </c>
      <c r="AR52" s="13" t="str">
        <f t="shared" si="34"/>
        <v>+</v>
      </c>
      <c r="AS52" s="13">
        <f t="shared" si="39"/>
        <v>13</v>
      </c>
      <c r="AT52" s="13" t="str">
        <f t="shared" si="35"/>
        <v>H2O</v>
      </c>
      <c r="AU52" s="1">
        <f t="shared" si="36"/>
        <v>7.7043137719158689E-2</v>
      </c>
      <c r="AV52" s="1">
        <f t="shared" si="37"/>
        <v>3.8521568859579344E-2</v>
      </c>
    </row>
    <row r="53" spans="1:48" x14ac:dyDescent="0.25">
      <c r="A53">
        <v>50</v>
      </c>
      <c r="B53">
        <v>13</v>
      </c>
      <c r="C53" t="s">
        <v>273</v>
      </c>
      <c r="D53" t="s">
        <v>274</v>
      </c>
      <c r="E53" t="s">
        <v>275</v>
      </c>
      <c r="F53">
        <v>-1.851335818245586E-2</v>
      </c>
      <c r="G53">
        <v>3.685136337240086E-3</v>
      </c>
      <c r="H53">
        <v>0.13001221584434</v>
      </c>
      <c r="I53">
        <v>1.44004832095969E-3</v>
      </c>
      <c r="K53" s="30" t="s">
        <v>275</v>
      </c>
      <c r="L53" s="30"/>
      <c r="M53" s="37">
        <f t="shared" si="20"/>
        <v>2.3892012644681757E-3</v>
      </c>
      <c r="N53" s="37">
        <f t="shared" si="21"/>
        <v>1.0540903430063491E-2</v>
      </c>
      <c r="O53" s="34">
        <f t="shared" si="22"/>
        <v>4.2086699197170167E-2</v>
      </c>
      <c r="P53" s="34">
        <f t="shared" si="23"/>
        <v>0.1216258088084249</v>
      </c>
      <c r="Q53" s="31" t="s">
        <v>275</v>
      </c>
      <c r="R53" s="32">
        <f t="shared" si="24"/>
        <v>0.16371250800559506</v>
      </c>
      <c r="S53">
        <f t="shared" si="38"/>
        <v>2.1282626040727357</v>
      </c>
      <c r="U53" s="13">
        <v>13</v>
      </c>
      <c r="V53" s="13" t="s">
        <v>354</v>
      </c>
      <c r="W53" s="13" t="s">
        <v>355</v>
      </c>
      <c r="X53" s="13">
        <v>40</v>
      </c>
      <c r="Y53" s="13" t="s">
        <v>356</v>
      </c>
      <c r="Z53" s="13" t="s">
        <v>357</v>
      </c>
      <c r="AA53" s="13">
        <v>1</v>
      </c>
      <c r="AB53" s="13" t="s">
        <v>274</v>
      </c>
      <c r="AC53" s="13" t="s">
        <v>355</v>
      </c>
      <c r="AD53" s="13">
        <v>26</v>
      </c>
      <c r="AE53" s="13" t="s">
        <v>358</v>
      </c>
      <c r="AF53" s="1">
        <f t="shared" si="25"/>
        <v>1.6834679678868067</v>
      </c>
      <c r="AG53" s="1">
        <f t="shared" si="26"/>
        <v>1.0942541791264244</v>
      </c>
      <c r="AH53" s="1"/>
      <c r="AI53" s="1"/>
      <c r="AJ53" s="13">
        <f t="shared" si="27"/>
        <v>13</v>
      </c>
      <c r="AK53" s="13" t="s">
        <v>29</v>
      </c>
      <c r="AL53" s="13" t="str">
        <f t="shared" si="28"/>
        <v>+</v>
      </c>
      <c r="AM53" s="13">
        <f t="shared" si="29"/>
        <v>27</v>
      </c>
      <c r="AN53" s="13" t="str">
        <f t="shared" si="30"/>
        <v>H2</v>
      </c>
      <c r="AO53" s="13" t="str">
        <f t="shared" si="31"/>
        <v>=</v>
      </c>
      <c r="AP53" s="13">
        <f t="shared" si="32"/>
        <v>1</v>
      </c>
      <c r="AQ53" s="13" t="str">
        <f t="shared" si="33"/>
        <v>C13H28</v>
      </c>
      <c r="AR53" s="13" t="str">
        <f t="shared" si="34"/>
        <v>+</v>
      </c>
      <c r="AS53" s="13">
        <f t="shared" si="39"/>
        <v>13</v>
      </c>
      <c r="AT53" s="13" t="str">
        <f t="shared" si="35"/>
        <v>H2O</v>
      </c>
      <c r="AU53" s="1">
        <f t="shared" si="36"/>
        <v>3.2838968378274722</v>
      </c>
      <c r="AV53" s="1">
        <f t="shared" si="37"/>
        <v>1.5811355145095236</v>
      </c>
    </row>
    <row r="54" spans="1:48" x14ac:dyDescent="0.25">
      <c r="A54">
        <v>51</v>
      </c>
      <c r="B54">
        <v>14</v>
      </c>
      <c r="C54" t="s">
        <v>276</v>
      </c>
      <c r="D54" t="s">
        <v>277</v>
      </c>
      <c r="E54" t="s">
        <v>278</v>
      </c>
      <c r="F54">
        <v>-2.792549536734132E-3</v>
      </c>
      <c r="G54">
        <v>3.696945724228602E-4</v>
      </c>
      <c r="H54">
        <v>2.1231383437187419E-3</v>
      </c>
      <c r="I54">
        <v>5.7935054737977873E-4</v>
      </c>
      <c r="K54" s="30" t="s">
        <v>278</v>
      </c>
      <c r="L54" s="30"/>
      <c r="M54" s="37">
        <f t="shared" si="20"/>
        <v>1.7421610485147094E-4</v>
      </c>
      <c r="N54" s="37">
        <f t="shared" si="21"/>
        <v>7.2797023144009071E-4</v>
      </c>
      <c r="O54" s="34">
        <f t="shared" si="22"/>
        <v>2.8496777150704886E-3</v>
      </c>
      <c r="P54" s="34">
        <f t="shared" si="23"/>
        <v>7.7996810511438289E-3</v>
      </c>
      <c r="Q54" s="31" t="s">
        <v>278</v>
      </c>
      <c r="R54" s="32">
        <f t="shared" si="24"/>
        <v>1.0649358766214317E-2</v>
      </c>
      <c r="S54">
        <f t="shared" si="38"/>
        <v>0.14909102272700045</v>
      </c>
      <c r="U54" s="13">
        <v>14</v>
      </c>
      <c r="V54" s="13" t="s">
        <v>354</v>
      </c>
      <c r="W54" s="13" t="s">
        <v>355</v>
      </c>
      <c r="X54" s="13">
        <v>43</v>
      </c>
      <c r="Y54" s="13" t="s">
        <v>356</v>
      </c>
      <c r="Z54" s="13" t="s">
        <v>357</v>
      </c>
      <c r="AA54" s="13">
        <v>1</v>
      </c>
      <c r="AB54" s="13" t="s">
        <v>280</v>
      </c>
      <c r="AC54" s="13" t="s">
        <v>355</v>
      </c>
      <c r="AD54" s="13">
        <v>28</v>
      </c>
      <c r="AE54" s="13" t="s">
        <v>358</v>
      </c>
      <c r="AF54" s="1">
        <f t="shared" si="25"/>
        <v>0.12253614174803101</v>
      </c>
      <c r="AG54" s="1">
        <f t="shared" si="26"/>
        <v>7.9790976021973686E-2</v>
      </c>
      <c r="AH54" s="1"/>
      <c r="AI54" s="1"/>
      <c r="AJ54" s="13">
        <f t="shared" si="27"/>
        <v>14</v>
      </c>
      <c r="AK54" s="13" t="s">
        <v>29</v>
      </c>
      <c r="AL54" s="13" t="str">
        <f t="shared" si="28"/>
        <v>+</v>
      </c>
      <c r="AM54" s="13">
        <f t="shared" si="29"/>
        <v>29</v>
      </c>
      <c r="AN54" s="13" t="str">
        <f t="shared" si="30"/>
        <v>H2</v>
      </c>
      <c r="AO54" s="13" t="str">
        <f t="shared" si="31"/>
        <v>=</v>
      </c>
      <c r="AP54" s="13">
        <f t="shared" si="32"/>
        <v>1</v>
      </c>
      <c r="AQ54" s="13" t="str">
        <f t="shared" si="33"/>
        <v>C14H30</v>
      </c>
      <c r="AR54" s="13" t="str">
        <f t="shared" si="34"/>
        <v>+</v>
      </c>
      <c r="AS54" s="13">
        <f t="shared" si="39"/>
        <v>14</v>
      </c>
      <c r="AT54" s="13" t="str">
        <f t="shared" si="35"/>
        <v>H2O</v>
      </c>
      <c r="AU54" s="1">
        <f t="shared" si="36"/>
        <v>0.22619075048317103</v>
      </c>
      <c r="AV54" s="1">
        <f t="shared" si="37"/>
        <v>0.10919553471601361</v>
      </c>
    </row>
    <row r="55" spans="1:48" x14ac:dyDescent="0.25">
      <c r="A55">
        <v>52</v>
      </c>
      <c r="B55">
        <v>14</v>
      </c>
      <c r="C55" t="s">
        <v>279</v>
      </c>
      <c r="D55" t="s">
        <v>280</v>
      </c>
      <c r="E55" t="s">
        <v>281</v>
      </c>
      <c r="F55">
        <v>-1.9571637655129769E-2</v>
      </c>
      <c r="G55">
        <v>3.895789861104905E-3</v>
      </c>
      <c r="H55">
        <v>0.13744410679945041</v>
      </c>
      <c r="I55">
        <v>1.522365832602417E-3</v>
      </c>
      <c r="K55" s="30" t="s">
        <v>281</v>
      </c>
      <c r="L55" s="30"/>
      <c r="M55" s="37">
        <f t="shared" si="20"/>
        <v>2.5257752252458212E-3</v>
      </c>
      <c r="N55" s="37">
        <f t="shared" si="21"/>
        <v>1.1143453308563946E-2</v>
      </c>
      <c r="O55" s="34">
        <f t="shared" si="22"/>
        <v>4.1314466184378076E-2</v>
      </c>
      <c r="P55" s="34">
        <f t="shared" si="23"/>
        <v>0.11939414259175656</v>
      </c>
      <c r="Q55" s="31" t="s">
        <v>281</v>
      </c>
      <c r="R55" s="32">
        <f t="shared" si="24"/>
        <v>0.16070860877613463</v>
      </c>
      <c r="S55">
        <f t="shared" si="38"/>
        <v>2.2499205228658847</v>
      </c>
      <c r="U55" s="13">
        <v>14</v>
      </c>
      <c r="V55" s="13" t="s">
        <v>354</v>
      </c>
      <c r="W55" s="13" t="s">
        <v>355</v>
      </c>
      <c r="X55" s="13">
        <v>43</v>
      </c>
      <c r="Y55" s="13" t="s">
        <v>356</v>
      </c>
      <c r="Z55" s="13" t="s">
        <v>357</v>
      </c>
      <c r="AA55" s="13">
        <v>1</v>
      </c>
      <c r="AB55" s="13" t="s">
        <v>280</v>
      </c>
      <c r="AC55" s="13" t="s">
        <v>355</v>
      </c>
      <c r="AD55" s="13">
        <v>28</v>
      </c>
      <c r="AE55" s="13" t="s">
        <v>358</v>
      </c>
      <c r="AF55" s="1">
        <f t="shared" si="25"/>
        <v>1.7765220459282574</v>
      </c>
      <c r="AG55" s="1">
        <f t="shared" si="26"/>
        <v>1.1568050531625862</v>
      </c>
      <c r="AH55" s="1"/>
      <c r="AI55" s="1"/>
      <c r="AJ55" s="13">
        <f t="shared" si="27"/>
        <v>14</v>
      </c>
      <c r="AK55" s="13" t="s">
        <v>29</v>
      </c>
      <c r="AL55" s="13" t="str">
        <f t="shared" si="28"/>
        <v>+</v>
      </c>
      <c r="AM55" s="13">
        <f t="shared" si="29"/>
        <v>29</v>
      </c>
      <c r="AN55" s="13" t="str">
        <f t="shared" si="30"/>
        <v>H2</v>
      </c>
      <c r="AO55" s="13" t="str">
        <f t="shared" si="31"/>
        <v>=</v>
      </c>
      <c r="AP55" s="13">
        <f t="shared" si="32"/>
        <v>1</v>
      </c>
      <c r="AQ55" s="13" t="str">
        <f t="shared" si="33"/>
        <v>C14H30</v>
      </c>
      <c r="AR55" s="13" t="str">
        <f t="shared" si="34"/>
        <v>+</v>
      </c>
      <c r="AS55" s="13">
        <f t="shared" si="39"/>
        <v>14</v>
      </c>
      <c r="AT55" s="13" t="str">
        <f t="shared" si="35"/>
        <v>H2O</v>
      </c>
      <c r="AU55" s="1">
        <f t="shared" si="36"/>
        <v>3.4624301351609401</v>
      </c>
      <c r="AV55" s="1">
        <f t="shared" si="37"/>
        <v>1.6715179962845919</v>
      </c>
    </row>
    <row r="56" spans="1:48" x14ac:dyDescent="0.25">
      <c r="A56">
        <v>53</v>
      </c>
      <c r="B56">
        <v>15</v>
      </c>
      <c r="C56" t="s">
        <v>282</v>
      </c>
      <c r="D56" t="s">
        <v>283</v>
      </c>
      <c r="E56" t="s">
        <v>284</v>
      </c>
      <c r="F56">
        <v>-2.3599700252929E-3</v>
      </c>
      <c r="G56">
        <v>3.1242708426643389E-4</v>
      </c>
      <c r="H56">
        <v>1.794253883347776E-3</v>
      </c>
      <c r="I56">
        <v>4.8960632854244809E-4</v>
      </c>
      <c r="K56" s="30" t="s">
        <v>284</v>
      </c>
      <c r="L56" s="30"/>
      <c r="M56" s="37">
        <f t="shared" si="20"/>
        <v>1.4722918249593088E-4</v>
      </c>
      <c r="N56" s="37">
        <f t="shared" si="21"/>
        <v>6.1520410037679244E-4</v>
      </c>
      <c r="O56" s="34">
        <f t="shared" si="22"/>
        <v>2.2476988527712115E-3</v>
      </c>
      <c r="P56" s="34">
        <f t="shared" si="23"/>
        <v>6.1520410037679248E-3</v>
      </c>
      <c r="Q56" s="31" t="s">
        <v>284</v>
      </c>
      <c r="R56" s="32">
        <f t="shared" si="24"/>
        <v>8.3997398565391363E-3</v>
      </c>
      <c r="S56">
        <f t="shared" si="38"/>
        <v>0.12599609784808705</v>
      </c>
      <c r="U56" s="13">
        <v>15</v>
      </c>
      <c r="V56" s="13" t="s">
        <v>354</v>
      </c>
      <c r="W56" s="13" t="s">
        <v>355</v>
      </c>
      <c r="X56" s="13">
        <v>46</v>
      </c>
      <c r="Y56" s="13" t="s">
        <v>356</v>
      </c>
      <c r="Z56" s="13" t="s">
        <v>357</v>
      </c>
      <c r="AA56" s="13">
        <v>1</v>
      </c>
      <c r="AB56" s="13" t="s">
        <v>286</v>
      </c>
      <c r="AC56" s="13" t="s">
        <v>355</v>
      </c>
      <c r="AD56" s="13">
        <v>30</v>
      </c>
      <c r="AE56" s="13" t="s">
        <v>358</v>
      </c>
      <c r="AF56" s="1">
        <f t="shared" si="25"/>
        <v>0.10339414722747572</v>
      </c>
      <c r="AG56" s="1">
        <f t="shared" si="26"/>
        <v>6.743096558313634E-2</v>
      </c>
      <c r="AH56" s="1"/>
      <c r="AI56" s="1"/>
      <c r="AJ56" s="13">
        <f t="shared" si="27"/>
        <v>15</v>
      </c>
      <c r="AK56" s="13" t="s">
        <v>29</v>
      </c>
      <c r="AL56" s="13" t="str">
        <f t="shared" si="28"/>
        <v>+</v>
      </c>
      <c r="AM56" s="13">
        <f t="shared" si="29"/>
        <v>31</v>
      </c>
      <c r="AN56" s="13" t="str">
        <f t="shared" si="30"/>
        <v>H2</v>
      </c>
      <c r="AO56" s="13" t="str">
        <f t="shared" si="31"/>
        <v>=</v>
      </c>
      <c r="AP56" s="13">
        <f t="shared" si="32"/>
        <v>1</v>
      </c>
      <c r="AQ56" s="13" t="str">
        <f t="shared" si="33"/>
        <v>C15H32</v>
      </c>
      <c r="AR56" s="13" t="str">
        <f t="shared" si="34"/>
        <v>+</v>
      </c>
      <c r="AS56" s="13">
        <f t="shared" si="39"/>
        <v>15</v>
      </c>
      <c r="AT56" s="13" t="str">
        <f t="shared" si="35"/>
        <v>H2O</v>
      </c>
      <c r="AU56" s="1">
        <f t="shared" si="36"/>
        <v>0.19071327111680567</v>
      </c>
      <c r="AV56" s="1">
        <f t="shared" si="37"/>
        <v>9.2280615056518869E-2</v>
      </c>
    </row>
    <row r="57" spans="1:48" x14ac:dyDescent="0.25">
      <c r="A57">
        <v>54</v>
      </c>
      <c r="B57">
        <v>15</v>
      </c>
      <c r="C57" t="s">
        <v>285</v>
      </c>
      <c r="D57" t="s">
        <v>286</v>
      </c>
      <c r="E57" t="s">
        <v>287</v>
      </c>
      <c r="F57">
        <v>-1.861787961185575E-2</v>
      </c>
      <c r="G57">
        <v>3.7059416235477229E-3</v>
      </c>
      <c r="H57">
        <v>0.13074622976583231</v>
      </c>
      <c r="I57">
        <v>1.4481784455663851E-3</v>
      </c>
      <c r="K57" s="30" t="s">
        <v>287</v>
      </c>
      <c r="L57" s="30"/>
      <c r="M57" s="37">
        <f t="shared" si="20"/>
        <v>2.4026900507178204E-3</v>
      </c>
      <c r="N57" s="37">
        <f t="shared" si="21"/>
        <v>1.0600414529174648E-2</v>
      </c>
      <c r="O57" s="34">
        <f t="shared" si="22"/>
        <v>3.6681068107625392E-2</v>
      </c>
      <c r="P57" s="34">
        <f t="shared" si="23"/>
        <v>0.10600414529174647</v>
      </c>
      <c r="Q57" s="31" t="s">
        <v>287</v>
      </c>
      <c r="R57" s="32">
        <f t="shared" si="24"/>
        <v>0.14268521339937185</v>
      </c>
      <c r="S57">
        <f t="shared" si="38"/>
        <v>2.1402782009905779</v>
      </c>
      <c r="U57" s="13">
        <v>15</v>
      </c>
      <c r="V57" s="13" t="s">
        <v>354</v>
      </c>
      <c r="W57" s="13" t="s">
        <v>355</v>
      </c>
      <c r="X57" s="13">
        <v>46</v>
      </c>
      <c r="Y57" s="13" t="s">
        <v>356</v>
      </c>
      <c r="Z57" s="13" t="s">
        <v>357</v>
      </c>
      <c r="AA57" s="13">
        <v>1</v>
      </c>
      <c r="AB57" s="13" t="s">
        <v>286</v>
      </c>
      <c r="AC57" s="13" t="s">
        <v>355</v>
      </c>
      <c r="AD57" s="13">
        <v>30</v>
      </c>
      <c r="AE57" s="13" t="s">
        <v>358</v>
      </c>
      <c r="AF57" s="1">
        <f t="shared" si="25"/>
        <v>1.687329132950768</v>
      </c>
      <c r="AG57" s="1">
        <f t="shared" si="26"/>
        <v>1.1004320432287618</v>
      </c>
      <c r="AH57" s="1"/>
      <c r="AI57" s="1"/>
      <c r="AJ57" s="13">
        <f t="shared" si="27"/>
        <v>15</v>
      </c>
      <c r="AK57" s="13" t="s">
        <v>29</v>
      </c>
      <c r="AL57" s="13" t="str">
        <f t="shared" si="28"/>
        <v>+</v>
      </c>
      <c r="AM57" s="13">
        <f t="shared" si="29"/>
        <v>31</v>
      </c>
      <c r="AN57" s="13" t="str">
        <f t="shared" si="30"/>
        <v>H2</v>
      </c>
      <c r="AO57" s="13" t="str">
        <f t="shared" si="31"/>
        <v>=</v>
      </c>
      <c r="AP57" s="13">
        <f t="shared" si="32"/>
        <v>1</v>
      </c>
      <c r="AQ57" s="13" t="str">
        <f t="shared" si="33"/>
        <v>C15H32</v>
      </c>
      <c r="AR57" s="13" t="str">
        <f t="shared" si="34"/>
        <v>+</v>
      </c>
      <c r="AS57" s="13">
        <f t="shared" si="39"/>
        <v>15</v>
      </c>
      <c r="AT57" s="13" t="str">
        <f t="shared" si="35"/>
        <v>H2O</v>
      </c>
      <c r="AU57" s="1">
        <f t="shared" si="36"/>
        <v>3.2861285040441404</v>
      </c>
      <c r="AV57" s="1">
        <f t="shared" si="37"/>
        <v>1.5900621793761971</v>
      </c>
    </row>
    <row r="58" spans="1:48" x14ac:dyDescent="0.25">
      <c r="A58">
        <v>55</v>
      </c>
      <c r="B58">
        <v>16</v>
      </c>
      <c r="C58" t="s">
        <v>288</v>
      </c>
      <c r="D58" t="s">
        <v>289</v>
      </c>
      <c r="E58" t="s">
        <v>290</v>
      </c>
      <c r="F58">
        <v>-6.419553988063177E-3</v>
      </c>
      <c r="G58">
        <v>8.4985932587538344E-4</v>
      </c>
      <c r="H58">
        <v>4.8807016822230596E-3</v>
      </c>
      <c r="I58">
        <v>1.3318195677445321E-3</v>
      </c>
      <c r="K58" s="30" t="s">
        <v>290</v>
      </c>
      <c r="L58" s="30"/>
      <c r="M58" s="37">
        <f t="shared" si="20"/>
        <v>4.0049054671096099E-4</v>
      </c>
      <c r="N58" s="37">
        <f t="shared" si="21"/>
        <v>1.6734686855001462E-3</v>
      </c>
      <c r="O58" s="34">
        <f t="shared" si="22"/>
        <v>5.7320209498006288E-3</v>
      </c>
      <c r="P58" s="34">
        <f t="shared" si="23"/>
        <v>1.568876892656387E-2</v>
      </c>
      <c r="Q58" s="31" t="s">
        <v>290</v>
      </c>
      <c r="R58" s="32">
        <f t="shared" si="24"/>
        <v>2.1420789876364497E-2</v>
      </c>
      <c r="S58">
        <f t="shared" si="38"/>
        <v>0.34273263802183196</v>
      </c>
      <c r="U58" s="13">
        <v>16</v>
      </c>
      <c r="V58" s="13" t="s">
        <v>354</v>
      </c>
      <c r="W58" s="13" t="s">
        <v>355</v>
      </c>
      <c r="X58" s="13">
        <v>49</v>
      </c>
      <c r="Y58" s="13" t="s">
        <v>356</v>
      </c>
      <c r="Z58" s="13" t="s">
        <v>357</v>
      </c>
      <c r="AA58" s="13">
        <v>1</v>
      </c>
      <c r="AB58" s="13" t="s">
        <v>292</v>
      </c>
      <c r="AC58" s="13" t="s">
        <v>355</v>
      </c>
      <c r="AD58" s="13">
        <v>32</v>
      </c>
      <c r="AE58" s="13" t="s">
        <v>358</v>
      </c>
      <c r="AF58" s="1">
        <f t="shared" si="25"/>
        <v>0.28086902654023083</v>
      </c>
      <c r="AG58" s="1">
        <f t="shared" si="26"/>
        <v>0.18342467039362012</v>
      </c>
      <c r="AH58" s="1"/>
      <c r="AI58" s="1"/>
      <c r="AJ58" s="13">
        <f t="shared" si="27"/>
        <v>16</v>
      </c>
      <c r="AK58" s="13" t="s">
        <v>29</v>
      </c>
      <c r="AL58" s="13" t="str">
        <f t="shared" si="28"/>
        <v>+</v>
      </c>
      <c r="AM58" s="13">
        <f t="shared" si="29"/>
        <v>33</v>
      </c>
      <c r="AN58" s="13" t="str">
        <f t="shared" si="30"/>
        <v>H2</v>
      </c>
      <c r="AO58" s="13" t="str">
        <f t="shared" si="31"/>
        <v>=</v>
      </c>
      <c r="AP58" s="13">
        <f t="shared" si="32"/>
        <v>1</v>
      </c>
      <c r="AQ58" s="13" t="str">
        <f t="shared" si="33"/>
        <v>C16H34</v>
      </c>
      <c r="AR58" s="13" t="str">
        <f t="shared" si="34"/>
        <v>+</v>
      </c>
      <c r="AS58" s="13">
        <f t="shared" si="39"/>
        <v>16</v>
      </c>
      <c r="AT58" s="13" t="str">
        <f t="shared" si="35"/>
        <v>H2O</v>
      </c>
      <c r="AU58" s="1">
        <f t="shared" si="36"/>
        <v>0.51772937457660773</v>
      </c>
      <c r="AV58" s="1">
        <f t="shared" si="37"/>
        <v>0.25102030282502191</v>
      </c>
    </row>
    <row r="59" spans="1:48" x14ac:dyDescent="0.25">
      <c r="A59">
        <v>56</v>
      </c>
      <c r="B59">
        <v>16</v>
      </c>
      <c r="C59" t="s">
        <v>291</v>
      </c>
      <c r="D59" t="s">
        <v>292</v>
      </c>
      <c r="E59" t="s">
        <v>293</v>
      </c>
      <c r="F59">
        <v>-1.6096300127583379E-2</v>
      </c>
      <c r="G59">
        <v>3.204014091375999E-3</v>
      </c>
      <c r="H59">
        <v>0.1130381439098284</v>
      </c>
      <c r="I59">
        <v>1.2520391894300291E-3</v>
      </c>
      <c r="K59" s="30" t="s">
        <v>293</v>
      </c>
      <c r="L59" s="30"/>
      <c r="M59" s="37">
        <f t="shared" si="20"/>
        <v>2.0772730824451624E-3</v>
      </c>
      <c r="N59" s="37">
        <f t="shared" si="21"/>
        <v>9.164709263118017E-3</v>
      </c>
      <c r="O59" s="34">
        <f t="shared" si="22"/>
        <v>2.9730970992496386E-2</v>
      </c>
      <c r="P59" s="34">
        <f t="shared" si="23"/>
        <v>8.5919149341731407E-2</v>
      </c>
      <c r="Q59" s="31" t="s">
        <v>293</v>
      </c>
      <c r="R59" s="32">
        <f t="shared" si="24"/>
        <v>0.11565012033422779</v>
      </c>
      <c r="S59">
        <f t="shared" si="38"/>
        <v>1.8504019253476447</v>
      </c>
      <c r="U59" s="13">
        <v>16</v>
      </c>
      <c r="V59" s="13" t="s">
        <v>354</v>
      </c>
      <c r="W59" s="13" t="s">
        <v>355</v>
      </c>
      <c r="X59" s="13">
        <v>49</v>
      </c>
      <c r="Y59" s="13" t="s">
        <v>356</v>
      </c>
      <c r="Z59" s="13" t="s">
        <v>357</v>
      </c>
      <c r="AA59" s="13">
        <v>1</v>
      </c>
      <c r="AB59" s="13" t="s">
        <v>292</v>
      </c>
      <c r="AC59" s="13" t="s">
        <v>355</v>
      </c>
      <c r="AD59" s="13">
        <v>32</v>
      </c>
      <c r="AE59" s="13" t="s">
        <v>358</v>
      </c>
      <c r="AF59" s="1">
        <f t="shared" si="25"/>
        <v>1.456817578632323</v>
      </c>
      <c r="AG59" s="1">
        <f t="shared" si="26"/>
        <v>0.95139107175988435</v>
      </c>
      <c r="AH59" s="1"/>
      <c r="AI59" s="1"/>
      <c r="AJ59" s="13">
        <f t="shared" si="27"/>
        <v>16</v>
      </c>
      <c r="AK59" s="13" t="s">
        <v>29</v>
      </c>
      <c r="AL59" s="13" t="str">
        <f t="shared" si="28"/>
        <v>+</v>
      </c>
      <c r="AM59" s="13">
        <f t="shared" si="29"/>
        <v>33</v>
      </c>
      <c r="AN59" s="13" t="str">
        <f t="shared" si="30"/>
        <v>H2</v>
      </c>
      <c r="AO59" s="13" t="str">
        <f t="shared" si="31"/>
        <v>=</v>
      </c>
      <c r="AP59" s="13">
        <f t="shared" si="32"/>
        <v>1</v>
      </c>
      <c r="AQ59" s="13" t="str">
        <f t="shared" si="33"/>
        <v>C16H34</v>
      </c>
      <c r="AR59" s="13" t="str">
        <f t="shared" si="34"/>
        <v>+</v>
      </c>
      <c r="AS59" s="13">
        <f t="shared" si="39"/>
        <v>16</v>
      </c>
      <c r="AT59" s="13" t="str">
        <f t="shared" si="35"/>
        <v>H2O</v>
      </c>
      <c r="AU59" s="1">
        <f t="shared" si="36"/>
        <v>2.8353319282771365</v>
      </c>
      <c r="AV59" s="1">
        <f t="shared" si="37"/>
        <v>1.3747063894677025</v>
      </c>
    </row>
    <row r="60" spans="1:48" x14ac:dyDescent="0.25">
      <c r="A60">
        <v>57</v>
      </c>
      <c r="B60">
        <v>17</v>
      </c>
      <c r="C60" t="s">
        <v>294</v>
      </c>
      <c r="D60" t="s">
        <v>295</v>
      </c>
      <c r="E60" t="s">
        <v>296</v>
      </c>
      <c r="F60">
        <v>-2.5265561447253412E-3</v>
      </c>
      <c r="G60">
        <v>3.3448076080288809E-4</v>
      </c>
      <c r="H60">
        <v>1.9209070986429171E-3</v>
      </c>
      <c r="I60">
        <v>5.2416677526309109E-4</v>
      </c>
      <c r="K60" s="30" t="s">
        <v>296</v>
      </c>
      <c r="L60" s="30"/>
      <c r="M60" s="37">
        <f t="shared" si="20"/>
        <v>1.576218306721142E-4</v>
      </c>
      <c r="N60" s="37">
        <f t="shared" si="21"/>
        <v>6.5863027216809525E-4</v>
      </c>
      <c r="O60" s="34">
        <f t="shared" si="22"/>
        <v>2.1232587778773032E-3</v>
      </c>
      <c r="P60" s="34">
        <f t="shared" si="23"/>
        <v>5.8114435779537815E-3</v>
      </c>
      <c r="Q60" s="31" t="s">
        <v>296</v>
      </c>
      <c r="R60" s="32">
        <f t="shared" si="24"/>
        <v>7.9347023558310852E-3</v>
      </c>
      <c r="S60">
        <f t="shared" si="38"/>
        <v>0.13488994004912844</v>
      </c>
      <c r="U60" s="13">
        <v>17</v>
      </c>
      <c r="V60" s="13" t="s">
        <v>354</v>
      </c>
      <c r="W60" s="13" t="s">
        <v>355</v>
      </c>
      <c r="X60" s="13">
        <v>52</v>
      </c>
      <c r="Y60" s="13" t="s">
        <v>356</v>
      </c>
      <c r="Z60" s="13" t="s">
        <v>357</v>
      </c>
      <c r="AA60" s="13">
        <v>1</v>
      </c>
      <c r="AB60" s="13" t="s">
        <v>298</v>
      </c>
      <c r="AC60" s="13" t="s">
        <v>355</v>
      </c>
      <c r="AD60" s="13">
        <v>34</v>
      </c>
      <c r="AE60" s="13" t="s">
        <v>358</v>
      </c>
      <c r="AF60" s="1">
        <f t="shared" si="25"/>
        <v>0.11040945644961976</v>
      </c>
      <c r="AG60" s="1">
        <f t="shared" si="26"/>
        <v>7.2190798447828303E-2</v>
      </c>
      <c r="AH60" s="1"/>
      <c r="AI60" s="1"/>
      <c r="AJ60" s="13">
        <f t="shared" si="27"/>
        <v>17</v>
      </c>
      <c r="AK60" s="13" t="s">
        <v>29</v>
      </c>
      <c r="AL60" s="13" t="str">
        <f t="shared" si="28"/>
        <v>+</v>
      </c>
      <c r="AM60" s="13">
        <f t="shared" si="29"/>
        <v>35</v>
      </c>
      <c r="AN60" s="13" t="str">
        <f t="shared" si="30"/>
        <v>H2</v>
      </c>
      <c r="AO60" s="13" t="str">
        <f t="shared" si="31"/>
        <v>=</v>
      </c>
      <c r="AP60" s="13">
        <f t="shared" si="32"/>
        <v>1</v>
      </c>
      <c r="AQ60" s="13" t="str">
        <f t="shared" si="33"/>
        <v>C17H36</v>
      </c>
      <c r="AR60" s="13" t="str">
        <f t="shared" si="34"/>
        <v>+</v>
      </c>
      <c r="AS60" s="13">
        <f t="shared" si="39"/>
        <v>17</v>
      </c>
      <c r="AT60" s="13" t="str">
        <f t="shared" si="35"/>
        <v>H2O</v>
      </c>
      <c r="AU60" s="1">
        <f t="shared" si="36"/>
        <v>0.20340052522838237</v>
      </c>
      <c r="AV60" s="1">
        <f t="shared" si="37"/>
        <v>9.8794540825214286E-2</v>
      </c>
    </row>
    <row r="61" spans="1:48" x14ac:dyDescent="0.25">
      <c r="A61">
        <v>58</v>
      </c>
      <c r="B61">
        <v>17</v>
      </c>
      <c r="C61" t="s">
        <v>297</v>
      </c>
      <c r="D61" t="s">
        <v>298</v>
      </c>
      <c r="E61" t="s">
        <v>299</v>
      </c>
      <c r="F61">
        <v>-1.4881238510809591E-2</v>
      </c>
      <c r="G61">
        <v>2.962152638049719E-3</v>
      </c>
      <c r="H61">
        <v>0.1045052320724791</v>
      </c>
      <c r="I61">
        <v>1.157526490877271E-3</v>
      </c>
      <c r="K61" s="30" t="s">
        <v>299</v>
      </c>
      <c r="L61" s="30"/>
      <c r="M61" s="37">
        <f t="shared" si="20"/>
        <v>1.9204659422930475E-3</v>
      </c>
      <c r="N61" s="37">
        <f t="shared" si="21"/>
        <v>8.4728927359508082E-3</v>
      </c>
      <c r="O61" s="34">
        <f t="shared" si="22"/>
        <v>2.5869805928535758E-2</v>
      </c>
      <c r="P61" s="34">
        <f t="shared" si="23"/>
        <v>7.4760818258389483E-2</v>
      </c>
      <c r="Q61" s="31" t="s">
        <v>299</v>
      </c>
      <c r="R61" s="32">
        <f t="shared" si="24"/>
        <v>0.10063062418692524</v>
      </c>
      <c r="S61">
        <f t="shared" si="38"/>
        <v>1.7107206111777291</v>
      </c>
      <c r="U61" s="13">
        <v>17</v>
      </c>
      <c r="V61" s="13" t="s">
        <v>354</v>
      </c>
      <c r="W61" s="13" t="s">
        <v>355</v>
      </c>
      <c r="X61" s="13">
        <v>52</v>
      </c>
      <c r="Y61" s="13" t="s">
        <v>356</v>
      </c>
      <c r="Z61" s="13" t="s">
        <v>357</v>
      </c>
      <c r="AA61" s="13">
        <v>1</v>
      </c>
      <c r="AB61" s="13" t="s">
        <v>298</v>
      </c>
      <c r="AC61" s="13" t="s">
        <v>355</v>
      </c>
      <c r="AD61" s="13">
        <v>34</v>
      </c>
      <c r="AE61" s="13" t="s">
        <v>358</v>
      </c>
      <c r="AF61" s="1">
        <f t="shared" si="25"/>
        <v>1.3452299082838595</v>
      </c>
      <c r="AG61" s="1">
        <f t="shared" si="26"/>
        <v>0.8795734015702158</v>
      </c>
      <c r="AH61" s="1"/>
      <c r="AI61" s="1"/>
      <c r="AJ61" s="13">
        <f t="shared" si="27"/>
        <v>17</v>
      </c>
      <c r="AK61" s="13" t="s">
        <v>29</v>
      </c>
      <c r="AL61" s="13" t="str">
        <f t="shared" si="28"/>
        <v>+</v>
      </c>
      <c r="AM61" s="13">
        <f t="shared" si="29"/>
        <v>35</v>
      </c>
      <c r="AN61" s="13" t="str">
        <f t="shared" si="30"/>
        <v>H2</v>
      </c>
      <c r="AO61" s="13" t="str">
        <f t="shared" si="31"/>
        <v>=</v>
      </c>
      <c r="AP61" s="13">
        <f t="shared" si="32"/>
        <v>1</v>
      </c>
      <c r="AQ61" s="13" t="str">
        <f t="shared" si="33"/>
        <v>C17H36</v>
      </c>
      <c r="AR61" s="13" t="str">
        <f t="shared" si="34"/>
        <v>+</v>
      </c>
      <c r="AS61" s="13">
        <f t="shared" si="39"/>
        <v>17</v>
      </c>
      <c r="AT61" s="13" t="str">
        <f t="shared" si="35"/>
        <v>H2O</v>
      </c>
      <c r="AU61" s="1">
        <f t="shared" si="36"/>
        <v>2.6166286390436317</v>
      </c>
      <c r="AV61" s="1">
        <f t="shared" si="37"/>
        <v>1.2709339103926212</v>
      </c>
    </row>
    <row r="62" spans="1:48" x14ac:dyDescent="0.25">
      <c r="A62">
        <v>59</v>
      </c>
      <c r="B62">
        <v>18</v>
      </c>
      <c r="C62" t="s">
        <v>300</v>
      </c>
      <c r="D62" t="s">
        <v>301</v>
      </c>
      <c r="E62" t="s">
        <v>302</v>
      </c>
      <c r="F62">
        <v>-1.4580739401284921E-2</v>
      </c>
      <c r="G62">
        <v>2.9023374399152709E-3</v>
      </c>
      <c r="H62">
        <v>0.1023949420481888</v>
      </c>
      <c r="I62">
        <v>1.134152382633039E-3</v>
      </c>
      <c r="K62" s="30" t="s">
        <v>302</v>
      </c>
      <c r="L62" s="30"/>
      <c r="M62" s="37">
        <f t="shared" si="20"/>
        <v>1.8816856818253264E-3</v>
      </c>
      <c r="N62" s="37">
        <f t="shared" si="21"/>
        <v>8.3017983260062558E-3</v>
      </c>
      <c r="O62" s="34">
        <f t="shared" si="22"/>
        <v>2.3939223396555541E-2</v>
      </c>
      <c r="P62" s="34">
        <f t="shared" si="23"/>
        <v>6.9181652716718792E-2</v>
      </c>
      <c r="Q62" s="31" t="s">
        <v>302</v>
      </c>
      <c r="R62" s="32">
        <f t="shared" si="24"/>
        <v>9.3120876113274326E-2</v>
      </c>
      <c r="S62">
        <f t="shared" si="38"/>
        <v>1.6761757700389379</v>
      </c>
      <c r="U62" s="13">
        <v>18</v>
      </c>
      <c r="V62" s="13" t="s">
        <v>354</v>
      </c>
      <c r="W62" s="13" t="s">
        <v>355</v>
      </c>
      <c r="X62" s="13">
        <v>55</v>
      </c>
      <c r="Y62" s="13" t="s">
        <v>356</v>
      </c>
      <c r="Z62" s="13" t="s">
        <v>357</v>
      </c>
      <c r="AA62" s="13">
        <v>1</v>
      </c>
      <c r="AB62" s="13" t="s">
        <v>301</v>
      </c>
      <c r="AC62" s="13" t="s">
        <v>355</v>
      </c>
      <c r="AD62" s="13">
        <v>36</v>
      </c>
      <c r="AE62" s="13" t="s">
        <v>358</v>
      </c>
      <c r="AF62" s="1">
        <f t="shared" si="25"/>
        <v>1.3166572868105548</v>
      </c>
      <c r="AG62" s="1">
        <f t="shared" si="26"/>
        <v>0.8618120422759995</v>
      </c>
      <c r="AH62" s="1"/>
      <c r="AI62" s="1"/>
      <c r="AJ62" s="13">
        <f t="shared" si="27"/>
        <v>18</v>
      </c>
      <c r="AK62" s="13" t="s">
        <v>29</v>
      </c>
      <c r="AL62" s="13" t="str">
        <f t="shared" si="28"/>
        <v>+</v>
      </c>
      <c r="AM62" s="13">
        <f t="shared" si="29"/>
        <v>37</v>
      </c>
      <c r="AN62" s="13" t="str">
        <f t="shared" si="30"/>
        <v>H2</v>
      </c>
      <c r="AO62" s="13" t="str">
        <f t="shared" si="31"/>
        <v>=</v>
      </c>
      <c r="AP62" s="13">
        <f t="shared" si="32"/>
        <v>1</v>
      </c>
      <c r="AQ62" s="13" t="str">
        <f t="shared" si="33"/>
        <v>C18H38</v>
      </c>
      <c r="AR62" s="13" t="str">
        <f t="shared" si="34"/>
        <v>+</v>
      </c>
      <c r="AS62" s="13">
        <f t="shared" si="39"/>
        <v>18</v>
      </c>
      <c r="AT62" s="13" t="str">
        <f t="shared" si="35"/>
        <v>H2O</v>
      </c>
      <c r="AU62" s="1">
        <f t="shared" si="36"/>
        <v>2.5597211505185955</v>
      </c>
      <c r="AV62" s="1">
        <f t="shared" si="37"/>
        <v>1.2452697489009383</v>
      </c>
    </row>
    <row r="63" spans="1:48" x14ac:dyDescent="0.25">
      <c r="A63">
        <v>60</v>
      </c>
      <c r="B63">
        <v>19</v>
      </c>
      <c r="C63" t="s">
        <v>303</v>
      </c>
      <c r="D63" t="s">
        <v>304</v>
      </c>
      <c r="E63" t="s">
        <v>305</v>
      </c>
      <c r="F63">
        <v>-6.9506750550928113E-3</v>
      </c>
      <c r="G63">
        <v>1.3835515394578161E-3</v>
      </c>
      <c r="H63">
        <v>4.8811925779244043E-2</v>
      </c>
      <c r="I63">
        <v>5.40653286344785E-4</v>
      </c>
      <c r="K63" s="30" t="s">
        <v>305</v>
      </c>
      <c r="L63" s="30"/>
      <c r="M63" s="37">
        <f t="shared" si="20"/>
        <v>8.9700428560131925E-4</v>
      </c>
      <c r="N63" s="37">
        <f t="shared" si="21"/>
        <v>3.957488090891869E-3</v>
      </c>
      <c r="O63" s="34">
        <f t="shared" si="22"/>
        <v>1.0811262179089585E-2</v>
      </c>
      <c r="P63" s="34">
        <f t="shared" si="23"/>
        <v>3.124332703335686E-2</v>
      </c>
      <c r="Q63" s="31" t="s">
        <v>305</v>
      </c>
      <c r="R63" s="32">
        <f t="shared" si="24"/>
        <v>4.2054589212446446E-2</v>
      </c>
      <c r="S63">
        <f t="shared" si="38"/>
        <v>0.79903719503648252</v>
      </c>
      <c r="U63" s="13">
        <v>19</v>
      </c>
      <c r="V63" s="13" t="s">
        <v>354</v>
      </c>
      <c r="W63" s="13" t="s">
        <v>355</v>
      </c>
      <c r="X63" s="13">
        <v>58</v>
      </c>
      <c r="Y63" s="13" t="s">
        <v>356</v>
      </c>
      <c r="Z63" s="13" t="s">
        <v>357</v>
      </c>
      <c r="AA63" s="13">
        <v>1</v>
      </c>
      <c r="AB63" s="13" t="s">
        <v>304</v>
      </c>
      <c r="AC63" s="13" t="s">
        <v>355</v>
      </c>
      <c r="AD63" s="13">
        <v>38</v>
      </c>
      <c r="AE63" s="13" t="s">
        <v>358</v>
      </c>
      <c r="AF63" s="1">
        <f t="shared" si="25"/>
        <v>0.62705320638719597</v>
      </c>
      <c r="AG63" s="1">
        <f t="shared" si="26"/>
        <v>0.41082796280540423</v>
      </c>
      <c r="AH63" s="1"/>
      <c r="AI63" s="1"/>
      <c r="AJ63" s="13">
        <f t="shared" si="27"/>
        <v>19</v>
      </c>
      <c r="AK63" s="13" t="s">
        <v>29</v>
      </c>
      <c r="AL63" s="13" t="str">
        <f t="shared" si="28"/>
        <v>+</v>
      </c>
      <c r="AM63" s="13">
        <f t="shared" si="29"/>
        <v>39</v>
      </c>
      <c r="AN63" s="13" t="str">
        <f t="shared" si="30"/>
        <v>H2</v>
      </c>
      <c r="AO63" s="13" t="str">
        <f t="shared" si="31"/>
        <v>=</v>
      </c>
      <c r="AP63" s="13">
        <f t="shared" si="32"/>
        <v>1</v>
      </c>
      <c r="AQ63" s="13" t="str">
        <f t="shared" si="33"/>
        <v>C19H40</v>
      </c>
      <c r="AR63" s="13" t="str">
        <f t="shared" si="34"/>
        <v>+</v>
      </c>
      <c r="AS63" s="13">
        <f t="shared" si="39"/>
        <v>19</v>
      </c>
      <c r="AT63" s="13" t="str">
        <f t="shared" si="35"/>
        <v>H2O</v>
      </c>
      <c r="AU63" s="1">
        <f t="shared" si="36"/>
        <v>1.2184897543009177</v>
      </c>
      <c r="AV63" s="1">
        <f t="shared" si="37"/>
        <v>0.59362321363378034</v>
      </c>
    </row>
    <row r="64" spans="1:48" x14ac:dyDescent="0.25">
      <c r="A64">
        <v>61</v>
      </c>
      <c r="B64">
        <v>20</v>
      </c>
      <c r="C64" t="s">
        <v>306</v>
      </c>
      <c r="D64" t="s">
        <v>307</v>
      </c>
      <c r="E64" t="s">
        <v>308</v>
      </c>
      <c r="F64">
        <v>-5.7486786169940584E-3</v>
      </c>
      <c r="G64">
        <v>1.144290746919999E-3</v>
      </c>
      <c r="H64">
        <v>4.0370765682081561E-2</v>
      </c>
      <c r="I64">
        <v>4.4715685336786572E-4</v>
      </c>
      <c r="K64" s="30" t="s">
        <v>308</v>
      </c>
      <c r="L64" s="30"/>
      <c r="M64" s="37">
        <f t="shared" si="20"/>
        <v>7.418832437304149E-4</v>
      </c>
      <c r="N64" s="37">
        <f t="shared" si="21"/>
        <v>3.2731104511135754E-3</v>
      </c>
      <c r="O64" s="34">
        <f t="shared" si="22"/>
        <v>8.4945631407132502E-3</v>
      </c>
      <c r="P64" s="34">
        <f t="shared" si="23"/>
        <v>2.4548328383351817E-2</v>
      </c>
      <c r="Q64" s="31" t="s">
        <v>308</v>
      </c>
      <c r="R64" s="32">
        <f t="shared" si="24"/>
        <v>3.3042891524065067E-2</v>
      </c>
      <c r="S64">
        <f t="shared" si="38"/>
        <v>0.66085783048130131</v>
      </c>
      <c r="U64" s="13">
        <v>20</v>
      </c>
      <c r="V64" s="13" t="s">
        <v>354</v>
      </c>
      <c r="W64" s="13" t="s">
        <v>355</v>
      </c>
      <c r="X64" s="13">
        <v>61</v>
      </c>
      <c r="Y64" s="13" t="s">
        <v>356</v>
      </c>
      <c r="Z64" s="13" t="s">
        <v>357</v>
      </c>
      <c r="AA64" s="13">
        <v>1</v>
      </c>
      <c r="AB64" s="13" t="s">
        <v>307</v>
      </c>
      <c r="AC64" s="13" t="s">
        <v>355</v>
      </c>
      <c r="AD64" s="13">
        <v>40</v>
      </c>
      <c r="AE64" s="13" t="s">
        <v>358</v>
      </c>
      <c r="AF64" s="1">
        <f t="shared" si="25"/>
        <v>0.51816835158350827</v>
      </c>
      <c r="AG64" s="1">
        <f t="shared" si="26"/>
        <v>0.33978252562853001</v>
      </c>
      <c r="AH64" s="1"/>
      <c r="AI64" s="1"/>
      <c r="AJ64" s="13">
        <f t="shared" si="27"/>
        <v>20</v>
      </c>
      <c r="AK64" s="13" t="s">
        <v>29</v>
      </c>
      <c r="AL64" s="13" t="str">
        <f t="shared" si="28"/>
        <v>+</v>
      </c>
      <c r="AM64" s="13">
        <f t="shared" si="29"/>
        <v>41</v>
      </c>
      <c r="AN64" s="13" t="str">
        <f t="shared" si="30"/>
        <v>H2</v>
      </c>
      <c r="AO64" s="13" t="str">
        <f t="shared" si="31"/>
        <v>=</v>
      </c>
      <c r="AP64" s="13">
        <f t="shared" si="32"/>
        <v>1</v>
      </c>
      <c r="AQ64" s="13" t="str">
        <f t="shared" si="33"/>
        <v>C20H42</v>
      </c>
      <c r="AR64" s="13" t="str">
        <f t="shared" si="34"/>
        <v>+</v>
      </c>
      <c r="AS64" s="13">
        <f t="shared" si="39"/>
        <v>20</v>
      </c>
      <c r="AT64" s="13" t="str">
        <f t="shared" si="35"/>
        <v>H2O</v>
      </c>
      <c r="AU64" s="1">
        <f t="shared" si="36"/>
        <v>1.0064814637174244</v>
      </c>
      <c r="AV64" s="1">
        <f t="shared" si="37"/>
        <v>0.49096656766703634</v>
      </c>
    </row>
    <row r="65" spans="1:48" x14ac:dyDescent="0.25">
      <c r="A65">
        <v>62</v>
      </c>
      <c r="B65">
        <v>21</v>
      </c>
      <c r="C65" t="s">
        <v>309</v>
      </c>
      <c r="D65" t="s">
        <v>310</v>
      </c>
      <c r="E65" t="s">
        <v>311</v>
      </c>
      <c r="F65">
        <v>-5.4873750434943306E-3</v>
      </c>
      <c r="G65">
        <v>1.092277531150908E-3</v>
      </c>
      <c r="H65">
        <v>3.8535730878350563E-2</v>
      </c>
      <c r="I65">
        <v>4.2683154185114627E-4</v>
      </c>
      <c r="K65" s="30" t="s">
        <v>311</v>
      </c>
      <c r="L65" s="30"/>
      <c r="M65" s="37">
        <f t="shared" si="20"/>
        <v>7.0816127810630482E-4</v>
      </c>
      <c r="N65" s="37">
        <f t="shared" si="21"/>
        <v>3.1243327033356862E-3</v>
      </c>
      <c r="O65" s="34">
        <f t="shared" si="22"/>
        <v>7.7223301279211332E-3</v>
      </c>
      <c r="P65" s="34">
        <f t="shared" si="23"/>
        <v>2.231666216668347E-2</v>
      </c>
      <c r="Q65" s="31" t="s">
        <v>311</v>
      </c>
      <c r="R65" s="32">
        <f t="shared" si="24"/>
        <v>3.0038992294604605E-2</v>
      </c>
      <c r="S65">
        <f t="shared" si="38"/>
        <v>0.63081883818669671</v>
      </c>
      <c r="U65" s="13">
        <v>21</v>
      </c>
      <c r="V65" s="13" t="s">
        <v>354</v>
      </c>
      <c r="W65" s="13" t="s">
        <v>355</v>
      </c>
      <c r="X65" s="13">
        <v>64</v>
      </c>
      <c r="Y65" s="13" t="s">
        <v>356</v>
      </c>
      <c r="Z65" s="13" t="s">
        <v>357</v>
      </c>
      <c r="AA65" s="13">
        <v>1</v>
      </c>
      <c r="AB65" s="13" t="s">
        <v>310</v>
      </c>
      <c r="AC65" s="13" t="s">
        <v>355</v>
      </c>
      <c r="AD65" s="13">
        <v>42</v>
      </c>
      <c r="AE65" s="13" t="s">
        <v>358</v>
      </c>
      <c r="AF65" s="1">
        <f t="shared" si="25"/>
        <v>0.49422912818695253</v>
      </c>
      <c r="AG65" s="1">
        <f t="shared" si="26"/>
        <v>0.32433786537268761</v>
      </c>
      <c r="AH65" s="1"/>
      <c r="AI65" s="1"/>
      <c r="AJ65" s="13">
        <f t="shared" si="27"/>
        <v>21</v>
      </c>
      <c r="AK65" s="13" t="s">
        <v>29</v>
      </c>
      <c r="AL65" s="13" t="str">
        <f t="shared" si="28"/>
        <v>+</v>
      </c>
      <c r="AM65" s="13">
        <f t="shared" si="29"/>
        <v>43</v>
      </c>
      <c r="AN65" s="13" t="str">
        <f t="shared" si="30"/>
        <v>H2</v>
      </c>
      <c r="AO65" s="13" t="str">
        <f t="shared" si="31"/>
        <v>=</v>
      </c>
      <c r="AP65" s="13">
        <f t="shared" si="32"/>
        <v>1</v>
      </c>
      <c r="AQ65" s="13" t="str">
        <f t="shared" si="33"/>
        <v>C21H44</v>
      </c>
      <c r="AR65" s="13" t="str">
        <f t="shared" si="34"/>
        <v>+</v>
      </c>
      <c r="AS65" s="13">
        <f t="shared" si="39"/>
        <v>21</v>
      </c>
      <c r="AT65" s="13" t="str">
        <f t="shared" si="35"/>
        <v>H2O</v>
      </c>
      <c r="AU65" s="1">
        <f t="shared" si="36"/>
        <v>0.95961647316738918</v>
      </c>
      <c r="AV65" s="1">
        <f t="shared" si="37"/>
        <v>0.46864990550035285</v>
      </c>
    </row>
    <row r="66" spans="1:48" x14ac:dyDescent="0.25">
      <c r="A66">
        <v>63</v>
      </c>
      <c r="B66">
        <v>22</v>
      </c>
      <c r="C66" t="s">
        <v>312</v>
      </c>
      <c r="D66" t="s">
        <v>313</v>
      </c>
      <c r="E66" t="s">
        <v>314</v>
      </c>
      <c r="F66">
        <v>-5.173810755294655E-3</v>
      </c>
      <c r="G66">
        <v>1.0298616722279989E-3</v>
      </c>
      <c r="H66">
        <v>3.6333689113873392E-2</v>
      </c>
      <c r="I66">
        <v>4.0244116803108028E-4</v>
      </c>
      <c r="K66" s="30" t="s">
        <v>314</v>
      </c>
      <c r="L66" s="30"/>
      <c r="M66" s="37">
        <f t="shared" si="20"/>
        <v>6.6769491935737303E-4</v>
      </c>
      <c r="N66" s="37">
        <f t="shared" si="21"/>
        <v>2.9457994060022178E-3</v>
      </c>
      <c r="O66" s="34">
        <f t="shared" si="22"/>
        <v>6.9500971151290197E-3</v>
      </c>
      <c r="P66" s="34">
        <f t="shared" si="23"/>
        <v>2.008499595001512E-2</v>
      </c>
      <c r="Q66" s="31" t="s">
        <v>314</v>
      </c>
      <c r="R66" s="32">
        <f t="shared" si="24"/>
        <v>2.703509306514414E-2</v>
      </c>
      <c r="S66">
        <f t="shared" si="38"/>
        <v>0.59477204743317102</v>
      </c>
      <c r="U66" s="13">
        <v>22</v>
      </c>
      <c r="V66" s="13" t="s">
        <v>354</v>
      </c>
      <c r="W66" s="13" t="s">
        <v>355</v>
      </c>
      <c r="X66" s="13">
        <v>67</v>
      </c>
      <c r="Y66" s="13" t="s">
        <v>356</v>
      </c>
      <c r="Z66" s="13" t="s">
        <v>357</v>
      </c>
      <c r="AA66" s="13">
        <v>1</v>
      </c>
      <c r="AB66" s="13" t="s">
        <v>313</v>
      </c>
      <c r="AC66" s="13" t="s">
        <v>355</v>
      </c>
      <c r="AD66" s="13">
        <v>44</v>
      </c>
      <c r="AE66" s="13" t="s">
        <v>358</v>
      </c>
      <c r="AF66" s="1">
        <f t="shared" si="25"/>
        <v>0.46565650671364434</v>
      </c>
      <c r="AG66" s="1">
        <f t="shared" si="26"/>
        <v>0.30580427306567687</v>
      </c>
      <c r="AH66" s="1"/>
      <c r="AI66" s="1"/>
      <c r="AJ66" s="13">
        <f t="shared" si="27"/>
        <v>22</v>
      </c>
      <c r="AK66" s="13" t="s">
        <v>29</v>
      </c>
      <c r="AL66" s="13" t="str">
        <f t="shared" si="28"/>
        <v>+</v>
      </c>
      <c r="AM66" s="13">
        <f t="shared" si="29"/>
        <v>45</v>
      </c>
      <c r="AN66" s="13" t="str">
        <f t="shared" si="30"/>
        <v>H2</v>
      </c>
      <c r="AO66" s="13" t="str">
        <f t="shared" si="31"/>
        <v>=</v>
      </c>
      <c r="AP66" s="13">
        <f t="shared" si="32"/>
        <v>1</v>
      </c>
      <c r="AQ66" s="13" t="str">
        <f t="shared" si="33"/>
        <v>C22H46</v>
      </c>
      <c r="AR66" s="13" t="str">
        <f t="shared" si="34"/>
        <v>+</v>
      </c>
      <c r="AS66" s="13">
        <f t="shared" si="39"/>
        <v>22</v>
      </c>
      <c r="AT66" s="13" t="str">
        <f t="shared" si="35"/>
        <v>H2O</v>
      </c>
      <c r="AU66" s="1">
        <f t="shared" si="36"/>
        <v>0.90382481775068035</v>
      </c>
      <c r="AV66" s="1">
        <f t="shared" si="37"/>
        <v>0.44186991090033262</v>
      </c>
    </row>
    <row r="67" spans="1:48" x14ac:dyDescent="0.25">
      <c r="A67">
        <v>64</v>
      </c>
      <c r="B67">
        <v>23</v>
      </c>
      <c r="C67" t="s">
        <v>315</v>
      </c>
      <c r="D67" t="s">
        <v>316</v>
      </c>
      <c r="E67" t="s">
        <v>317</v>
      </c>
      <c r="F67">
        <v>-4.8079857523950298E-3</v>
      </c>
      <c r="G67">
        <v>9.5704317015127174E-4</v>
      </c>
      <c r="H67">
        <v>3.3764640388650041E-2</v>
      </c>
      <c r="I67">
        <v>3.7398573190766931E-4</v>
      </c>
      <c r="K67" s="30" t="s">
        <v>317</v>
      </c>
      <c r="L67" s="30"/>
      <c r="M67" s="37">
        <f t="shared" si="20"/>
        <v>6.2048416748361956E-4</v>
      </c>
      <c r="N67" s="37">
        <f t="shared" si="21"/>
        <v>2.7375105591131723E-3</v>
      </c>
      <c r="O67" s="34">
        <f t="shared" si="22"/>
        <v>6.1778641023369071E-3</v>
      </c>
      <c r="P67" s="34">
        <f t="shared" si="23"/>
        <v>1.7853329733346777E-2</v>
      </c>
      <c r="Q67" s="31" t="s">
        <v>317</v>
      </c>
      <c r="R67" s="32">
        <f t="shared" si="24"/>
        <v>2.4031193835683685E-2</v>
      </c>
      <c r="S67">
        <f t="shared" si="38"/>
        <v>0.55271745822072471</v>
      </c>
      <c r="U67" s="13">
        <v>23</v>
      </c>
      <c r="V67" s="13" t="s">
        <v>354</v>
      </c>
      <c r="W67" s="13" t="s">
        <v>355</v>
      </c>
      <c r="X67" s="13">
        <v>70</v>
      </c>
      <c r="Y67" s="13" t="s">
        <v>356</v>
      </c>
      <c r="Z67" s="13" t="s">
        <v>357</v>
      </c>
      <c r="AA67" s="13">
        <v>1</v>
      </c>
      <c r="AB67" s="13" t="s">
        <v>316</v>
      </c>
      <c r="AC67" s="13" t="s">
        <v>355</v>
      </c>
      <c r="AD67" s="13">
        <v>46</v>
      </c>
      <c r="AE67" s="13" t="s">
        <v>358</v>
      </c>
      <c r="AF67" s="1">
        <f t="shared" si="25"/>
        <v>0.43245048716358347</v>
      </c>
      <c r="AG67" s="1">
        <f t="shared" si="26"/>
        <v>0.28418174870749774</v>
      </c>
      <c r="AH67" s="1"/>
      <c r="AI67" s="1"/>
      <c r="AJ67" s="13">
        <f t="shared" si="27"/>
        <v>23</v>
      </c>
      <c r="AK67" s="13" t="s">
        <v>29</v>
      </c>
      <c r="AL67" s="13" t="str">
        <f t="shared" si="28"/>
        <v>+</v>
      </c>
      <c r="AM67" s="13">
        <f t="shared" si="29"/>
        <v>47</v>
      </c>
      <c r="AN67" s="13" t="str">
        <f t="shared" si="30"/>
        <v>H2</v>
      </c>
      <c r="AO67" s="13" t="str">
        <f t="shared" si="31"/>
        <v>=</v>
      </c>
      <c r="AP67" s="13">
        <f t="shared" si="32"/>
        <v>1</v>
      </c>
      <c r="AQ67" s="13" t="str">
        <f t="shared" si="33"/>
        <v>C23H48</v>
      </c>
      <c r="AR67" s="13" t="str">
        <f t="shared" si="34"/>
        <v>+</v>
      </c>
      <c r="AS67" s="13">
        <f t="shared" si="39"/>
        <v>23</v>
      </c>
      <c r="AT67" s="13" t="str">
        <f t="shared" si="35"/>
        <v>H2O</v>
      </c>
      <c r="AU67" s="1">
        <f t="shared" si="36"/>
        <v>0.83910649746729848</v>
      </c>
      <c r="AV67" s="1">
        <f t="shared" si="37"/>
        <v>0.41062658386697587</v>
      </c>
    </row>
    <row r="68" spans="1:48" x14ac:dyDescent="0.25">
      <c r="A68">
        <v>65</v>
      </c>
      <c r="B68">
        <v>24</v>
      </c>
      <c r="C68" t="s">
        <v>318</v>
      </c>
      <c r="D68" t="s">
        <v>319</v>
      </c>
      <c r="E68" t="s">
        <v>320</v>
      </c>
      <c r="F68">
        <v>-4.7034643229951377E-3</v>
      </c>
      <c r="G68">
        <v>9.3623788384363535E-4</v>
      </c>
      <c r="H68">
        <v>3.3030626467157612E-2</v>
      </c>
      <c r="I68">
        <v>3.6585560730098289E-4</v>
      </c>
      <c r="K68" s="30" t="s">
        <v>320</v>
      </c>
      <c r="L68" s="30"/>
      <c r="M68" s="37">
        <f t="shared" ref="M68:M75" si="40">IF($L$1,F68*$K$1+G68,0)</f>
        <v>6.0699538123397574E-4</v>
      </c>
      <c r="N68" s="37">
        <f t="shared" ref="N68:N75" si="41">IF($L$1,H68*$K$1+I68,0)</f>
        <v>2.677999460002016E-3</v>
      </c>
      <c r="O68" s="34">
        <f t="shared" si="22"/>
        <v>5.7917475959408521E-3</v>
      </c>
      <c r="P68" s="34">
        <f t="shared" si="23"/>
        <v>1.6737496625012598E-2</v>
      </c>
      <c r="Q68" s="31" t="s">
        <v>320</v>
      </c>
      <c r="R68" s="32">
        <f t="shared" si="24"/>
        <v>2.252924422095345E-2</v>
      </c>
      <c r="S68">
        <f t="shared" si="38"/>
        <v>0.54070186130288278</v>
      </c>
      <c r="U68" s="13">
        <v>24</v>
      </c>
      <c r="V68" s="13" t="s">
        <v>354</v>
      </c>
      <c r="W68" s="13" t="s">
        <v>355</v>
      </c>
      <c r="X68" s="13">
        <v>73</v>
      </c>
      <c r="Y68" s="13" t="s">
        <v>356</v>
      </c>
      <c r="Z68" s="13" t="s">
        <v>357</v>
      </c>
      <c r="AA68" s="13">
        <v>1</v>
      </c>
      <c r="AB68" s="13" t="s">
        <v>319</v>
      </c>
      <c r="AC68" s="13" t="s">
        <v>355</v>
      </c>
      <c r="AD68" s="13">
        <v>48</v>
      </c>
      <c r="AE68" s="13" t="s">
        <v>358</v>
      </c>
      <c r="AF68" s="1">
        <f t="shared" si="25"/>
        <v>0.42279757450368222</v>
      </c>
      <c r="AG68" s="1">
        <f t="shared" si="26"/>
        <v>0.2780038846051609</v>
      </c>
      <c r="AH68" s="1"/>
      <c r="AI68" s="1"/>
      <c r="AJ68" s="13">
        <f t="shared" si="27"/>
        <v>24</v>
      </c>
      <c r="AK68" s="13" t="s">
        <v>29</v>
      </c>
      <c r="AL68" s="13" t="str">
        <f t="shared" si="28"/>
        <v>+</v>
      </c>
      <c r="AM68" s="13">
        <f t="shared" si="29"/>
        <v>49</v>
      </c>
      <c r="AN68" s="13" t="str">
        <f t="shared" si="30"/>
        <v>H2</v>
      </c>
      <c r="AO68" s="13" t="str">
        <f t="shared" si="31"/>
        <v>=</v>
      </c>
      <c r="AP68" s="13">
        <f t="shared" si="32"/>
        <v>1</v>
      </c>
      <c r="AQ68" s="13" t="str">
        <f t="shared" si="33"/>
        <v>C24H50</v>
      </c>
      <c r="AR68" s="13" t="str">
        <f t="shared" si="34"/>
        <v>+</v>
      </c>
      <c r="AS68" s="13">
        <f t="shared" si="39"/>
        <v>24</v>
      </c>
      <c r="AT68" s="13" t="str">
        <f t="shared" si="35"/>
        <v>H2O</v>
      </c>
      <c r="AU68" s="1">
        <f t="shared" si="36"/>
        <v>0.82013733462561733</v>
      </c>
      <c r="AV68" s="1">
        <f t="shared" si="37"/>
        <v>0.40169991900030233</v>
      </c>
    </row>
    <row r="69" spans="1:48" x14ac:dyDescent="0.25">
      <c r="A69">
        <v>66</v>
      </c>
      <c r="B69">
        <v>25</v>
      </c>
      <c r="C69" t="s">
        <v>321</v>
      </c>
      <c r="D69" t="s">
        <v>322</v>
      </c>
      <c r="E69" t="s">
        <v>323</v>
      </c>
      <c r="F69">
        <v>-4.2461830693706149E-3</v>
      </c>
      <c r="G69">
        <v>8.4521475624772672E-4</v>
      </c>
      <c r="H69">
        <v>2.9819315560628421E-2</v>
      </c>
      <c r="I69">
        <v>3.3028631214671939E-4</v>
      </c>
      <c r="K69" s="30" t="s">
        <v>323</v>
      </c>
      <c r="L69" s="30"/>
      <c r="M69" s="37">
        <f t="shared" si="40"/>
        <v>5.4798194139178366E-4</v>
      </c>
      <c r="N69" s="37">
        <f t="shared" si="41"/>
        <v>2.417638401390709E-3</v>
      </c>
      <c r="O69" s="34">
        <f t="shared" si="22"/>
        <v>5.0195145831487386E-3</v>
      </c>
      <c r="P69" s="34">
        <f t="shared" si="23"/>
        <v>1.4505830408344253E-2</v>
      </c>
      <c r="Q69" s="31" t="s">
        <v>323</v>
      </c>
      <c r="R69" s="32">
        <f t="shared" si="24"/>
        <v>1.9525344991492992E-2</v>
      </c>
      <c r="S69">
        <f t="shared" ref="S69:S100" si="42">+R69*U69</f>
        <v>0.4881336247873248</v>
      </c>
      <c r="U69" s="13">
        <v>25</v>
      </c>
      <c r="V69" s="13" t="s">
        <v>354</v>
      </c>
      <c r="W69" s="13" t="s">
        <v>355</v>
      </c>
      <c r="X69" s="13">
        <v>76</v>
      </c>
      <c r="Y69" s="13" t="s">
        <v>356</v>
      </c>
      <c r="Z69" s="13" t="s">
        <v>357</v>
      </c>
      <c r="AA69" s="13">
        <v>1</v>
      </c>
      <c r="AB69" s="13" t="s">
        <v>322</v>
      </c>
      <c r="AC69" s="13" t="s">
        <v>355</v>
      </c>
      <c r="AD69" s="13">
        <v>50</v>
      </c>
      <c r="AE69" s="13" t="s">
        <v>358</v>
      </c>
      <c r="AF69" s="1">
        <f t="shared" si="25"/>
        <v>0.38148310831930415</v>
      </c>
      <c r="AG69" s="1">
        <f t="shared" si="26"/>
        <v>0.25097572915743693</v>
      </c>
      <c r="AH69" s="1"/>
      <c r="AI69" s="1"/>
      <c r="AJ69" s="13">
        <f t="shared" si="27"/>
        <v>25</v>
      </c>
      <c r="AK69" s="13" t="s">
        <v>29</v>
      </c>
      <c r="AL69" s="13" t="str">
        <f t="shared" si="28"/>
        <v>+</v>
      </c>
      <c r="AM69" s="13">
        <f t="shared" si="29"/>
        <v>51</v>
      </c>
      <c r="AN69" s="13" t="str">
        <f t="shared" si="30"/>
        <v>H2</v>
      </c>
      <c r="AO69" s="13" t="str">
        <f t="shared" si="31"/>
        <v>=</v>
      </c>
      <c r="AP69" s="13">
        <f t="shared" si="32"/>
        <v>1</v>
      </c>
      <c r="AQ69" s="13" t="str">
        <f t="shared" si="33"/>
        <v>C25H52</v>
      </c>
      <c r="AR69" s="13" t="str">
        <f t="shared" si="34"/>
        <v>+</v>
      </c>
      <c r="AS69" s="13">
        <f t="shared" si="39"/>
        <v>25</v>
      </c>
      <c r="AT69" s="13" t="str">
        <f t="shared" si="35"/>
        <v>H2O</v>
      </c>
      <c r="AU69" s="1">
        <f t="shared" si="36"/>
        <v>0.73979735082555687</v>
      </c>
      <c r="AV69" s="1">
        <f t="shared" si="37"/>
        <v>0.36264576020860634</v>
      </c>
    </row>
    <row r="70" spans="1:48" x14ac:dyDescent="0.25">
      <c r="A70">
        <v>67</v>
      </c>
      <c r="B70">
        <v>26</v>
      </c>
      <c r="C70" t="s">
        <v>324</v>
      </c>
      <c r="D70" t="s">
        <v>325</v>
      </c>
      <c r="E70" t="s">
        <v>326</v>
      </c>
      <c r="F70">
        <v>-3.736641101046136E-3</v>
      </c>
      <c r="G70">
        <v>7.4378898549799918E-4</v>
      </c>
      <c r="H70">
        <v>2.6240997693353009E-2</v>
      </c>
      <c r="I70">
        <v>2.9065195468911341E-4</v>
      </c>
      <c r="K70" s="30" t="s">
        <v>326</v>
      </c>
      <c r="L70" s="30"/>
      <c r="M70" s="37">
        <f t="shared" si="40"/>
        <v>4.8222410842476961E-4</v>
      </c>
      <c r="N70" s="37">
        <f t="shared" si="41"/>
        <v>2.1275217932238241E-3</v>
      </c>
      <c r="O70" s="34">
        <f t="shared" si="22"/>
        <v>4.2472815703566251E-3</v>
      </c>
      <c r="P70" s="34">
        <f t="shared" si="23"/>
        <v>1.2274164191675908E-2</v>
      </c>
      <c r="Q70" s="31" t="s">
        <v>326</v>
      </c>
      <c r="R70" s="32">
        <f t="shared" si="24"/>
        <v>1.6521445762032533E-2</v>
      </c>
      <c r="S70">
        <f t="shared" si="42"/>
        <v>0.42955758981284586</v>
      </c>
      <c r="U70" s="13">
        <v>26</v>
      </c>
      <c r="V70" s="13" t="s">
        <v>354</v>
      </c>
      <c r="W70" s="13" t="s">
        <v>355</v>
      </c>
      <c r="X70" s="13">
        <v>79</v>
      </c>
      <c r="Y70" s="13" t="s">
        <v>356</v>
      </c>
      <c r="Z70" s="13" t="s">
        <v>357</v>
      </c>
      <c r="AA70" s="13">
        <v>1</v>
      </c>
      <c r="AB70" s="13" t="s">
        <v>325</v>
      </c>
      <c r="AC70" s="13" t="s">
        <v>355</v>
      </c>
      <c r="AD70" s="13">
        <v>52</v>
      </c>
      <c r="AE70" s="13" t="s">
        <v>358</v>
      </c>
      <c r="AF70" s="1">
        <f t="shared" si="25"/>
        <v>0.33553524405817337</v>
      </c>
      <c r="AG70" s="1">
        <f t="shared" si="26"/>
        <v>0.22085864165854452</v>
      </c>
      <c r="AH70" s="1"/>
      <c r="AI70" s="1"/>
      <c r="AJ70" s="13">
        <f t="shared" si="27"/>
        <v>26</v>
      </c>
      <c r="AK70" s="13" t="s">
        <v>29</v>
      </c>
      <c r="AL70" s="13" t="str">
        <f t="shared" si="28"/>
        <v>+</v>
      </c>
      <c r="AM70" s="13">
        <f t="shared" si="29"/>
        <v>53</v>
      </c>
      <c r="AN70" s="13" t="str">
        <f t="shared" si="30"/>
        <v>H2</v>
      </c>
      <c r="AO70" s="13" t="str">
        <f t="shared" si="31"/>
        <v>=</v>
      </c>
      <c r="AP70" s="13">
        <f t="shared" si="32"/>
        <v>1</v>
      </c>
      <c r="AQ70" s="13" t="str">
        <f t="shared" si="33"/>
        <v>C26H54</v>
      </c>
      <c r="AR70" s="13" t="str">
        <f t="shared" si="34"/>
        <v>+</v>
      </c>
      <c r="AS70" s="13">
        <f t="shared" si="39"/>
        <v>26</v>
      </c>
      <c r="AT70" s="13" t="str">
        <f t="shared" si="35"/>
        <v>H2O</v>
      </c>
      <c r="AU70" s="1">
        <f t="shared" si="36"/>
        <v>0.65053070215882314</v>
      </c>
      <c r="AV70" s="1">
        <f t="shared" si="37"/>
        <v>0.3191282689835736</v>
      </c>
    </row>
    <row r="71" spans="1:48" x14ac:dyDescent="0.25">
      <c r="A71">
        <v>68</v>
      </c>
      <c r="B71">
        <v>27</v>
      </c>
      <c r="C71" t="s">
        <v>327</v>
      </c>
      <c r="D71" t="s">
        <v>328</v>
      </c>
      <c r="E71" t="s">
        <v>329</v>
      </c>
      <c r="F71">
        <v>-3.1748384180217198E-3</v>
      </c>
      <c r="G71">
        <v>6.3196057159445405E-4</v>
      </c>
      <c r="H71">
        <v>2.229567286533141E-2</v>
      </c>
      <c r="I71">
        <v>2.4695253492816198E-4</v>
      </c>
      <c r="K71" s="30" t="s">
        <v>329</v>
      </c>
      <c r="L71" s="30">
        <v>0</v>
      </c>
      <c r="M71" s="37">
        <f t="shared" si="40"/>
        <v>4.0972188233293365E-4</v>
      </c>
      <c r="N71" s="37">
        <f t="shared" si="41"/>
        <v>1.8076496355013609E-3</v>
      </c>
      <c r="O71" s="34">
        <f t="shared" si="22"/>
        <v>3.4750485575645112E-3</v>
      </c>
      <c r="P71" s="34">
        <f t="shared" si="23"/>
        <v>1.004249797500756E-2</v>
      </c>
      <c r="Q71" s="31" t="s">
        <v>329</v>
      </c>
      <c r="R71" s="32">
        <f t="shared" si="24"/>
        <v>1.3517546532572072E-2</v>
      </c>
      <c r="S71">
        <f t="shared" si="42"/>
        <v>0.36497375637944596</v>
      </c>
      <c r="U71" s="13">
        <v>27</v>
      </c>
      <c r="V71" s="13" t="s">
        <v>354</v>
      </c>
      <c r="W71" s="13" t="s">
        <v>355</v>
      </c>
      <c r="X71" s="13">
        <v>82</v>
      </c>
      <c r="Y71" s="13" t="s">
        <v>356</v>
      </c>
      <c r="Z71" s="13" t="s">
        <v>357</v>
      </c>
      <c r="AA71" s="13">
        <v>1</v>
      </c>
      <c r="AB71" s="13" t="s">
        <v>328</v>
      </c>
      <c r="AC71" s="13" t="s">
        <v>355</v>
      </c>
      <c r="AD71" s="13">
        <v>54</v>
      </c>
      <c r="AE71" s="13" t="s">
        <v>358</v>
      </c>
      <c r="AF71" s="1">
        <f t="shared" si="25"/>
        <v>0.28495398172028991</v>
      </c>
      <c r="AG71" s="1">
        <f t="shared" si="26"/>
        <v>0.1876526221084836</v>
      </c>
      <c r="AH71" s="1"/>
      <c r="AI71" s="1"/>
      <c r="AJ71" s="13">
        <f t="shared" si="27"/>
        <v>27</v>
      </c>
      <c r="AK71" s="13" t="s">
        <v>29</v>
      </c>
      <c r="AL71" s="13" t="str">
        <f t="shared" si="28"/>
        <v>+</v>
      </c>
      <c r="AM71" s="13">
        <f t="shared" si="29"/>
        <v>55</v>
      </c>
      <c r="AN71" s="13" t="str">
        <f t="shared" si="30"/>
        <v>H2</v>
      </c>
      <c r="AO71" s="13" t="str">
        <f t="shared" si="31"/>
        <v>=</v>
      </c>
      <c r="AP71" s="13">
        <f t="shared" si="32"/>
        <v>1</v>
      </c>
      <c r="AQ71" s="13" t="str">
        <f t="shared" si="33"/>
        <v>C27H56</v>
      </c>
      <c r="AR71" s="13" t="str">
        <f t="shared" si="34"/>
        <v>+</v>
      </c>
      <c r="AS71" s="13">
        <f t="shared" si="39"/>
        <v>27</v>
      </c>
      <c r="AT71" s="13" t="str">
        <f t="shared" si="35"/>
        <v>H2O</v>
      </c>
      <c r="AU71" s="1">
        <f t="shared" si="36"/>
        <v>0.55233738862541581</v>
      </c>
      <c r="AV71" s="1">
        <f t="shared" si="37"/>
        <v>0.27114744532520413</v>
      </c>
    </row>
    <row r="72" spans="1:48" x14ac:dyDescent="0.25">
      <c r="K72" s="30" t="s">
        <v>354</v>
      </c>
      <c r="L72" s="30">
        <v>229</v>
      </c>
      <c r="M72" s="37">
        <f t="shared" si="40"/>
        <v>0</v>
      </c>
      <c r="N72" s="37">
        <f t="shared" si="41"/>
        <v>0</v>
      </c>
      <c r="O72" s="34">
        <f>+L72*(1-M2)</f>
        <v>185.22446328434302</v>
      </c>
      <c r="P72" s="34">
        <v>0</v>
      </c>
      <c r="Q72" s="31" t="s">
        <v>354</v>
      </c>
      <c r="R72" s="32">
        <f>+O72</f>
        <v>185.22446328434302</v>
      </c>
      <c r="S72" s="33">
        <f>+R72</f>
        <v>185.22446328434302</v>
      </c>
      <c r="T72">
        <f>+S72/$S$78</f>
        <v>0.17464880888645959</v>
      </c>
    </row>
    <row r="73" spans="1:48" x14ac:dyDescent="0.25">
      <c r="K73" s="30" t="s">
        <v>395</v>
      </c>
      <c r="L73" s="30">
        <v>150</v>
      </c>
      <c r="M73" s="37">
        <f t="shared" si="40"/>
        <v>0</v>
      </c>
      <c r="N73" s="37">
        <f t="shared" si="41"/>
        <v>0</v>
      </c>
      <c r="O73" s="34">
        <f>+L73*(1-N2)</f>
        <v>28.57444865898221</v>
      </c>
      <c r="P73" s="34">
        <f>+L73*(1-N2)</f>
        <v>28.57444865898221</v>
      </c>
      <c r="Q73" s="31" t="s">
        <v>395</v>
      </c>
      <c r="R73" s="32">
        <f>+O73</f>
        <v>28.57444865898221</v>
      </c>
      <c r="S73" s="33">
        <f>+R73</f>
        <v>28.57444865898221</v>
      </c>
      <c r="T73">
        <f>+S73/$S$78</f>
        <v>2.6942949837125432E-2</v>
      </c>
      <c r="AF73" s="1">
        <f>+SUM(AF4:AF71)</f>
        <v>138.95471597555101</v>
      </c>
      <c r="AG73" s="1">
        <f>+SUM(AG4:AG71)</f>
        <v>87.163460252501949</v>
      </c>
      <c r="AU73" s="1">
        <f>+SUM(AU4:AU71)</f>
        <v>263.87202997373885</v>
      </c>
      <c r="AV73" s="1">
        <f>+SUM(AV4:AV71)</f>
        <v>120.31611816372622</v>
      </c>
    </row>
    <row r="74" spans="1:48" x14ac:dyDescent="0.25">
      <c r="K74" s="30" t="s">
        <v>356</v>
      </c>
      <c r="L74" s="30">
        <f>L72*3+L73*2</f>
        <v>987</v>
      </c>
      <c r="M74" s="37">
        <f t="shared" si="40"/>
        <v>0</v>
      </c>
      <c r="N74" s="37">
        <f t="shared" si="41"/>
        <v>0</v>
      </c>
      <c r="O74" s="34">
        <f>+AF73</f>
        <v>138.95471597555101</v>
      </c>
      <c r="P74" s="34">
        <f>+AU73</f>
        <v>263.87202997373885</v>
      </c>
      <c r="Q74" s="31" t="s">
        <v>356</v>
      </c>
      <c r="R74" s="32">
        <f>+L74-O74-P74</f>
        <v>584.17325405071006</v>
      </c>
      <c r="S74" s="33">
        <f>+R74</f>
        <v>584.17325405071006</v>
      </c>
      <c r="T74">
        <f>+S74/$S$78</f>
        <v>0.55081905054119185</v>
      </c>
    </row>
    <row r="75" spans="1:48" x14ac:dyDescent="0.25">
      <c r="K75" s="30" t="s">
        <v>358</v>
      </c>
      <c r="L75" s="30"/>
      <c r="M75" s="37">
        <f t="shared" si="40"/>
        <v>0</v>
      </c>
      <c r="N75" s="37">
        <f t="shared" si="41"/>
        <v>0</v>
      </c>
      <c r="O75" s="34">
        <f>+AG73</f>
        <v>87.163460252501949</v>
      </c>
      <c r="P75" s="34">
        <f>+AV73</f>
        <v>120.31611816372622</v>
      </c>
      <c r="Q75" s="31" t="s">
        <v>358</v>
      </c>
      <c r="R75" s="32">
        <f>+L75+O75+P75</f>
        <v>207.47957841622815</v>
      </c>
      <c r="S75" s="33">
        <f>+R75</f>
        <v>207.47957841622815</v>
      </c>
      <c r="T75">
        <f>+S75/$S$78</f>
        <v>0.19563323653977657</v>
      </c>
    </row>
    <row r="77" spans="1:48" x14ac:dyDescent="0.25">
      <c r="K77" t="s">
        <v>23</v>
      </c>
      <c r="L77">
        <f>+SUM(L4:L75)</f>
        <v>1506</v>
      </c>
    </row>
    <row r="78" spans="1:48" x14ac:dyDescent="0.25">
      <c r="S78" s="33">
        <f>+S4+SUM(R5:R75)</f>
        <v>1060.5538306577214</v>
      </c>
    </row>
    <row r="79" spans="1:48" x14ac:dyDescent="0.25">
      <c r="L79">
        <f>+L73/L77</f>
        <v>9.9601593625498003E-2</v>
      </c>
    </row>
    <row r="80" spans="1:48" x14ac:dyDescent="0.25">
      <c r="L80">
        <f>+L72/L77</f>
        <v>0.15205843293492696</v>
      </c>
    </row>
  </sheetData>
  <mergeCells count="2">
    <mergeCell ref="Q3:R3"/>
    <mergeCell ref="K3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J90"/>
  <sheetViews>
    <sheetView topLeftCell="A17" zoomScale="92" workbookViewId="0">
      <selection activeCell="C5" sqref="C5"/>
    </sheetView>
  </sheetViews>
  <sheetFormatPr defaultColWidth="11" defaultRowHeight="15.75" x14ac:dyDescent="0.25"/>
  <cols>
    <col min="8" max="8" width="12.75" bestFit="1" customWidth="1"/>
    <col min="9" max="9" width="12.25" bestFit="1" customWidth="1"/>
    <col min="10" max="10" width="13.25" bestFit="1" customWidth="1"/>
    <col min="11" max="75" width="20" bestFit="1" customWidth="1"/>
    <col min="76" max="76" width="17.125" bestFit="1" customWidth="1"/>
  </cols>
  <sheetData>
    <row r="3" spans="1:10" x14ac:dyDescent="0.25">
      <c r="A3" t="s">
        <v>122</v>
      </c>
      <c r="B3" t="s">
        <v>119</v>
      </c>
      <c r="C3" s="24" t="s">
        <v>396</v>
      </c>
      <c r="D3" s="24" t="s">
        <v>397</v>
      </c>
    </row>
    <row r="4" spans="1:10" x14ac:dyDescent="0.25">
      <c r="A4">
        <v>1</v>
      </c>
      <c r="B4" s="31" t="s">
        <v>133</v>
      </c>
      <c r="C4">
        <v>10.675347629281321</v>
      </c>
      <c r="D4" s="33">
        <v>12.764487853091261</v>
      </c>
    </row>
    <row r="5" spans="1:10" x14ac:dyDescent="0.25">
      <c r="A5">
        <v>1</v>
      </c>
      <c r="B5" s="31" t="s">
        <v>136</v>
      </c>
      <c r="C5">
        <v>0.80481481478060724</v>
      </c>
      <c r="D5">
        <v>0.91088223941800006</v>
      </c>
    </row>
    <row r="6" spans="1:10" x14ac:dyDescent="0.25">
      <c r="A6">
        <v>2</v>
      </c>
      <c r="B6" s="31" t="s">
        <v>139</v>
      </c>
      <c r="C6">
        <v>1.4764743214745779</v>
      </c>
      <c r="D6">
        <v>1.709041167604332</v>
      </c>
    </row>
    <row r="7" spans="1:10" x14ac:dyDescent="0.25">
      <c r="A7">
        <v>2</v>
      </c>
      <c r="B7" s="31" t="s">
        <v>142</v>
      </c>
      <c r="C7">
        <v>6.2719479811499799</v>
      </c>
      <c r="D7">
        <v>7.3588614861819384</v>
      </c>
      <c r="I7" s="14" t="s">
        <v>398</v>
      </c>
    </row>
    <row r="8" spans="1:10" x14ac:dyDescent="0.25">
      <c r="A8">
        <v>3</v>
      </c>
      <c r="B8" s="31" t="s">
        <v>145</v>
      </c>
      <c r="C8">
        <v>1.0343523334498901</v>
      </c>
      <c r="D8">
        <v>1.1719059853281171</v>
      </c>
      <c r="H8" s="14" t="s">
        <v>130</v>
      </c>
      <c r="I8" t="s">
        <v>399</v>
      </c>
      <c r="J8" t="s">
        <v>400</v>
      </c>
    </row>
    <row r="9" spans="1:10" x14ac:dyDescent="0.25">
      <c r="A9">
        <v>3</v>
      </c>
      <c r="B9" s="31" t="s">
        <v>148</v>
      </c>
      <c r="C9">
        <v>9.4890646906416247</v>
      </c>
      <c r="D9">
        <v>10.979834057357101</v>
      </c>
      <c r="H9" s="15">
        <v>1</v>
      </c>
      <c r="I9" s="26">
        <v>0.12683132217797449</v>
      </c>
      <c r="J9" s="26">
        <v>0.13833890004507068</v>
      </c>
    </row>
    <row r="10" spans="1:10" x14ac:dyDescent="0.25">
      <c r="A10">
        <v>4</v>
      </c>
      <c r="B10" s="31" t="s">
        <v>151</v>
      </c>
      <c r="C10">
        <v>1.010192040490421</v>
      </c>
      <c r="D10">
        <v>1.0797178215552949</v>
      </c>
      <c r="H10" s="15">
        <v>2</v>
      </c>
      <c r="I10" s="26">
        <v>8.5603548749739009E-2</v>
      </c>
      <c r="J10" s="26">
        <v>9.1730144804468325E-2</v>
      </c>
    </row>
    <row r="11" spans="1:10" x14ac:dyDescent="0.25">
      <c r="A11">
        <v>4</v>
      </c>
      <c r="B11" s="31" t="s">
        <v>154</v>
      </c>
      <c r="C11">
        <v>3.9445339274151857E-2</v>
      </c>
      <c r="D11">
        <v>3.6265007967883497E-2</v>
      </c>
      <c r="H11" s="15">
        <v>3</v>
      </c>
      <c r="I11" s="26">
        <v>0.11626132482873537</v>
      </c>
      <c r="J11" s="26">
        <v>0.12292598589777981</v>
      </c>
    </row>
    <row r="12" spans="1:10" x14ac:dyDescent="0.25">
      <c r="A12">
        <v>4</v>
      </c>
      <c r="B12" s="31" t="s">
        <v>157</v>
      </c>
      <c r="C12">
        <v>7.7047820439769339</v>
      </c>
      <c r="D12">
        <v>8.7749814781157447</v>
      </c>
      <c r="H12" s="15">
        <v>4</v>
      </c>
      <c r="I12" s="26">
        <v>9.6717672404365074E-2</v>
      </c>
      <c r="J12" s="26">
        <v>0.10005616765379662</v>
      </c>
    </row>
    <row r="13" spans="1:10" x14ac:dyDescent="0.25">
      <c r="A13">
        <v>5</v>
      </c>
      <c r="B13" s="31" t="s">
        <v>160</v>
      </c>
      <c r="C13">
        <v>0.1681688423581717</v>
      </c>
      <c r="D13">
        <v>0.154610012749091</v>
      </c>
      <c r="H13" s="15">
        <v>5</v>
      </c>
      <c r="I13" s="26">
        <v>9.0090408351511053E-2</v>
      </c>
      <c r="J13" s="26">
        <v>8.2031363547648284E-2</v>
      </c>
    </row>
    <row r="14" spans="1:10" x14ac:dyDescent="0.25">
      <c r="A14">
        <v>5</v>
      </c>
      <c r="B14" s="31" t="s">
        <v>163</v>
      </c>
      <c r="C14">
        <v>0.14227984896835599</v>
      </c>
      <c r="D14">
        <v>0.45053268523601969</v>
      </c>
      <c r="H14" s="15">
        <v>6</v>
      </c>
      <c r="I14" s="26">
        <v>6.5904807395622142E-2</v>
      </c>
      <c r="J14" s="26">
        <v>6.6568352943604636E-2</v>
      </c>
    </row>
    <row r="15" spans="1:10" x14ac:dyDescent="0.25">
      <c r="A15">
        <v>5</v>
      </c>
      <c r="B15" s="31" t="s">
        <v>167</v>
      </c>
      <c r="C15">
        <v>7.7845917998890393</v>
      </c>
      <c r="D15">
        <v>7.4492828102752009</v>
      </c>
      <c r="H15" s="15">
        <v>7</v>
      </c>
      <c r="I15" s="26">
        <v>4.6200162692909275E-2</v>
      </c>
      <c r="J15" s="26">
        <v>3.9629122296350607E-2</v>
      </c>
    </row>
    <row r="16" spans="1:10" x14ac:dyDescent="0.25">
      <c r="A16">
        <v>5</v>
      </c>
      <c r="B16" s="31" t="s">
        <v>169</v>
      </c>
      <c r="C16">
        <v>5.9510803896835808E-2</v>
      </c>
      <c r="D16">
        <v>5.4712668650010163E-2</v>
      </c>
      <c r="H16" s="15">
        <v>8</v>
      </c>
      <c r="I16" s="26">
        <v>6.1410385598339806E-2</v>
      </c>
      <c r="J16" s="26">
        <v>5.280651395200938E-2</v>
      </c>
    </row>
    <row r="17" spans="1:10" x14ac:dyDescent="0.25">
      <c r="A17">
        <v>6</v>
      </c>
      <c r="B17" s="31" t="s">
        <v>172</v>
      </c>
      <c r="C17">
        <v>3.0084066962282048</v>
      </c>
      <c r="D17">
        <v>2.4578082615235211</v>
      </c>
      <c r="H17" s="15">
        <v>9</v>
      </c>
      <c r="I17" s="26">
        <v>6.2743434292970579E-2</v>
      </c>
      <c r="J17" s="26">
        <v>5.1998169398136472E-2</v>
      </c>
    </row>
    <row r="18" spans="1:10" x14ac:dyDescent="0.25">
      <c r="A18">
        <v>6</v>
      </c>
      <c r="B18" s="31" t="s">
        <v>175</v>
      </c>
      <c r="C18">
        <v>3.6329073642742023E-2</v>
      </c>
      <c r="D18">
        <v>3.2533571458387173E-2</v>
      </c>
      <c r="H18" s="15">
        <v>10</v>
      </c>
      <c r="I18" s="26">
        <v>5.5340172479460242E-2</v>
      </c>
      <c r="J18" s="26">
        <v>4.894438634622323E-2</v>
      </c>
    </row>
    <row r="19" spans="1:10" x14ac:dyDescent="0.25">
      <c r="A19">
        <v>6</v>
      </c>
      <c r="B19" s="31" t="s">
        <v>178</v>
      </c>
      <c r="C19">
        <v>2.6709448098954698</v>
      </c>
      <c r="D19">
        <v>3.860640721441329</v>
      </c>
      <c r="H19" s="15">
        <v>11</v>
      </c>
      <c r="I19" s="26">
        <v>4.1573329598496418E-2</v>
      </c>
      <c r="J19" s="26">
        <v>3.8164806295547971E-2</v>
      </c>
    </row>
    <row r="20" spans="1:10" x14ac:dyDescent="0.25">
      <c r="A20">
        <v>6</v>
      </c>
      <c r="B20" s="31" t="s">
        <v>180</v>
      </c>
      <c r="C20">
        <v>1.913274338277374E-2</v>
      </c>
      <c r="D20">
        <v>1.7590141294042121E-2</v>
      </c>
      <c r="H20" s="15">
        <v>12</v>
      </c>
      <c r="I20" s="26">
        <v>3.0472483140929072E-2</v>
      </c>
      <c r="J20" s="26">
        <v>2.9639484135991174E-2</v>
      </c>
    </row>
    <row r="21" spans="1:10" x14ac:dyDescent="0.25">
      <c r="A21">
        <v>6</v>
      </c>
      <c r="B21" s="31" t="s">
        <v>182</v>
      </c>
      <c r="C21">
        <v>0.23057347369165199</v>
      </c>
      <c r="D21">
        <v>0.21198319026982509</v>
      </c>
      <c r="H21" s="15">
        <v>13</v>
      </c>
      <c r="I21" s="26">
        <v>1.894752561738601E-2</v>
      </c>
      <c r="J21" s="26">
        <v>2.0434366811655464E-2</v>
      </c>
    </row>
    <row r="22" spans="1:10" x14ac:dyDescent="0.25">
      <c r="A22">
        <v>7</v>
      </c>
      <c r="B22" s="31" t="s">
        <v>185</v>
      </c>
      <c r="C22">
        <v>3.7961470066785009E-4</v>
      </c>
      <c r="D22">
        <v>9.8472887271422297E-5</v>
      </c>
      <c r="H22" s="15">
        <v>14</v>
      </c>
      <c r="I22" s="26">
        <v>1.586456511536443E-2</v>
      </c>
      <c r="J22" s="26">
        <v>1.8095389094070661E-2</v>
      </c>
    </row>
    <row r="23" spans="1:10" x14ac:dyDescent="0.25">
      <c r="A23">
        <v>7</v>
      </c>
      <c r="B23" s="31" t="s">
        <v>188</v>
      </c>
      <c r="C23">
        <v>2.283176043794731</v>
      </c>
      <c r="D23">
        <v>2.1027785797189829</v>
      </c>
      <c r="H23" s="15">
        <v>15</v>
      </c>
      <c r="I23" s="26">
        <v>1.4971541183549677E-2</v>
      </c>
      <c r="J23" s="26">
        <v>1.7112622112058409E-2</v>
      </c>
    </row>
    <row r="24" spans="1:10" x14ac:dyDescent="0.25">
      <c r="A24">
        <v>7</v>
      </c>
      <c r="B24" s="31" t="s">
        <v>191</v>
      </c>
      <c r="C24">
        <v>1.595664995221999</v>
      </c>
      <c r="D24">
        <v>1.5364258418072101</v>
      </c>
      <c r="H24" s="15">
        <v>16</v>
      </c>
      <c r="I24" s="26">
        <v>1.4714999440317353E-2</v>
      </c>
      <c r="J24" s="26">
        <v>1.6285928256435024E-2</v>
      </c>
    </row>
    <row r="25" spans="1:10" x14ac:dyDescent="0.25">
      <c r="A25">
        <v>7</v>
      </c>
      <c r="B25" s="31" t="s">
        <v>194</v>
      </c>
      <c r="C25">
        <v>5.9682201389639852E-2</v>
      </c>
      <c r="D25">
        <v>5.4870246999102631E-2</v>
      </c>
      <c r="H25" s="15">
        <v>17</v>
      </c>
      <c r="I25" s="26">
        <v>1.222567150753158E-2</v>
      </c>
      <c r="J25" s="26">
        <v>1.3896073624084836E-2</v>
      </c>
    </row>
    <row r="26" spans="1:10" x14ac:dyDescent="0.25">
      <c r="A26">
        <v>7</v>
      </c>
      <c r="B26" s="31" t="s">
        <v>195</v>
      </c>
      <c r="C26">
        <v>0.2429140931735411</v>
      </c>
      <c r="D26">
        <v>0.22332883140448229</v>
      </c>
      <c r="H26" s="15">
        <v>18</v>
      </c>
      <c r="I26" s="26">
        <v>1.097756047571889E-2</v>
      </c>
      <c r="J26" s="26">
        <v>1.2772608254154419E-2</v>
      </c>
    </row>
    <row r="27" spans="1:10" x14ac:dyDescent="0.25">
      <c r="A27">
        <v>8</v>
      </c>
      <c r="B27" s="31" t="s">
        <v>198</v>
      </c>
      <c r="C27">
        <v>0.18868965424741099</v>
      </c>
      <c r="D27">
        <v>0.2360393988070324</v>
      </c>
      <c r="H27" s="15">
        <v>19</v>
      </c>
      <c r="I27" s="26">
        <v>5.2330306210416197E-3</v>
      </c>
      <c r="J27" s="26">
        <v>6.0887344007259413E-3</v>
      </c>
    </row>
    <row r="28" spans="1:10" x14ac:dyDescent="0.25">
      <c r="A28">
        <v>8</v>
      </c>
      <c r="B28" s="31" t="s">
        <v>201</v>
      </c>
      <c r="C28">
        <v>1.089450296120775</v>
      </c>
      <c r="D28">
        <v>1.0016119621849151</v>
      </c>
      <c r="H28" s="15">
        <v>20</v>
      </c>
      <c r="I28" s="26">
        <v>4.3280704384554749E-3</v>
      </c>
      <c r="J28" s="26">
        <v>5.0357953690214549E-3</v>
      </c>
    </row>
    <row r="29" spans="1:10" x14ac:dyDescent="0.25">
      <c r="A29">
        <v>8</v>
      </c>
      <c r="B29" s="31" t="s">
        <v>204</v>
      </c>
      <c r="C29">
        <v>2.99086233350083</v>
      </c>
      <c r="D29">
        <v>2.749720203986822</v>
      </c>
      <c r="H29" s="15">
        <v>21</v>
      </c>
      <c r="I29" s="26">
        <v>4.1313399639802267E-3</v>
      </c>
      <c r="J29" s="26">
        <v>4.8068955795204796E-3</v>
      </c>
    </row>
    <row r="30" spans="1:10" x14ac:dyDescent="0.25">
      <c r="A30">
        <v>8</v>
      </c>
      <c r="B30" s="31" t="s">
        <v>207</v>
      </c>
      <c r="C30">
        <v>0.48903292086369682</v>
      </c>
      <c r="D30">
        <v>0.44960401147571649</v>
      </c>
      <c r="H30" s="15">
        <v>22</v>
      </c>
      <c r="I30" s="26">
        <v>3.8952633946099276E-3</v>
      </c>
      <c r="J30" s="26">
        <v>4.5322158321193092E-3</v>
      </c>
    </row>
    <row r="31" spans="1:10" x14ac:dyDescent="0.25">
      <c r="A31">
        <v>8</v>
      </c>
      <c r="B31" s="31" t="s">
        <v>210</v>
      </c>
      <c r="C31">
        <v>0.80053810598416164</v>
      </c>
      <c r="D31">
        <v>0.78316583968881615</v>
      </c>
      <c r="H31" s="15">
        <v>23</v>
      </c>
      <c r="I31" s="26">
        <v>3.6198407303445791E-3</v>
      </c>
      <c r="J31" s="26">
        <v>4.2117561268179447E-3</v>
      </c>
    </row>
    <row r="32" spans="1:10" x14ac:dyDescent="0.25">
      <c r="A32">
        <v>9</v>
      </c>
      <c r="B32" s="31" t="s">
        <v>214</v>
      </c>
      <c r="C32">
        <v>0.5055889643879321</v>
      </c>
      <c r="D32">
        <v>0.55210071469928279</v>
      </c>
      <c r="H32" s="15">
        <v>24</v>
      </c>
      <c r="I32" s="26">
        <v>3.5411485405544797E-3</v>
      </c>
      <c r="J32" s="26">
        <v>4.1201962110175546E-3</v>
      </c>
    </row>
    <row r="33" spans="1:10" x14ac:dyDescent="0.25">
      <c r="A33">
        <v>9</v>
      </c>
      <c r="B33" s="31" t="s">
        <v>217</v>
      </c>
      <c r="C33">
        <v>3.2224801361021229</v>
      </c>
      <c r="D33">
        <v>2.962663522802278</v>
      </c>
      <c r="H33" s="15">
        <v>25</v>
      </c>
      <c r="I33" s="26">
        <v>3.1968702102227928E-3</v>
      </c>
      <c r="J33" s="26">
        <v>3.7196215793908467E-3</v>
      </c>
    </row>
    <row r="34" spans="1:10" x14ac:dyDescent="0.25">
      <c r="A34">
        <v>9</v>
      </c>
      <c r="B34" s="31" t="s">
        <v>220</v>
      </c>
      <c r="C34">
        <v>0.59385643867206861</v>
      </c>
      <c r="D34">
        <v>0.54597599809044994</v>
      </c>
      <c r="H34" s="15">
        <v>26</v>
      </c>
      <c r="I34" s="26">
        <v>2.8132457849960584E-3</v>
      </c>
      <c r="J34" s="26">
        <v>3.2732669898639451E-3</v>
      </c>
    </row>
    <row r="35" spans="1:10" x14ac:dyDescent="0.25">
      <c r="A35">
        <v>9</v>
      </c>
      <c r="B35" s="31" t="s">
        <v>223</v>
      </c>
      <c r="C35">
        <v>0.3347751773400835</v>
      </c>
      <c r="D35">
        <v>0.30778349729250198</v>
      </c>
      <c r="H35" s="15">
        <v>27</v>
      </c>
      <c r="I35" s="26">
        <v>2.3902752648742734E-3</v>
      </c>
      <c r="J35" s="26">
        <v>2.7811324424368497E-3</v>
      </c>
    </row>
    <row r="36" spans="1:10" x14ac:dyDescent="0.25">
      <c r="A36">
        <v>9</v>
      </c>
      <c r="B36" s="31" t="s">
        <v>226</v>
      </c>
      <c r="C36">
        <v>1.02253376290241</v>
      </c>
      <c r="D36">
        <v>0.77170949450729076</v>
      </c>
      <c r="H36" s="15" t="s">
        <v>211</v>
      </c>
      <c r="I36" s="26">
        <v>1</v>
      </c>
      <c r="J36" s="26">
        <v>1</v>
      </c>
    </row>
    <row r="37" spans="1:10" x14ac:dyDescent="0.25">
      <c r="A37">
        <v>10</v>
      </c>
      <c r="B37" s="31" t="s">
        <v>229</v>
      </c>
      <c r="C37">
        <v>0.74575363465812128</v>
      </c>
      <c r="D37">
        <v>0.91872102183663884</v>
      </c>
    </row>
    <row r="38" spans="1:10" x14ac:dyDescent="0.25">
      <c r="A38">
        <v>10</v>
      </c>
      <c r="B38" s="31" t="s">
        <v>232</v>
      </c>
      <c r="C38">
        <v>1.217161358200789</v>
      </c>
      <c r="D38">
        <v>1.1190261553226459</v>
      </c>
    </row>
    <row r="39" spans="1:10" x14ac:dyDescent="0.25">
      <c r="A39">
        <v>10</v>
      </c>
      <c r="B39" s="31" t="s">
        <v>235</v>
      </c>
      <c r="C39">
        <v>1.32793197041064</v>
      </c>
      <c r="D39">
        <v>1.2208657441896109</v>
      </c>
    </row>
    <row r="40" spans="1:10" x14ac:dyDescent="0.25">
      <c r="A40">
        <v>10</v>
      </c>
      <c r="B40" s="31" t="s">
        <v>238</v>
      </c>
      <c r="C40">
        <v>0.77256423384358452</v>
      </c>
      <c r="D40">
        <v>0.71027524700234224</v>
      </c>
    </row>
    <row r="41" spans="1:10" x14ac:dyDescent="0.25">
      <c r="A41">
        <v>10</v>
      </c>
      <c r="B41" s="31" t="s">
        <v>241</v>
      </c>
      <c r="C41">
        <v>0.9457155614576872</v>
      </c>
      <c r="D41">
        <v>0.86946602571342368</v>
      </c>
    </row>
    <row r="42" spans="1:10" x14ac:dyDescent="0.25">
      <c r="A42">
        <v>11</v>
      </c>
      <c r="B42" s="31" t="s">
        <v>246</v>
      </c>
      <c r="C42">
        <v>0.92728656860550784</v>
      </c>
      <c r="D42">
        <v>1.1656511649587911</v>
      </c>
    </row>
    <row r="43" spans="1:10" x14ac:dyDescent="0.25">
      <c r="A43">
        <v>11</v>
      </c>
      <c r="B43" s="31" t="s">
        <v>249</v>
      </c>
      <c r="C43">
        <v>1.386888721947017</v>
      </c>
      <c r="D43">
        <v>1.275069031664648</v>
      </c>
    </row>
    <row r="44" spans="1:10" x14ac:dyDescent="0.25">
      <c r="A44">
        <v>11</v>
      </c>
      <c r="B44" s="31" t="s">
        <v>252</v>
      </c>
      <c r="C44">
        <v>0.55592178892751454</v>
      </c>
      <c r="D44">
        <v>0.51109987836224158</v>
      </c>
    </row>
    <row r="45" spans="1:10" x14ac:dyDescent="0.25">
      <c r="A45">
        <v>11</v>
      </c>
      <c r="B45" s="31" t="s">
        <v>253</v>
      </c>
      <c r="C45">
        <v>0.89292114768584585</v>
      </c>
      <c r="D45">
        <v>0.82092822958017608</v>
      </c>
    </row>
    <row r="46" spans="1:10" x14ac:dyDescent="0.25">
      <c r="A46">
        <v>12</v>
      </c>
      <c r="B46" s="31" t="s">
        <v>256</v>
      </c>
      <c r="C46">
        <v>1.0664591161558079</v>
      </c>
      <c r="D46">
        <v>0.98047447572990742</v>
      </c>
    </row>
    <row r="47" spans="1:10" x14ac:dyDescent="0.25">
      <c r="A47">
        <v>12</v>
      </c>
      <c r="B47" s="31" t="s">
        <v>259</v>
      </c>
      <c r="C47">
        <v>1.1218471845208211</v>
      </c>
      <c r="D47">
        <v>1.4255442834496861</v>
      </c>
    </row>
    <row r="48" spans="1:10" x14ac:dyDescent="0.25">
      <c r="A48">
        <v>12</v>
      </c>
      <c r="B48" s="31" t="s">
        <v>262</v>
      </c>
      <c r="C48">
        <v>0.10475177002068629</v>
      </c>
      <c r="D48">
        <v>9.6306023584880607E-2</v>
      </c>
    </row>
    <row r="49" spans="1:4" x14ac:dyDescent="0.25">
      <c r="A49">
        <v>12</v>
      </c>
      <c r="B49" s="31" t="s">
        <v>265</v>
      </c>
      <c r="C49">
        <v>0.36921411542907628</v>
      </c>
      <c r="D49">
        <v>0.33944575162177781</v>
      </c>
    </row>
    <row r="50" spans="1:4" x14ac:dyDescent="0.25">
      <c r="A50">
        <v>12</v>
      </c>
      <c r="B50" s="31" t="s">
        <v>266</v>
      </c>
      <c r="C50">
        <v>9.5950708064610313E-2</v>
      </c>
      <c r="D50">
        <v>8.8214558589621225E-2</v>
      </c>
    </row>
    <row r="51" spans="1:4" x14ac:dyDescent="0.25">
      <c r="A51">
        <v>13</v>
      </c>
      <c r="B51" s="31" t="s">
        <v>269</v>
      </c>
      <c r="C51">
        <v>0.41734093701316177</v>
      </c>
      <c r="D51">
        <v>0.38369228620183288</v>
      </c>
    </row>
    <row r="52" spans="1:4" x14ac:dyDescent="0.25">
      <c r="A52">
        <v>13</v>
      </c>
      <c r="B52" s="31" t="s">
        <v>272</v>
      </c>
      <c r="C52">
        <v>3.6065221276528503E-2</v>
      </c>
      <c r="D52">
        <v>3.3157416339269392E-2</v>
      </c>
    </row>
    <row r="53" spans="1:4" x14ac:dyDescent="0.25">
      <c r="A53">
        <v>13</v>
      </c>
      <c r="B53" s="31" t="s">
        <v>275</v>
      </c>
      <c r="C53">
        <v>1.261632905131749</v>
      </c>
      <c r="D53">
        <v>1.603171626704925</v>
      </c>
    </row>
    <row r="54" spans="1:4" x14ac:dyDescent="0.25">
      <c r="A54">
        <v>14</v>
      </c>
      <c r="B54" s="31" t="s">
        <v>278</v>
      </c>
      <c r="C54">
        <v>0.10223262547528771</v>
      </c>
      <c r="D54">
        <v>9.3989988314498354E-2</v>
      </c>
    </row>
    <row r="55" spans="1:4" x14ac:dyDescent="0.25">
      <c r="A55">
        <v>14</v>
      </c>
      <c r="B55" s="31" t="s">
        <v>281</v>
      </c>
      <c r="C55">
        <v>1.333751652708087</v>
      </c>
      <c r="D55">
        <v>1.6948137592124051</v>
      </c>
    </row>
    <row r="56" spans="1:4" x14ac:dyDescent="0.25">
      <c r="A56">
        <v>15</v>
      </c>
      <c r="B56" s="31" t="s">
        <v>284</v>
      </c>
      <c r="C56">
        <v>8.6396294337837673E-2</v>
      </c>
      <c r="D56">
        <v>7.9430481780908946E-2</v>
      </c>
    </row>
    <row r="57" spans="1:4" x14ac:dyDescent="0.25">
      <c r="A57">
        <v>15</v>
      </c>
      <c r="B57" s="31" t="s">
        <v>287</v>
      </c>
      <c r="C57">
        <v>1.268755744398548</v>
      </c>
      <c r="D57">
        <v>1.612222701520478</v>
      </c>
    </row>
    <row r="58" spans="1:4" x14ac:dyDescent="0.25">
      <c r="A58">
        <v>16</v>
      </c>
      <c r="B58" s="31" t="s">
        <v>290</v>
      </c>
      <c r="C58">
        <v>0.23501386455173739</v>
      </c>
      <c r="D58">
        <v>0.21606556889515061</v>
      </c>
    </row>
    <row r="59" spans="1:4" x14ac:dyDescent="0.25">
      <c r="A59">
        <v>16</v>
      </c>
      <c r="B59" s="31" t="s">
        <v>293</v>
      </c>
      <c r="C59">
        <v>1.096917247087025</v>
      </c>
      <c r="D59">
        <v>1.3938655215952489</v>
      </c>
    </row>
    <row r="60" spans="1:4" x14ac:dyDescent="0.25">
      <c r="A60">
        <v>17</v>
      </c>
      <c r="B60" s="31" t="s">
        <v>296</v>
      </c>
      <c r="C60">
        <v>9.24948562910968E-2</v>
      </c>
      <c r="D60">
        <v>8.5037339318384864E-2</v>
      </c>
    </row>
    <row r="61" spans="1:4" x14ac:dyDescent="0.25">
      <c r="A61">
        <v>17</v>
      </c>
      <c r="B61" s="31" t="s">
        <v>299</v>
      </c>
      <c r="C61">
        <v>1.0141142406104859</v>
      </c>
      <c r="D61">
        <v>1.2886467768644361</v>
      </c>
    </row>
    <row r="62" spans="1:4" x14ac:dyDescent="0.25">
      <c r="A62">
        <v>18</v>
      </c>
      <c r="B62" s="31" t="s">
        <v>302</v>
      </c>
      <c r="C62">
        <v>0.99363607771844198</v>
      </c>
      <c r="D62">
        <v>1.262624936769722</v>
      </c>
    </row>
    <row r="63" spans="1:4" x14ac:dyDescent="0.25">
      <c r="A63">
        <v>19</v>
      </c>
      <c r="B63" s="31" t="s">
        <v>305</v>
      </c>
      <c r="C63">
        <v>0.47366881124212451</v>
      </c>
      <c r="D63">
        <v>0.60189647523431189</v>
      </c>
    </row>
    <row r="64" spans="1:4" x14ac:dyDescent="0.25">
      <c r="A64">
        <v>20</v>
      </c>
      <c r="B64" s="31" t="s">
        <v>308</v>
      </c>
      <c r="C64">
        <v>0.39175615967393751</v>
      </c>
      <c r="D64">
        <v>0.49780911485544588</v>
      </c>
    </row>
    <row r="65" spans="1:4" x14ac:dyDescent="0.25">
      <c r="A65">
        <v>21</v>
      </c>
      <c r="B65" s="31" t="s">
        <v>311</v>
      </c>
      <c r="C65">
        <v>0.37394906150694041</v>
      </c>
      <c r="D65">
        <v>0.47518142781656197</v>
      </c>
    </row>
    <row r="66" spans="1:4" x14ac:dyDescent="0.25">
      <c r="A66">
        <v>22</v>
      </c>
      <c r="B66" s="31" t="s">
        <v>314</v>
      </c>
      <c r="C66">
        <v>0.35258054370654379</v>
      </c>
      <c r="D66">
        <v>0.44802820336990129</v>
      </c>
    </row>
    <row r="67" spans="1:4" x14ac:dyDescent="0.25">
      <c r="A67">
        <v>23</v>
      </c>
      <c r="B67" s="31" t="s">
        <v>317</v>
      </c>
      <c r="C67">
        <v>0.32765060627274778</v>
      </c>
      <c r="D67">
        <v>0.41634944151546388</v>
      </c>
    </row>
    <row r="68" spans="1:4" x14ac:dyDescent="0.25">
      <c r="A68">
        <v>24</v>
      </c>
      <c r="B68" s="31" t="s">
        <v>320</v>
      </c>
      <c r="C68">
        <v>0.32052776700594893</v>
      </c>
      <c r="D68">
        <v>0.40729836669991032</v>
      </c>
    </row>
    <row r="69" spans="1:4" x14ac:dyDescent="0.25">
      <c r="A69">
        <v>25</v>
      </c>
      <c r="B69" s="31" t="s">
        <v>323</v>
      </c>
      <c r="C69">
        <v>0.28936534521370377</v>
      </c>
      <c r="D69">
        <v>0.36769991438186339</v>
      </c>
    </row>
    <row r="70" spans="1:4" x14ac:dyDescent="0.25">
      <c r="A70">
        <v>26</v>
      </c>
      <c r="B70" s="31" t="s">
        <v>326</v>
      </c>
      <c r="C70">
        <v>0.25464150378805939</v>
      </c>
      <c r="D70">
        <v>0.32357592465603979</v>
      </c>
    </row>
    <row r="71" spans="1:4" x14ac:dyDescent="0.25">
      <c r="A71">
        <v>27</v>
      </c>
      <c r="B71" s="31" t="s">
        <v>329</v>
      </c>
      <c r="C71">
        <v>0.21635624272901549</v>
      </c>
      <c r="D71">
        <v>0.27492639752243953</v>
      </c>
    </row>
    <row r="72" spans="1:4" x14ac:dyDescent="0.25">
      <c r="B72" s="31" t="s">
        <v>354</v>
      </c>
      <c r="C72">
        <v>47.511741715533738</v>
      </c>
      <c r="D72" s="33">
        <v>23.728411731180909</v>
      </c>
    </row>
    <row r="73" spans="1:4" x14ac:dyDescent="0.25">
      <c r="B73" s="31" t="s">
        <v>395</v>
      </c>
      <c r="C73">
        <v>42.969379720010799</v>
      </c>
      <c r="D73" s="33">
        <v>77.124996333025905</v>
      </c>
    </row>
    <row r="74" spans="1:4" x14ac:dyDescent="0.25">
      <c r="B74" s="31" t="s">
        <v>356</v>
      </c>
      <c r="C74">
        <v>360.37400960887692</v>
      </c>
      <c r="D74" s="33">
        <v>327.09126944404449</v>
      </c>
    </row>
    <row r="75" spans="1:4" x14ac:dyDescent="0.25">
      <c r="B75" s="31" t="s">
        <v>358</v>
      </c>
      <c r="C75">
        <v>137.188341438809</v>
      </c>
      <c r="D75" s="33">
        <v>123.6525233999993</v>
      </c>
    </row>
    <row r="76" spans="1:4" x14ac:dyDescent="0.25">
      <c r="B76" s="36" t="s">
        <v>401</v>
      </c>
      <c r="C76">
        <v>234</v>
      </c>
      <c r="D76" s="33">
        <v>74</v>
      </c>
    </row>
    <row r="78" spans="1:4" x14ac:dyDescent="0.25">
      <c r="B78" s="30" t="s">
        <v>354</v>
      </c>
      <c r="C78" s="30">
        <v>165.62</v>
      </c>
      <c r="D78" s="30">
        <v>132.19999999999999</v>
      </c>
    </row>
    <row r="79" spans="1:4" x14ac:dyDescent="0.25">
      <c r="B79" s="30" t="s">
        <v>395</v>
      </c>
      <c r="C79" s="30">
        <v>52.7</v>
      </c>
      <c r="D79" s="30">
        <v>86.1</v>
      </c>
    </row>
    <row r="80" spans="1:4" x14ac:dyDescent="0.25">
      <c r="B80" s="30" t="s">
        <v>356</v>
      </c>
      <c r="C80" s="30">
        <f>C78*3+C79*2</f>
        <v>602.26</v>
      </c>
      <c r="D80" s="30">
        <f>D78*3+D79*2</f>
        <v>568.79999999999995</v>
      </c>
    </row>
    <row r="83" spans="1:9" x14ac:dyDescent="0.25">
      <c r="A83" s="38">
        <v>5</v>
      </c>
      <c r="B83" s="39"/>
      <c r="C83" s="38">
        <v>10</v>
      </c>
      <c r="D83" s="39"/>
    </row>
    <row r="84" spans="1:9" x14ac:dyDescent="0.25">
      <c r="A84" t="s">
        <v>402</v>
      </c>
      <c r="B84" t="s">
        <v>403</v>
      </c>
      <c r="C84" t="s">
        <v>402</v>
      </c>
      <c r="D84" t="s">
        <v>403</v>
      </c>
    </row>
    <row r="85" spans="1:9" x14ac:dyDescent="0.25">
      <c r="A85">
        <v>250</v>
      </c>
      <c r="B85" s="33">
        <v>71.728710217816285</v>
      </c>
      <c r="C85">
        <v>240</v>
      </c>
      <c r="D85">
        <v>43.071308543328087</v>
      </c>
      <c r="F85" s="9">
        <f t="shared" ref="F85:H88" si="0">+A85/A$90</f>
        <v>0.15625</v>
      </c>
      <c r="G85" s="9">
        <f t="shared" si="0"/>
        <v>5.5646788376893935E-2</v>
      </c>
      <c r="H85" s="9">
        <f t="shared" si="0"/>
        <v>0.15</v>
      </c>
      <c r="I85" s="9">
        <f>+D85/$B$90</f>
        <v>3.3414513997927144E-2</v>
      </c>
    </row>
    <row r="86" spans="1:9" x14ac:dyDescent="0.25">
      <c r="A86">
        <v>80</v>
      </c>
      <c r="B86" s="33">
        <v>65.226094161811318</v>
      </c>
      <c r="C86">
        <v>160</v>
      </c>
      <c r="D86">
        <v>143.32470190078811</v>
      </c>
      <c r="E86" s="1"/>
      <c r="F86" s="9">
        <f t="shared" si="0"/>
        <v>0.05</v>
      </c>
      <c r="G86" s="9">
        <f t="shared" si="0"/>
        <v>5.0602090117774487E-2</v>
      </c>
      <c r="H86" s="9">
        <f t="shared" si="0"/>
        <v>0.1</v>
      </c>
      <c r="I86" s="9">
        <f>+D86/$B$90</f>
        <v>0.11119061435282243</v>
      </c>
    </row>
    <row r="87" spans="1:9" x14ac:dyDescent="0.25">
      <c r="A87">
        <v>910</v>
      </c>
      <c r="B87" s="33">
        <v>544.06149651244095</v>
      </c>
      <c r="C87">
        <v>1040</v>
      </c>
      <c r="D87">
        <v>594.0595762159079</v>
      </c>
      <c r="F87" s="9">
        <f t="shared" si="0"/>
        <v>0.56874999999999998</v>
      </c>
      <c r="G87" s="9">
        <f t="shared" si="0"/>
        <v>0.42208029209654069</v>
      </c>
      <c r="H87" s="9">
        <f t="shared" si="0"/>
        <v>0.65</v>
      </c>
      <c r="I87" s="9">
        <f>+D87/$B$90</f>
        <v>0.46086856184321789</v>
      </c>
    </row>
    <row r="88" spans="1:9" x14ac:dyDescent="0.25">
      <c r="B88" s="33">
        <v>207.46578259230091</v>
      </c>
      <c r="D88">
        <v>227.74978999557391</v>
      </c>
      <c r="F88" s="9">
        <f t="shared" si="0"/>
        <v>0</v>
      </c>
      <c r="G88" s="9">
        <f t="shared" si="0"/>
        <v>0.16095095623917838</v>
      </c>
      <c r="H88" s="9">
        <f t="shared" si="0"/>
        <v>0</v>
      </c>
      <c r="I88" s="9">
        <f>+D88/$B$90</f>
        <v>0.17668719161797822</v>
      </c>
    </row>
    <row r="90" spans="1:9" x14ac:dyDescent="0.25">
      <c r="A90">
        <v>1600</v>
      </c>
      <c r="B90" s="33">
        <v>1289</v>
      </c>
      <c r="C90">
        <v>1600</v>
      </c>
      <c r="D90">
        <v>1226</v>
      </c>
    </row>
  </sheetData>
  <mergeCells count="2">
    <mergeCell ref="C83:D83"/>
    <mergeCell ref="A83:B83"/>
  </mergeCell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5% CO</vt:lpstr>
      <vt:lpstr>5% CO Elab</vt:lpstr>
      <vt:lpstr>10% CO</vt:lpstr>
      <vt:lpstr>10% CO Elab</vt:lpstr>
      <vt:lpstr>Conv</vt:lpstr>
      <vt:lpstr>Interp</vt:lpstr>
      <vt:lpstr>RSTOIC</vt:lpstr>
      <vt:lpstr>Foglio11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 Tauro</dc:creator>
  <cp:lastModifiedBy>Hamish Gault (Student)</cp:lastModifiedBy>
  <dcterms:created xsi:type="dcterms:W3CDTF">2025-12-01T13:21:18Z</dcterms:created>
  <dcterms:modified xsi:type="dcterms:W3CDTF">2026-02-16T15:03:18Z</dcterms:modified>
</cp:coreProperties>
</file>